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Irak\Desktop\frappeERP-Next\myCustomFolder\Alco-Ecommerce\"/>
    </mc:Choice>
  </mc:AlternateContent>
  <xr:revisionPtr revIDLastSave="0" documentId="8_{C56C521A-10DA-42DC-A93C-BB83BC7CE04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FIELD_JAN_2025" sheetId="1" r:id="rId1"/>
    <sheet name="PRODUCT_CODE" sheetId="2" r:id="rId2"/>
    <sheet name="Tgt (2026) April" sheetId="3" r:id="rId3"/>
  </sheets>
  <definedNames>
    <definedName name="_xlnm._FilterDatabase" localSheetId="2" hidden="1">'Tgt (2026) April'!$A$3:$H$644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42" i="3" l="1"/>
  <c r="E614" i="3"/>
  <c r="A585" i="3"/>
  <c r="A586" i="3" s="1"/>
  <c r="A587" i="3" s="1"/>
  <c r="A589" i="3" s="1"/>
  <c r="A590" i="3" s="1"/>
  <c r="A591" i="3" s="1"/>
  <c r="A592" i="3" s="1"/>
  <c r="A593" i="3" s="1"/>
  <c r="A595" i="3" s="1"/>
  <c r="A596" i="3" s="1"/>
  <c r="A597" i="3" s="1"/>
  <c r="A598" i="3" s="1"/>
  <c r="A600" i="3" s="1"/>
  <c r="A601" i="3" s="1"/>
  <c r="A602" i="3" s="1"/>
  <c r="A603" i="3" s="1"/>
  <c r="A605" i="3" s="1"/>
  <c r="A606" i="3" s="1"/>
  <c r="A607" i="3" s="1"/>
  <c r="A608" i="3" s="1"/>
  <c r="A609" i="3" s="1"/>
  <c r="A610" i="3" s="1"/>
  <c r="A611" i="3" s="1"/>
  <c r="A613" i="3" s="1"/>
  <c r="A584" i="3"/>
  <c r="E578" i="3"/>
  <c r="A563" i="3"/>
  <c r="A564" i="3" s="1"/>
  <c r="A565" i="3" s="1"/>
  <c r="A566" i="3" s="1"/>
  <c r="A568" i="3" s="1"/>
  <c r="A569" i="3" s="1"/>
  <c r="A570" i="3" s="1"/>
  <c r="A571" i="3" s="1"/>
  <c r="A573" i="3" s="1"/>
  <c r="A574" i="3" s="1"/>
  <c r="A575" i="3" s="1"/>
  <c r="A576" i="3" s="1"/>
  <c r="A554" i="3"/>
  <c r="A555" i="3" s="1"/>
  <c r="E535" i="3"/>
  <c r="E550" i="3" s="1"/>
  <c r="A532" i="3"/>
  <c r="A533" i="3" s="1"/>
  <c r="A557" i="3" s="1"/>
  <c r="A558" i="3" s="1"/>
  <c r="A559" i="3" s="1"/>
  <c r="A560" i="3" s="1"/>
  <c r="A546" i="3" s="1"/>
  <c r="A547" i="3" s="1"/>
  <c r="A548" i="3" s="1"/>
  <c r="A531" i="3"/>
  <c r="A525" i="3"/>
  <c r="A526" i="3" s="1"/>
  <c r="A527" i="3" s="1"/>
  <c r="A528" i="3" s="1"/>
  <c r="A536" i="3" s="1"/>
  <c r="A537" i="3" s="1"/>
  <c r="A538" i="3" s="1"/>
  <c r="A539" i="3" s="1"/>
  <c r="A540" i="3" s="1"/>
  <c r="A542" i="3" s="1"/>
  <c r="A543" i="3" s="1"/>
  <c r="A544" i="3" s="1"/>
  <c r="E519" i="3"/>
  <c r="E521" i="3" s="1"/>
  <c r="E504" i="3"/>
  <c r="A495" i="3"/>
  <c r="A496" i="3" s="1"/>
  <c r="A498" i="3" s="1"/>
  <c r="A499" i="3" s="1"/>
  <c r="A500" i="3" s="1"/>
  <c r="A501" i="3" s="1"/>
  <c r="A502" i="3" s="1"/>
  <c r="A505" i="3" s="1"/>
  <c r="A506" i="3" s="1"/>
  <c r="A507" i="3" s="1"/>
  <c r="A508" i="3" s="1"/>
  <c r="A509" i="3" s="1"/>
  <c r="A511" i="3" s="1"/>
  <c r="A512" i="3" s="1"/>
  <c r="A513" i="3" s="1"/>
  <c r="A514" i="3" s="1"/>
  <c r="A516" i="3" s="1"/>
  <c r="A517" i="3" s="1"/>
  <c r="A520" i="3" s="1"/>
  <c r="E485" i="3"/>
  <c r="E491" i="3" s="1"/>
  <c r="A470" i="3"/>
  <c r="A471" i="3" s="1"/>
  <c r="A472" i="3" s="1"/>
  <c r="A473" i="3" s="1"/>
  <c r="A474" i="3" s="1"/>
  <c r="A475" i="3" s="1"/>
  <c r="A476" i="3" s="1"/>
  <c r="A477" i="3" s="1"/>
  <c r="A479" i="3" s="1"/>
  <c r="A480" i="3" s="1"/>
  <c r="A482" i="3" s="1"/>
  <c r="A483" i="3" s="1"/>
  <c r="A486" i="3" s="1"/>
  <c r="A487" i="3" s="1"/>
  <c r="A488" i="3" s="1"/>
  <c r="A489" i="3" s="1"/>
  <c r="A469" i="3"/>
  <c r="E461" i="3"/>
  <c r="E436" i="3"/>
  <c r="E463" i="3" s="1"/>
  <c r="E465" i="3" s="1"/>
  <c r="A416" i="3"/>
  <c r="A417" i="3" s="1"/>
  <c r="A418" i="3" s="1"/>
  <c r="A419" i="3" s="1"/>
  <c r="A420" i="3" s="1"/>
  <c r="A421" i="3" s="1"/>
  <c r="A422" i="3" s="1"/>
  <c r="A423" i="3" s="1"/>
  <c r="A425" i="3" s="1"/>
  <c r="A426" i="3" s="1"/>
  <c r="A427" i="3" s="1"/>
  <c r="A428" i="3" s="1"/>
  <c r="A430" i="3" s="1"/>
  <c r="A431" i="3" s="1"/>
  <c r="A432" i="3" s="1"/>
  <c r="A433" i="3" s="1"/>
  <c r="A434" i="3" s="1"/>
  <c r="A437" i="3" s="1"/>
  <c r="A438" i="3" s="1"/>
  <c r="A439" i="3" s="1"/>
  <c r="A440" i="3" s="1"/>
  <c r="A442" i="3" s="1"/>
  <c r="A443" i="3" s="1"/>
  <c r="A444" i="3" s="1"/>
  <c r="A445" i="3" s="1"/>
  <c r="A446" i="3" s="1"/>
  <c r="A448" i="3" s="1"/>
  <c r="A449" i="3" s="1"/>
  <c r="A450" i="3" s="1"/>
  <c r="A451" i="3" s="1"/>
  <c r="A452" i="3" s="1"/>
  <c r="A453" i="3" s="1"/>
  <c r="A455" i="3" s="1"/>
  <c r="A456" i="3" s="1"/>
  <c r="A457" i="3" s="1"/>
  <c r="A458" i="3" s="1"/>
  <c r="A459" i="3" s="1"/>
  <c r="A462" i="3" s="1"/>
  <c r="E374" i="3"/>
  <c r="E410" i="3" s="1"/>
  <c r="E412" i="3" s="1"/>
  <c r="A355" i="3"/>
  <c r="A356" i="3" s="1"/>
  <c r="A358" i="3" s="1"/>
  <c r="A359" i="3" s="1"/>
  <c r="A360" i="3" s="1"/>
  <c r="A361" i="3" s="1"/>
  <c r="A362" i="3" s="1"/>
  <c r="A364" i="3" s="1"/>
  <c r="A365" i="3" s="1"/>
  <c r="A366" i="3" s="1"/>
  <c r="A367" i="3" s="1"/>
  <c r="A369" i="3" s="1"/>
  <c r="A370" i="3" s="1"/>
  <c r="A371" i="3" s="1"/>
  <c r="A372" i="3" s="1"/>
  <c r="A375" i="3" s="1"/>
  <c r="A376" i="3" s="1"/>
  <c r="A378" i="3" s="1"/>
  <c r="A379" i="3" s="1"/>
  <c r="A380" i="3" s="1"/>
  <c r="A382" i="3" s="1"/>
  <c r="A383" i="3" s="1"/>
  <c r="A384" i="3" s="1"/>
  <c r="A385" i="3" s="1"/>
  <c r="A386" i="3" s="1"/>
  <c r="A387" i="3" s="1"/>
  <c r="A388" i="3" s="1"/>
  <c r="A390" i="3" s="1"/>
  <c r="A391" i="3" s="1"/>
  <c r="A392" i="3" s="1"/>
  <c r="A393" i="3" s="1"/>
  <c r="A394" i="3" s="1"/>
  <c r="A395" i="3" s="1"/>
  <c r="A396" i="3" s="1"/>
  <c r="A397" i="3" s="1"/>
  <c r="A398" i="3" s="1"/>
  <c r="A400" i="3" s="1"/>
  <c r="A401" i="3" s="1"/>
  <c r="A402" i="3" s="1"/>
  <c r="A403" i="3" s="1"/>
  <c r="A404" i="3" s="1"/>
  <c r="A405" i="3" s="1"/>
  <c r="A406" i="3" s="1"/>
  <c r="A407" i="3" s="1"/>
  <c r="A409" i="3" s="1"/>
  <c r="A354" i="3"/>
  <c r="E350" i="3"/>
  <c r="A314" i="3"/>
  <c r="A315" i="3" s="1"/>
  <c r="A317" i="3" s="1"/>
  <c r="A318" i="3" s="1"/>
  <c r="A319" i="3" s="1"/>
  <c r="A320" i="3" s="1"/>
  <c r="A321" i="3" s="1"/>
  <c r="A323" i="3" s="1"/>
  <c r="A324" i="3" s="1"/>
  <c r="A325" i="3" s="1"/>
  <c r="A326" i="3" s="1"/>
  <c r="A328" i="3" s="1"/>
  <c r="A329" i="3" s="1"/>
  <c r="A330" i="3" s="1"/>
  <c r="A331" i="3" s="1"/>
  <c r="A333" i="3" s="1"/>
  <c r="A334" i="3" s="1"/>
  <c r="A335" i="3" s="1"/>
  <c r="A336" i="3" s="1"/>
  <c r="A338" i="3" s="1"/>
  <c r="A339" i="3" s="1"/>
  <c r="A340" i="3" s="1"/>
  <c r="A341" i="3" s="1"/>
  <c r="A342" i="3" s="1"/>
  <c r="A344" i="3" s="1"/>
  <c r="A345" i="3" s="1"/>
  <c r="A346" i="3" s="1"/>
  <c r="A347" i="3" s="1"/>
  <c r="A348" i="3" s="1"/>
  <c r="A313" i="3"/>
  <c r="A312" i="3"/>
  <c r="E306" i="3"/>
  <c r="A298" i="3"/>
  <c r="A300" i="3" s="1"/>
  <c r="A301" i="3" s="1"/>
  <c r="A302" i="3" s="1"/>
  <c r="A303" i="3" s="1"/>
  <c r="A304" i="3" s="1"/>
  <c r="A296" i="3"/>
  <c r="A297" i="3" s="1"/>
  <c r="A288" i="3"/>
  <c r="A289" i="3" s="1"/>
  <c r="A290" i="3" s="1"/>
  <c r="A291" i="3" s="1"/>
  <c r="E284" i="3"/>
  <c r="A254" i="3"/>
  <c r="A255" i="3" s="1"/>
  <c r="A256" i="3" s="1"/>
  <c r="A258" i="3" s="1"/>
  <c r="A259" i="3" s="1"/>
  <c r="A260" i="3" s="1"/>
  <c r="A261" i="3" s="1"/>
  <c r="A262" i="3" s="1"/>
  <c r="A264" i="3" s="1"/>
  <c r="A265" i="3" s="1"/>
  <c r="A266" i="3" s="1"/>
  <c r="A267" i="3" s="1"/>
  <c r="A268" i="3" s="1"/>
  <c r="A270" i="3" s="1"/>
  <c r="A271" i="3" s="1"/>
  <c r="A272" i="3" s="1"/>
  <c r="A273" i="3" s="1"/>
  <c r="A274" i="3" s="1"/>
  <c r="A275" i="3" s="1"/>
  <c r="A277" i="3" s="1"/>
  <c r="A278" i="3" s="1"/>
  <c r="A279" i="3" s="1"/>
  <c r="A280" i="3" s="1"/>
  <c r="A281" i="3" s="1"/>
  <c r="A282" i="3" s="1"/>
  <c r="A253" i="3"/>
  <c r="E247" i="3"/>
  <c r="E249" i="3" s="1"/>
  <c r="A238" i="3"/>
  <c r="A239" i="3" s="1"/>
  <c r="A240" i="3" s="1"/>
  <c r="A241" i="3" s="1"/>
  <c r="A243" i="3" s="1"/>
  <c r="A244" i="3" s="1"/>
  <c r="A245" i="3" s="1"/>
  <c r="E234" i="3"/>
  <c r="E233" i="3"/>
  <c r="A215" i="3"/>
  <c r="A217" i="3" s="1"/>
  <c r="A218" i="3" s="1"/>
  <c r="A219" i="3" s="1"/>
  <c r="A220" i="3" s="1"/>
  <c r="A222" i="3" s="1"/>
  <c r="A223" i="3" s="1"/>
  <c r="A224" i="3" s="1"/>
  <c r="A225" i="3" s="1"/>
  <c r="A226" i="3" s="1"/>
  <c r="A228" i="3" s="1"/>
  <c r="A229" i="3" s="1"/>
  <c r="A230" i="3" s="1"/>
  <c r="A232" i="3" s="1"/>
  <c r="E211" i="3"/>
  <c r="A199" i="3"/>
  <c r="A201" i="3" s="1"/>
  <c r="A202" i="3" s="1"/>
  <c r="A203" i="3" s="1"/>
  <c r="A204" i="3" s="1"/>
  <c r="A206" i="3" s="1"/>
  <c r="A207" i="3" s="1"/>
  <c r="A208" i="3" s="1"/>
  <c r="A209" i="3" s="1"/>
  <c r="A197" i="3"/>
  <c r="A198" i="3" s="1"/>
  <c r="E184" i="3"/>
  <c r="E191" i="3" s="1"/>
  <c r="E193" i="3" s="1"/>
  <c r="A176" i="3"/>
  <c r="A178" i="3" s="1"/>
  <c r="A179" i="3" s="1"/>
  <c r="A180" i="3" s="1"/>
  <c r="A181" i="3" s="1"/>
  <c r="A182" i="3" s="1"/>
  <c r="A185" i="3" s="1"/>
  <c r="A186" i="3" s="1"/>
  <c r="A187" i="3" s="1"/>
  <c r="A188" i="3" s="1"/>
  <c r="A189" i="3" s="1"/>
  <c r="E172" i="3"/>
  <c r="A161" i="3"/>
  <c r="A162" i="3" s="1"/>
  <c r="A163" i="3" s="1"/>
  <c r="A164" i="3" s="1"/>
  <c r="A166" i="3" s="1"/>
  <c r="A167" i="3" s="1"/>
  <c r="A168" i="3" s="1"/>
  <c r="A169" i="3" s="1"/>
  <c r="A170" i="3" s="1"/>
  <c r="A160" i="3"/>
  <c r="A158" i="3"/>
  <c r="A157" i="3"/>
  <c r="E153" i="3"/>
  <c r="A141" i="3"/>
  <c r="A142" i="3" s="1"/>
  <c r="A143" i="3" s="1"/>
  <c r="A144" i="3" s="1"/>
  <c r="A146" i="3" s="1"/>
  <c r="A147" i="3" s="1"/>
  <c r="A148" i="3" s="1"/>
  <c r="A149" i="3" s="1"/>
  <c r="A150" i="3" s="1"/>
  <c r="A151" i="3" s="1"/>
  <c r="A139" i="3"/>
  <c r="A140" i="3" s="1"/>
  <c r="E135" i="3"/>
  <c r="E115" i="3"/>
  <c r="E68" i="3"/>
  <c r="E75" i="3" s="1"/>
  <c r="A55" i="3"/>
  <c r="A56" i="3" s="1"/>
  <c r="A58" i="3" s="1"/>
  <c r="A59" i="3" s="1"/>
  <c r="A60" i="3" s="1"/>
  <c r="A62" i="3" s="1"/>
  <c r="A63" i="3" s="1"/>
  <c r="A64" i="3" s="1"/>
  <c r="A65" i="3" s="1"/>
  <c r="A66" i="3" s="1"/>
  <c r="A69" i="3" s="1"/>
  <c r="A70" i="3" s="1"/>
  <c r="A71" i="3" s="1"/>
  <c r="A72" i="3" s="1"/>
  <c r="A74" i="3" s="1"/>
  <c r="A54" i="3"/>
  <c r="A53" i="3"/>
  <c r="E39" i="3"/>
  <c r="E20" i="3"/>
  <c r="A11" i="3"/>
  <c r="A12" i="3" s="1"/>
  <c r="A13" i="3" s="1"/>
  <c r="A14" i="3" s="1"/>
  <c r="A16" i="3" s="1"/>
  <c r="A17" i="3" s="1"/>
  <c r="A19" i="3" s="1"/>
  <c r="E308" i="3" l="1"/>
  <c r="E580" i="3"/>
  <c r="E644" i="3"/>
</calcChain>
</file>

<file path=xl/sharedStrings.xml><?xml version="1.0" encoding="utf-8"?>
<sst xmlns="http://schemas.openxmlformats.org/spreadsheetml/2006/main" count="13691" uniqueCount="5146">
  <si>
    <t>Product_Code</t>
  </si>
  <si>
    <t>DEPOT</t>
  </si>
  <si>
    <t>Product_Name_Raw</t>
  </si>
  <si>
    <t>c</t>
  </si>
  <si>
    <t>PRODUCT_CODE_ALL_ROW</t>
  </si>
  <si>
    <t>Product_Name</t>
  </si>
  <si>
    <t>SUB_GROUP_STANDARD</t>
  </si>
  <si>
    <t>TOP_50_CALCULATION</t>
  </si>
  <si>
    <t>AC01</t>
  </si>
  <si>
    <t>ACLO TAB</t>
  </si>
  <si>
    <t>ACE1</t>
  </si>
  <si>
    <t>ZONE</t>
  </si>
  <si>
    <t>ACIPRA 20 CAP</t>
  </si>
  <si>
    <t>RX CODE</t>
  </si>
  <si>
    <t>MARKET</t>
  </si>
  <si>
    <t>ACIPRA 20CAP(New)</t>
  </si>
  <si>
    <t>OLD CODE</t>
  </si>
  <si>
    <t>SNAP RESTRICTED</t>
  </si>
  <si>
    <t>ACO1</t>
  </si>
  <si>
    <t>FM/AM</t>
  </si>
  <si>
    <t>ACLO TAB-160</t>
  </si>
  <si>
    <t>ACLO TAB-160'S</t>
  </si>
  <si>
    <t>ACLO TABLET</t>
  </si>
  <si>
    <t>Confirm Sales Tgt. of April-2026</t>
  </si>
  <si>
    <t>ACQ1</t>
  </si>
  <si>
    <t>ACLO TAB (B)</t>
  </si>
  <si>
    <t>ZA03</t>
  </si>
  <si>
    <t>ACLO TAB-100mg</t>
  </si>
  <si>
    <t>MPO/SMPO (General Party) Unit Target</t>
  </si>
  <si>
    <t>ADN6</t>
  </si>
  <si>
    <t>ADNIX TAB</t>
  </si>
  <si>
    <t>FM/AM (Type-1 &amp; PP) Unit Target</t>
  </si>
  <si>
    <t>ADQ6</t>
  </si>
  <si>
    <t>ADNIX PFS</t>
  </si>
  <si>
    <t>ALH1</t>
  </si>
  <si>
    <t>ALAGRA -60 TAB</t>
  </si>
  <si>
    <t>ALAGRA 60 TAB</t>
  </si>
  <si>
    <t>ALAGRA-60 TAB</t>
  </si>
  <si>
    <t>Sl. No.</t>
  </si>
  <si>
    <t>ALK1</t>
  </si>
  <si>
    <t>ALAGRA -120 TAB</t>
  </si>
  <si>
    <t>Name of Field Forces</t>
  </si>
  <si>
    <t>Designation</t>
  </si>
  <si>
    <t>ALAGRA 120 TAB</t>
  </si>
  <si>
    <t>Present Market</t>
  </si>
  <si>
    <t>No. of MPO/SMPO 2026</t>
  </si>
  <si>
    <t>ALAGRA-120 TAB</t>
  </si>
  <si>
    <t>MPO/SMPO Confirm Sales Tgt. (General Party)</t>
  </si>
  <si>
    <t>FM/AM Confirm Sales Tgt. (Type-1 &amp; PP)</t>
  </si>
  <si>
    <t>ALAGRA-120 TAB 60s</t>
  </si>
  <si>
    <t>Total Confirm Sales Target</t>
  </si>
  <si>
    <t>ALAGRA-120 TAB 60's</t>
  </si>
  <si>
    <t>Mokast-10 Tab.</t>
  </si>
  <si>
    <t>Alagra 120 Tab.</t>
  </si>
  <si>
    <t>ALAGRA-120 TAB(New)</t>
  </si>
  <si>
    <t>Alagra 180 Tab.</t>
  </si>
  <si>
    <t>Aclo-100mg Tab.</t>
  </si>
  <si>
    <t>Amdin Plus Tab.</t>
  </si>
  <si>
    <t>Diaprid Tab.</t>
  </si>
  <si>
    <t>Dompi Tab.</t>
  </si>
  <si>
    <t>Esopra-20 Tab.</t>
  </si>
  <si>
    <t>ALM1</t>
  </si>
  <si>
    <t>Calmi-D 30 Tab.</t>
  </si>
  <si>
    <t>ALAGRA -120 TAB (B)</t>
  </si>
  <si>
    <t>Tixol Tab.</t>
  </si>
  <si>
    <t>Tolec Tab.</t>
  </si>
  <si>
    <t>Omepra-20 Cap.</t>
  </si>
  <si>
    <t>Saver 200 Cap.</t>
  </si>
  <si>
    <t>Dumoflox 500 Tab.</t>
  </si>
  <si>
    <t>Zinex 500 Tab.</t>
  </si>
  <si>
    <t>Derma 50 Cap.</t>
  </si>
  <si>
    <t>Derma 150 Cap.</t>
  </si>
  <si>
    <t>ALAGRA-120 TAB  (B)</t>
  </si>
  <si>
    <t>ALAGRA-120 TAB (B)</t>
  </si>
  <si>
    <t>ALAGRA-120 TAB (B)60's</t>
  </si>
  <si>
    <t>Zone : Tangail</t>
  </si>
  <si>
    <t>VACANT (JUN'26)?</t>
  </si>
  <si>
    <t>ZA04</t>
  </si>
  <si>
    <t>ALAGRA-120 TAB 12's</t>
  </si>
  <si>
    <t>DESIG (JUN'26)</t>
  </si>
  <si>
    <t>MMO</t>
  </si>
  <si>
    <t>SM</t>
  </si>
  <si>
    <t>DREAM APPS MPO CODE</t>
  </si>
  <si>
    <t>DEPOTMPO CODE</t>
  </si>
  <si>
    <t>APP ZONE</t>
  </si>
  <si>
    <t>APP CODE (FINAL)</t>
  </si>
  <si>
    <t>ZA05</t>
  </si>
  <si>
    <t>ALAGRA-120 TAB 30's</t>
  </si>
  <si>
    <t>ALN1</t>
  </si>
  <si>
    <t>ALAGRA 180 TAB</t>
  </si>
  <si>
    <t>MPO NAME, JUN'26</t>
  </si>
  <si>
    <t>ALAGRA -180 TAB</t>
  </si>
  <si>
    <t>CODE, NUMBER</t>
  </si>
  <si>
    <t>Mr. Md. Parvez Hossain</t>
  </si>
  <si>
    <t>MPO</t>
  </si>
  <si>
    <t>FM CODE</t>
  </si>
  <si>
    <t>Kaliakoir-1</t>
  </si>
  <si>
    <t>DA NAME</t>
  </si>
  <si>
    <t>ALAGRA-180 TAB</t>
  </si>
  <si>
    <t>JAN'26'MPO'VACANT</t>
  </si>
  <si>
    <t>FEB'26'MPO'VACANT</t>
  </si>
  <si>
    <t>MAR'26'MPO'VACANT</t>
  </si>
  <si>
    <t>APR'26'MPO'VACANT</t>
  </si>
  <si>
    <t>MAY'26'MPO'VACANT</t>
  </si>
  <si>
    <t>ALAGRA-180 TAB 30's</t>
  </si>
  <si>
    <t>JUN'26'MPO'VACANT</t>
  </si>
  <si>
    <t>JUL'26'MPO'VACANT</t>
  </si>
  <si>
    <t>AUG'26'MPO'VACANT</t>
  </si>
  <si>
    <t>SEP'26'MPO'VACANT</t>
  </si>
  <si>
    <t>OCT'26'MPO'VACANT</t>
  </si>
  <si>
    <t>NOV'26'MPO'VACANT</t>
  </si>
  <si>
    <t>ALP1</t>
  </si>
  <si>
    <t>ALAGRA -180 TAB (B)</t>
  </si>
  <si>
    <t>DEC'26'MPO'VACANT</t>
  </si>
  <si>
    <t>ALAGRA-180 TAB (B)</t>
  </si>
  <si>
    <t>CUMILLA</t>
  </si>
  <si>
    <t>ALAGRA-180 TAB (B)30's</t>
  </si>
  <si>
    <t>ALS1</t>
  </si>
  <si>
    <t>COM</t>
  </si>
  <si>
    <t>ALAGRA SUSP</t>
  </si>
  <si>
    <t>CM1</t>
  </si>
  <si>
    <t>Mr. Md. Juel Hossain</t>
  </si>
  <si>
    <t>Kaliakoir-2</t>
  </si>
  <si>
    <t>ALAGRA SUSP.</t>
  </si>
  <si>
    <t>CUMILLA-3</t>
  </si>
  <si>
    <t>ALAGRA-SUSP</t>
  </si>
  <si>
    <t>GOLAM KIBREA</t>
  </si>
  <si>
    <t>ALT1</t>
  </si>
  <si>
    <t>ALAGRA SUSP (B)</t>
  </si>
  <si>
    <t>GOLAM KIBREA, COM</t>
  </si>
  <si>
    <t>Y</t>
  </si>
  <si>
    <t>ZA09</t>
  </si>
  <si>
    <t>AM(Self)</t>
  </si>
  <si>
    <t>Vacant</t>
  </si>
  <si>
    <t>AGM, MKT</t>
  </si>
  <si>
    <t>CM03</t>
  </si>
  <si>
    <t>CUMILLACM03</t>
  </si>
  <si>
    <t>Konabari</t>
  </si>
  <si>
    <t>COMCM03</t>
  </si>
  <si>
    <t>GOLAM KIBREA-AM</t>
  </si>
  <si>
    <t>AMD3</t>
  </si>
  <si>
    <t>AMDIN -5 TAB</t>
  </si>
  <si>
    <t>AMDIN 5 TAB</t>
  </si>
  <si>
    <t>AMDIN-5 TAB</t>
  </si>
  <si>
    <t>AMK3</t>
  </si>
  <si>
    <t>AMDIN PLUS  TAB</t>
  </si>
  <si>
    <t>AMDIN PLUS TAB</t>
  </si>
  <si>
    <t>WALIULLAH</t>
  </si>
  <si>
    <t>Mirzapur(+Mirzapur-1) (Mirzapur-1)</t>
  </si>
  <si>
    <t>AMM3</t>
  </si>
  <si>
    <t>AMDIN PLUS  TAB(B)</t>
  </si>
  <si>
    <t>AMDIN PLUS TAB (B)</t>
  </si>
  <si>
    <t>CM13</t>
  </si>
  <si>
    <t>ZA11</t>
  </si>
  <si>
    <t>BURICHONG</t>
  </si>
  <si>
    <t>AMDIN PLUS TAB 10's</t>
  </si>
  <si>
    <t>BC01</t>
  </si>
  <si>
    <t>CUMILLABC01</t>
  </si>
  <si>
    <t>Mr. Md. Abul Kalam Azad</t>
  </si>
  <si>
    <t>SMPO</t>
  </si>
  <si>
    <t>BC02</t>
  </si>
  <si>
    <t>Gazipur (Gazipur-2)</t>
  </si>
  <si>
    <t>COMBC02</t>
  </si>
  <si>
    <t>ATJ3</t>
  </si>
  <si>
    <t xml:space="preserve">VACANT </t>
  </si>
  <si>
    <t>ATOVIN-10 TAB</t>
  </si>
  <si>
    <t>ATOVIN 10 TAB</t>
  </si>
  <si>
    <t>AXP1</t>
  </si>
  <si>
    <t>AXECLAV - 250 TAB</t>
  </si>
  <si>
    <t>AXECLAV 250 TAB</t>
  </si>
  <si>
    <t>CM4</t>
  </si>
  <si>
    <t>CHANDINA</t>
  </si>
  <si>
    <t>AXECLAV- 250 TAB</t>
  </si>
  <si>
    <t>CN01</t>
  </si>
  <si>
    <t>CUMILLACN01</t>
  </si>
  <si>
    <t>AXECLAV-250 TAB</t>
  </si>
  <si>
    <t>CN02</t>
  </si>
  <si>
    <t>COMCN02</t>
  </si>
  <si>
    <t xml:space="preserve">MASHEKUR RAHMAN  </t>
  </si>
  <si>
    <t>AXQ1</t>
  </si>
  <si>
    <t>AXECLAV - 250 TAB (B)</t>
  </si>
  <si>
    <t>ZB01</t>
  </si>
  <si>
    <t>BABIVIT Drops(15ml)</t>
  </si>
  <si>
    <t>Mr. Md. Ali Hossain</t>
  </si>
  <si>
    <t>BABIVIT</t>
  </si>
  <si>
    <t>AM</t>
  </si>
  <si>
    <t>Kaliakor</t>
  </si>
  <si>
    <t>CM8</t>
  </si>
  <si>
    <t>BEG6</t>
  </si>
  <si>
    <t>DEBIDWAR</t>
  </si>
  <si>
    <t>BENDIL CREAM-10</t>
  </si>
  <si>
    <t>BENDIL CREAM 10</t>
  </si>
  <si>
    <t>BEK6</t>
  </si>
  <si>
    <t>BENDIL CREAM-30</t>
  </si>
  <si>
    <t>DB01</t>
  </si>
  <si>
    <t>CUMILLADB01</t>
  </si>
  <si>
    <t>DB03</t>
  </si>
  <si>
    <t>BENDIL CREAM 30</t>
  </si>
  <si>
    <t>COMDB03</t>
  </si>
  <si>
    <t>BEN6</t>
  </si>
  <si>
    <t>BETASEF-250 CAP</t>
  </si>
  <si>
    <t>BETASEF 250 CAP</t>
  </si>
  <si>
    <t>BETASEF-250CAP</t>
  </si>
  <si>
    <t>BEQ6</t>
  </si>
  <si>
    <t>BETASEF- 500 CAP</t>
  </si>
  <si>
    <t>CM18</t>
  </si>
  <si>
    <t>LAKSHAM-1</t>
  </si>
  <si>
    <t>BETASEF 500 CAP</t>
  </si>
  <si>
    <t>MOHAMMAD AHSAN HABIB</t>
  </si>
  <si>
    <t>MOHAMMAD AHSAN HABIB, COM</t>
  </si>
  <si>
    <t>BETASEF-500 CAP</t>
  </si>
  <si>
    <t>LK01</t>
  </si>
  <si>
    <t>CUMILLALK01</t>
  </si>
  <si>
    <t>BETASEF-500CAP</t>
  </si>
  <si>
    <t>COMLK01</t>
  </si>
  <si>
    <t>BET6</t>
  </si>
  <si>
    <t>BETASEF PD</t>
  </si>
  <si>
    <t>LK03</t>
  </si>
  <si>
    <t>JASHIM UDDIN</t>
  </si>
  <si>
    <t>BEV6</t>
  </si>
  <si>
    <t>BETASEF PFS</t>
  </si>
  <si>
    <t>CM19</t>
  </si>
  <si>
    <t>BRK6</t>
  </si>
  <si>
    <t>BROLYT SYRUP</t>
  </si>
  <si>
    <t>Mr. Md. Rashidul Islam-AM</t>
  </si>
  <si>
    <t xml:space="preserve">LAKSHAM-2 </t>
  </si>
  <si>
    <t>CAC6</t>
  </si>
  <si>
    <t>CALMI -500 TAB</t>
  </si>
  <si>
    <t>Tangail-1</t>
  </si>
  <si>
    <t>CALMI 500 TAB</t>
  </si>
  <si>
    <t>AFM</t>
  </si>
  <si>
    <t>CALMI-500 TAB</t>
  </si>
  <si>
    <t>LK02</t>
  </si>
  <si>
    <t>CUMILLALK02</t>
  </si>
  <si>
    <t>COMLK02</t>
  </si>
  <si>
    <t>APU BANIK</t>
  </si>
  <si>
    <t>CAF1</t>
  </si>
  <si>
    <t>CALMI -D TAB -15</t>
  </si>
  <si>
    <t>LK04</t>
  </si>
  <si>
    <t>CALMI D TAB 15</t>
  </si>
  <si>
    <t>CALMI-D TAB 15</t>
  </si>
  <si>
    <t>CALMI-D TAB -15</t>
  </si>
  <si>
    <t>CM20</t>
  </si>
  <si>
    <t xml:space="preserve">LANGHOLKOT </t>
  </si>
  <si>
    <t>CALMI-D TAB-15</t>
  </si>
  <si>
    <t>NK01</t>
  </si>
  <si>
    <t>CUMILLANK01</t>
  </si>
  <si>
    <t>CAG1</t>
  </si>
  <si>
    <t>COMNK01</t>
  </si>
  <si>
    <t>CALMI-D TAB-15 (F)</t>
  </si>
  <si>
    <t>GOPAL CHANDRA NATH</t>
  </si>
  <si>
    <t>NK02</t>
  </si>
  <si>
    <t>CAH1</t>
  </si>
  <si>
    <t>CALMI -D TAB -15 (B)</t>
  </si>
  <si>
    <t>CALMI-D TAB -15 (B)</t>
  </si>
  <si>
    <t>CM21</t>
  </si>
  <si>
    <t>Mr. Md. Shihab Miah</t>
  </si>
  <si>
    <t>CHOWDDAGRAM</t>
  </si>
  <si>
    <t>Tangail-3</t>
  </si>
  <si>
    <t>CALMI-D TAB 15(B)</t>
  </si>
  <si>
    <t>CG01</t>
  </si>
  <si>
    <t>CUMILLACG01</t>
  </si>
  <si>
    <t>CALMI-D TAB-15 (B)</t>
  </si>
  <si>
    <t>COMCG01</t>
  </si>
  <si>
    <t>MOHAMMAD AHSAN HABIB-AM</t>
  </si>
  <si>
    <t>CALMI-D TAB-15(B)</t>
  </si>
  <si>
    <t>CAJ1</t>
  </si>
  <si>
    <t>CALMI -D TAB -30</t>
  </si>
  <si>
    <t>CALMI D TAB 30</t>
  </si>
  <si>
    <t>CM10</t>
  </si>
  <si>
    <t>CUMILLA-1</t>
  </si>
  <si>
    <t>CALMI-D TAB 30</t>
  </si>
  <si>
    <t>NURUL ISLAM</t>
  </si>
  <si>
    <t>NURUL ISLAM, COM</t>
  </si>
  <si>
    <t>CALMI-D TAB -30</t>
  </si>
  <si>
    <t>Mr. Md. Saiful Islam-2</t>
  </si>
  <si>
    <t>CM01</t>
  </si>
  <si>
    <t>CUMILLACM01</t>
  </si>
  <si>
    <t>Nagarpur-1</t>
  </si>
  <si>
    <t>COMCM01</t>
  </si>
  <si>
    <t>CALMI-D TAB-30</t>
  </si>
  <si>
    <t>CM04</t>
  </si>
  <si>
    <t>CAK1</t>
  </si>
  <si>
    <t>CALMI-D TAB-30.</t>
  </si>
  <si>
    <t>CAL1</t>
  </si>
  <si>
    <t>CM14</t>
  </si>
  <si>
    <t>CALMI-D TAB 30 (B)</t>
  </si>
  <si>
    <t>CUMILLA-2  (CUMILLA-5)</t>
  </si>
  <si>
    <t>CM12</t>
  </si>
  <si>
    <t>CALMI-D TAB -30 (B)</t>
  </si>
  <si>
    <t>Sr.FM(Self)</t>
  </si>
  <si>
    <t>CM02</t>
  </si>
  <si>
    <t>CALMI-D TAB-30 (B)</t>
  </si>
  <si>
    <t>Nagarpur-2</t>
  </si>
  <si>
    <t>CUMILLACM02</t>
  </si>
  <si>
    <t>CM05</t>
  </si>
  <si>
    <t>COMCM05</t>
  </si>
  <si>
    <t>NURUL ISLAM-SR.FM</t>
  </si>
  <si>
    <t>CAP3</t>
  </si>
  <si>
    <t>CARDILOCK TAB</t>
  </si>
  <si>
    <t>CAS1</t>
  </si>
  <si>
    <t>C-4 TABLET</t>
  </si>
  <si>
    <t>C4 TABLET</t>
  </si>
  <si>
    <t>CM16</t>
  </si>
  <si>
    <t>CEP6</t>
  </si>
  <si>
    <t>BARURA</t>
  </si>
  <si>
    <t>CEPDOXIM PFS -50</t>
  </si>
  <si>
    <t>CEPDOXIM PFS 50</t>
  </si>
  <si>
    <t>CEPDOXIM PFS-50</t>
  </si>
  <si>
    <t>BR01</t>
  </si>
  <si>
    <t>CUMILLABR01</t>
  </si>
  <si>
    <t>BR02</t>
  </si>
  <si>
    <t>COMBR02</t>
  </si>
  <si>
    <t>AL-MAMUN-1</t>
  </si>
  <si>
    <t>CLP3</t>
  </si>
  <si>
    <t>CLOPIDOL TAB</t>
  </si>
  <si>
    <t>Mr. Md. Rashidul Islam</t>
  </si>
  <si>
    <t>Tangail-A</t>
  </si>
  <si>
    <t>CLS3</t>
  </si>
  <si>
    <t>CLOPIDOL PLUS TAB</t>
  </si>
  <si>
    <t>CLV2</t>
  </si>
  <si>
    <t>CLOSTEN CREAM</t>
  </si>
  <si>
    <t>CM2</t>
  </si>
  <si>
    <t>GOURIPUR (COM.)</t>
  </si>
  <si>
    <t>DAN6</t>
  </si>
  <si>
    <t>DAZINE CREAM</t>
  </si>
  <si>
    <t>DEF2</t>
  </si>
  <si>
    <t>DERFIN CREAM</t>
  </si>
  <si>
    <t>GR01</t>
  </si>
  <si>
    <t>CUMILLAGR01</t>
  </si>
  <si>
    <t>COMGR01</t>
  </si>
  <si>
    <t>ATAUR RAHMAN</t>
  </si>
  <si>
    <t>DEJ1</t>
  </si>
  <si>
    <t>DERMA-50 CAP</t>
  </si>
  <si>
    <t>GR02</t>
  </si>
  <si>
    <t>DERMA 50 CAP</t>
  </si>
  <si>
    <t>RAKIB IBNE MARUF</t>
  </si>
  <si>
    <t>DERMA CAP</t>
  </si>
  <si>
    <t>Tangail-2</t>
  </si>
  <si>
    <t>DERMA-50 CAP (B)</t>
  </si>
  <si>
    <t>FENI</t>
  </si>
  <si>
    <t>F1</t>
  </si>
  <si>
    <t>DERMA-50 CAP (B)30's</t>
  </si>
  <si>
    <t xml:space="preserve">FENI-1 (FENI-2) </t>
  </si>
  <si>
    <t>F2</t>
  </si>
  <si>
    <t>GONESH CHANDRA ROY</t>
  </si>
  <si>
    <t>GONESH CHANDRA ROY, FENI</t>
  </si>
  <si>
    <t>DEK1</t>
  </si>
  <si>
    <t>FN02</t>
  </si>
  <si>
    <t>DERMA-50 CAP (F)</t>
  </si>
  <si>
    <t>CUMILLAFN02</t>
  </si>
  <si>
    <t>FENIFN02</t>
  </si>
  <si>
    <t>GONESH CHANDRA ROY -AM</t>
  </si>
  <si>
    <t>DEM1</t>
  </si>
  <si>
    <t>DERMA-150 CAP</t>
  </si>
  <si>
    <t>HASHEM</t>
  </si>
  <si>
    <t>DERMA 150 CAP</t>
  </si>
  <si>
    <t>DERMA-150 CAP (B)</t>
  </si>
  <si>
    <t>FENI-2 (FENI-4)</t>
  </si>
  <si>
    <t>F5</t>
  </si>
  <si>
    <t>DERMA-150 CAP (B)20's</t>
  </si>
  <si>
    <t>Mr. Md. Shafiqul Islam-FM</t>
  </si>
  <si>
    <t>FM(Self)</t>
  </si>
  <si>
    <t>Elenga+Bhuapur+Gopalpur+Ghatail+Bashail</t>
  </si>
  <si>
    <t>FN04</t>
  </si>
  <si>
    <t>CUMILLAFN04</t>
  </si>
  <si>
    <t>FN05</t>
  </si>
  <si>
    <t>FENIFN05</t>
  </si>
  <si>
    <t>ASHIS CHANDRA MAJUMDER</t>
  </si>
  <si>
    <t>DEN1</t>
  </si>
  <si>
    <t>DERMA-150 CAP(F)</t>
  </si>
  <si>
    <t>MAINUDDIN</t>
  </si>
  <si>
    <t>ZD01</t>
  </si>
  <si>
    <t>DERMA-150 CAP (B)3's</t>
  </si>
  <si>
    <t>F4</t>
  </si>
  <si>
    <t>SONAGAZI</t>
  </si>
  <si>
    <t>F6</t>
  </si>
  <si>
    <t>SO01</t>
  </si>
  <si>
    <t>CUMILLASO01</t>
  </si>
  <si>
    <t>SG01</t>
  </si>
  <si>
    <t>DEP1</t>
  </si>
  <si>
    <t>FENISG01</t>
  </si>
  <si>
    <t>DESOPRA-30 CAP</t>
  </si>
  <si>
    <t>ABDUL MATIN</t>
  </si>
  <si>
    <t>DESOPRA 30 CAP</t>
  </si>
  <si>
    <t>SO02</t>
  </si>
  <si>
    <t>Mr. Md. Shafiqul Islam</t>
  </si>
  <si>
    <t>DIP4</t>
  </si>
  <si>
    <t>DIAPRID TAB</t>
  </si>
  <si>
    <t>FM</t>
  </si>
  <si>
    <t>Tangail-B</t>
  </si>
  <si>
    <t>DIR4</t>
  </si>
  <si>
    <t>DIAPRID TAB (B)</t>
  </si>
  <si>
    <t>CHAGALNAIYA-1+FULGAZI</t>
  </si>
  <si>
    <t>F8</t>
  </si>
  <si>
    <t>DIS6</t>
  </si>
  <si>
    <t>DIRIN TAB</t>
  </si>
  <si>
    <t>CA01</t>
  </si>
  <si>
    <t>CUMILLACA01</t>
  </si>
  <si>
    <t>FENICG01</t>
  </si>
  <si>
    <t>DIV6</t>
  </si>
  <si>
    <t>DIRIN SYRUP</t>
  </si>
  <si>
    <t>DOS1</t>
  </si>
  <si>
    <t>DOMPI SUSP</t>
  </si>
  <si>
    <t>DOMPI SUSP.</t>
  </si>
  <si>
    <t>CHAGALNAIYA-2</t>
  </si>
  <si>
    <t>F9</t>
  </si>
  <si>
    <t>DOT1</t>
  </si>
  <si>
    <t>DOMPI TAB</t>
  </si>
  <si>
    <t>CA02</t>
  </si>
  <si>
    <t>CUMILLACA02</t>
  </si>
  <si>
    <t>CG02</t>
  </si>
  <si>
    <t>FENICG02</t>
  </si>
  <si>
    <t>JAHIRUL ISLAM</t>
  </si>
  <si>
    <t>DOMPI TAB (160'S)</t>
  </si>
  <si>
    <t>Chowrasta+Gazipur-1+Sreepur+Tongi-1+3)</t>
  </si>
  <si>
    <t>CA03</t>
  </si>
  <si>
    <t>DOMPI TAB 160s</t>
  </si>
  <si>
    <t>DOMPI TAB(NEW)</t>
  </si>
  <si>
    <t>F7</t>
  </si>
  <si>
    <t xml:space="preserve">BASHURHAT </t>
  </si>
  <si>
    <t>F15</t>
  </si>
  <si>
    <t>VACANT, DAGONBHUIYA</t>
  </si>
  <si>
    <t>VACANT, DAGONBHUIYA, FENI</t>
  </si>
  <si>
    <t>DOV1</t>
  </si>
  <si>
    <t>DOMPI TAB (B)</t>
  </si>
  <si>
    <t>BH01</t>
  </si>
  <si>
    <t>CUMILLABH01</t>
  </si>
  <si>
    <t>FENIBH01</t>
  </si>
  <si>
    <t>DOMPI TAB 160s.. B</t>
  </si>
  <si>
    <t>DOMPI TAB(B)</t>
  </si>
  <si>
    <t>DOMPI TAB(NEW)B</t>
  </si>
  <si>
    <t>DAGONBHUIYA-1+SENBAG</t>
  </si>
  <si>
    <t>F12</t>
  </si>
  <si>
    <t>ZD06</t>
  </si>
  <si>
    <t>SH</t>
  </si>
  <si>
    <t>DOMPI TAB (30'S)</t>
  </si>
  <si>
    <t>Tangail</t>
  </si>
  <si>
    <t>DG01</t>
  </si>
  <si>
    <t>CUMILLADG01</t>
  </si>
  <si>
    <t>FENIDG01</t>
  </si>
  <si>
    <t>DUF1</t>
  </si>
  <si>
    <t>DUMAFLOX-250 TAB</t>
  </si>
  <si>
    <t>DUMAFLOX 250 TAB</t>
  </si>
  <si>
    <t>DUJ1</t>
  </si>
  <si>
    <t>DUMAFLOX -500 TAB</t>
  </si>
  <si>
    <t>DAGONBHUIYA-2</t>
  </si>
  <si>
    <t>DUMAFLOX 500 TAB</t>
  </si>
  <si>
    <t>F13</t>
  </si>
  <si>
    <t>DUMAFLOX-500 TAB</t>
  </si>
  <si>
    <t>DG02</t>
  </si>
  <si>
    <t>CUMILLADG02</t>
  </si>
  <si>
    <t>FENIDG02</t>
  </si>
  <si>
    <t>DUL1</t>
  </si>
  <si>
    <t>DUMAFLOX -500 TAB (B)</t>
  </si>
  <si>
    <t>DUMAFLOX -500 TAB(B)</t>
  </si>
  <si>
    <t>DUMAFLOX-500 TAB (B)</t>
  </si>
  <si>
    <t>MAIZ</t>
  </si>
  <si>
    <t>MZ10</t>
  </si>
  <si>
    <t>SONAIMURI</t>
  </si>
  <si>
    <t>F22</t>
  </si>
  <si>
    <t>ABDUR RAHIM</t>
  </si>
  <si>
    <t>ABDUR RAHIM, MAIZ</t>
  </si>
  <si>
    <t>DUMAFLOX-500 TAB(B)</t>
  </si>
  <si>
    <t>Sr.RSM(Self)</t>
  </si>
  <si>
    <t>SM01</t>
  </si>
  <si>
    <t>CUMILLASM01</t>
  </si>
  <si>
    <t>ZD02</t>
  </si>
  <si>
    <t>FENISM01</t>
  </si>
  <si>
    <t>ABDUR RAHIM-SR.RSM</t>
  </si>
  <si>
    <t>DELWAR HOSSAIN</t>
  </si>
  <si>
    <t>DUM1</t>
  </si>
  <si>
    <t>MZ12</t>
  </si>
  <si>
    <t>DUMAFLOX-750 TAB</t>
  </si>
  <si>
    <t>CHANDRAGONJ</t>
  </si>
  <si>
    <t>MZ19</t>
  </si>
  <si>
    <t>DUMAFLOX 750 TAB</t>
  </si>
  <si>
    <t>DUP1</t>
  </si>
  <si>
    <t>CJ01</t>
  </si>
  <si>
    <t>DUMAFLOX G. SUSP</t>
  </si>
  <si>
    <t>CUMILLACJ01</t>
  </si>
  <si>
    <t>MAIZCJ01</t>
  </si>
  <si>
    <t>DUMAFLOX G. SUSP.</t>
  </si>
  <si>
    <t>CJ02</t>
  </si>
  <si>
    <t>ECJ1</t>
  </si>
  <si>
    <t>ECOX-60 TAB</t>
  </si>
  <si>
    <t>Zone : Norshingdi</t>
  </si>
  <si>
    <t>MZ4</t>
  </si>
  <si>
    <t>RAMGOTI</t>
  </si>
  <si>
    <t>ECOX 60 TAB</t>
  </si>
  <si>
    <t>MZ22</t>
  </si>
  <si>
    <t>ECM1</t>
  </si>
  <si>
    <t>ECOX-90 TAB</t>
  </si>
  <si>
    <t>RG01</t>
  </si>
  <si>
    <t>CUMILLARG01</t>
  </si>
  <si>
    <t>ECOX 90 TAB</t>
  </si>
  <si>
    <t>MAIZRG01</t>
  </si>
  <si>
    <t>ECP1</t>
  </si>
  <si>
    <t>ECOX-120 TAB</t>
  </si>
  <si>
    <t>ECOX 120 TAB</t>
  </si>
  <si>
    <t>RG02</t>
  </si>
  <si>
    <t>NUR NOBI</t>
  </si>
  <si>
    <t>EME6</t>
  </si>
  <si>
    <t>EMISET-8 TAB</t>
  </si>
  <si>
    <t>EMISET 8 TAB</t>
  </si>
  <si>
    <t>EMJ6</t>
  </si>
  <si>
    <t>EMISET ORAL SU.SYRUP</t>
  </si>
  <si>
    <t>MZ5</t>
  </si>
  <si>
    <t>LAKSHMIPUR -1</t>
  </si>
  <si>
    <t>MZ15</t>
  </si>
  <si>
    <t>EMISET SYRUP</t>
  </si>
  <si>
    <t>HUMAUN KABIR</t>
  </si>
  <si>
    <t>HUMAUN KABIR, MAIZ</t>
  </si>
  <si>
    <t>Narsingdi-1</t>
  </si>
  <si>
    <t>LX01</t>
  </si>
  <si>
    <t>CUMILLALX01</t>
  </si>
  <si>
    <t>MAIZLX01</t>
  </si>
  <si>
    <t xml:space="preserve">NAZRUL ISLAM </t>
  </si>
  <si>
    <t>EMISET- SYRUP</t>
  </si>
  <si>
    <t>LX05</t>
  </si>
  <si>
    <t>SHAHADAT HOSSEN</t>
  </si>
  <si>
    <t>EML6</t>
  </si>
  <si>
    <t>EMULYT SYRUP</t>
  </si>
  <si>
    <t>EPD2</t>
  </si>
  <si>
    <t>EPIZAM -0.5 TAB</t>
  </si>
  <si>
    <t>MZ6</t>
  </si>
  <si>
    <t>LAKSHMIPUR -2</t>
  </si>
  <si>
    <t>MZ16</t>
  </si>
  <si>
    <t>EPIZAM 0.5 TAB</t>
  </si>
  <si>
    <t>EPIZAM- 0.5 TAB</t>
  </si>
  <si>
    <t>LX02</t>
  </si>
  <si>
    <t>CUMILLALX02</t>
  </si>
  <si>
    <t>Mr. Md. Faruk Hossain</t>
  </si>
  <si>
    <t>Norsingdi-2</t>
  </si>
  <si>
    <t>MAIZLX02</t>
  </si>
  <si>
    <t>PALASH CHANDRA PAUL</t>
  </si>
  <si>
    <t>EPIZAM-0.5 TAB</t>
  </si>
  <si>
    <t>LX06</t>
  </si>
  <si>
    <t>EPG2</t>
  </si>
  <si>
    <t>EPIZAM-2 TAB</t>
  </si>
  <si>
    <t>EPIZAM 2 TAB</t>
  </si>
  <si>
    <t>ESF1</t>
  </si>
  <si>
    <t>ESOPRA -20 TAB</t>
  </si>
  <si>
    <t>MZ7</t>
  </si>
  <si>
    <t>LAKSHMIPUR -3</t>
  </si>
  <si>
    <t>MZ17</t>
  </si>
  <si>
    <t>ESOPRA 20 TAB</t>
  </si>
  <si>
    <t>ESOPRA-20 TAB</t>
  </si>
  <si>
    <t>LX03</t>
  </si>
  <si>
    <t>CUMILLALX03</t>
  </si>
  <si>
    <t>MAIZLX03</t>
  </si>
  <si>
    <t>VACANT</t>
  </si>
  <si>
    <t>ESOPRA-20 TAB 70s</t>
  </si>
  <si>
    <t>Mr. Md. An-Islam (Anis)</t>
  </si>
  <si>
    <t>LX07</t>
  </si>
  <si>
    <t>Norsingdi-3</t>
  </si>
  <si>
    <t>ESOPRA-20 TAB -70's</t>
  </si>
  <si>
    <t>ESOPRA-20 TAB(70)</t>
  </si>
  <si>
    <t>MZ8</t>
  </si>
  <si>
    <t>LAKSHMIPUR -4</t>
  </si>
  <si>
    <t>MZ18</t>
  </si>
  <si>
    <t>ESOPRA-20 TAB-70</t>
  </si>
  <si>
    <t>LX04</t>
  </si>
  <si>
    <t>CUMILLALX04</t>
  </si>
  <si>
    <t>ESOPRA-20 TABLET</t>
  </si>
  <si>
    <t>MAIZLX04</t>
  </si>
  <si>
    <t>LX08</t>
  </si>
  <si>
    <t>ESG1</t>
  </si>
  <si>
    <t>ESOPRA-20 TAB 70s (F)</t>
  </si>
  <si>
    <t>Mr. Fazle Rahman</t>
  </si>
  <si>
    <t>Madhobdi-1</t>
  </si>
  <si>
    <t>ESH1</t>
  </si>
  <si>
    <t>MZ13</t>
  </si>
  <si>
    <t>B. BARIA  (B. BARIA-4)</t>
  </si>
  <si>
    <t>B8</t>
  </si>
  <si>
    <t>MASUM PARVEJ</t>
  </si>
  <si>
    <t>MASUM PARVEJ, MAIZ</t>
  </si>
  <si>
    <t>ESOPRA -20 TAB (B)</t>
  </si>
  <si>
    <t>BB04</t>
  </si>
  <si>
    <t>CUMILLABB04</t>
  </si>
  <si>
    <t>B.BARIA</t>
  </si>
  <si>
    <t>ESOPRA-20 TAB ( B)70's</t>
  </si>
  <si>
    <t>ESOPRA-20 TAB (B)</t>
  </si>
  <si>
    <t>B.BARIABB04</t>
  </si>
  <si>
    <t>ZOBAER ALAM</t>
  </si>
  <si>
    <t>ESOPRA-20 TAB 70s (B)</t>
  </si>
  <si>
    <t>BB05</t>
  </si>
  <si>
    <t>ABDUL KADIR</t>
  </si>
  <si>
    <t>ESOPRA-20 TAB(70-B)</t>
  </si>
  <si>
    <t>Madhobdi-2</t>
  </si>
  <si>
    <t>ESOPRA-20 TAB(B)</t>
  </si>
  <si>
    <t>MZ14</t>
  </si>
  <si>
    <t>CHARGUS</t>
  </si>
  <si>
    <t>B12</t>
  </si>
  <si>
    <t>ESOPRA-20 TAB-70(B)</t>
  </si>
  <si>
    <t>CS01</t>
  </si>
  <si>
    <t>CUMILLACS01</t>
  </si>
  <si>
    <t>B.BARIACS01</t>
  </si>
  <si>
    <t>ESOPRA-20 TABLET(B)</t>
  </si>
  <si>
    <t>CS02</t>
  </si>
  <si>
    <t>ESJ1</t>
  </si>
  <si>
    <t>ESOPRA-40 TAB</t>
  </si>
  <si>
    <t>ESOPRA 40 TAB</t>
  </si>
  <si>
    <t>ESP1</t>
  </si>
  <si>
    <t>ESOPRA-20 CAP</t>
  </si>
  <si>
    <t>SORAIL</t>
  </si>
  <si>
    <t>B6</t>
  </si>
  <si>
    <t>ESOPRA 20 CAP</t>
  </si>
  <si>
    <t>Norsingdi-4</t>
  </si>
  <si>
    <t>ESOPRA-20 CAP 60's</t>
  </si>
  <si>
    <t>SR01</t>
  </si>
  <si>
    <t>CUMILLASR01</t>
  </si>
  <si>
    <t>B.BARIASR01</t>
  </si>
  <si>
    <t>ESOPRA-20 CAP(New)</t>
  </si>
  <si>
    <t>SR02</t>
  </si>
  <si>
    <t>ESR1</t>
  </si>
  <si>
    <t>ESOPRA -20 CAP (B)</t>
  </si>
  <si>
    <t>ZE01</t>
  </si>
  <si>
    <t>ESOPRA-20 CAP 20's</t>
  </si>
  <si>
    <t>ASHUGONJ</t>
  </si>
  <si>
    <t>B7</t>
  </si>
  <si>
    <t>AS01</t>
  </si>
  <si>
    <t>Polash</t>
  </si>
  <si>
    <t>CUMILLAAS01</t>
  </si>
  <si>
    <t>B.BARIAAS01</t>
  </si>
  <si>
    <t>BIKASH CHANDRA DAS</t>
  </si>
  <si>
    <t>ZE02</t>
  </si>
  <si>
    <t>ESOPRA-40 CAP 20's</t>
  </si>
  <si>
    <t>AS02</t>
  </si>
  <si>
    <t>KOSBA</t>
  </si>
  <si>
    <t>B16</t>
  </si>
  <si>
    <t>ESV1</t>
  </si>
  <si>
    <t>ESOPRA-40 CAP</t>
  </si>
  <si>
    <t>ESOPRA 40 CAP</t>
  </si>
  <si>
    <t>KS01</t>
  </si>
  <si>
    <t>CUMILLAKS01</t>
  </si>
  <si>
    <t>ESOPRA-40 CAP(New)</t>
  </si>
  <si>
    <t>B.BARIAKS01</t>
  </si>
  <si>
    <t>MASUM PARVEJ-AM</t>
  </si>
  <si>
    <t>Mr. Md. Salal Miah Fakir</t>
  </si>
  <si>
    <t>Norshingdi</t>
  </si>
  <si>
    <t>GIP4</t>
  </si>
  <si>
    <t>GIPID -1 TAB</t>
  </si>
  <si>
    <t>GIPID 1 TAB</t>
  </si>
  <si>
    <t>GIPID-1 TAB</t>
  </si>
  <si>
    <t>MZ20</t>
  </si>
  <si>
    <t xml:space="preserve">CHATKHIL </t>
  </si>
  <si>
    <t>GIS4</t>
  </si>
  <si>
    <t>GIPID-2 TAB</t>
  </si>
  <si>
    <t>SH, MAIZ</t>
  </si>
  <si>
    <t>FM(MPO)</t>
  </si>
  <si>
    <t>GIPID 2 TAB</t>
  </si>
  <si>
    <t>CK01</t>
  </si>
  <si>
    <t>CUMILLACK01</t>
  </si>
  <si>
    <t>GLV4</t>
  </si>
  <si>
    <t>GLUVIL 50 TAB</t>
  </si>
  <si>
    <t>CK02</t>
  </si>
  <si>
    <t>MAIZCK02</t>
  </si>
  <si>
    <t>ABDUL MANNAN-FM</t>
  </si>
  <si>
    <t>GLUVIL-50 TAB</t>
  </si>
  <si>
    <t>GLW4</t>
  </si>
  <si>
    <t>GLUVIL PLUS 500 TAB</t>
  </si>
  <si>
    <t>Bhairab (Bhairab-2)</t>
  </si>
  <si>
    <t>MZ1</t>
  </si>
  <si>
    <t>MAIZDEE-1+MAIZDEE-3</t>
  </si>
  <si>
    <t>GLUVIL PLUS-500 TAB</t>
  </si>
  <si>
    <t>VACANT, MAIZDEE</t>
  </si>
  <si>
    <t>VACANT, MAIZDEE, MAIZ</t>
  </si>
  <si>
    <t>MZ01</t>
  </si>
  <si>
    <t>CUMILLAMZ01</t>
  </si>
  <si>
    <t>GLY4</t>
  </si>
  <si>
    <t>GLUVIL PLUS 850 TAB</t>
  </si>
  <si>
    <t>MAIZMZ01</t>
  </si>
  <si>
    <t>LEJ6</t>
  </si>
  <si>
    <t>MZ03</t>
  </si>
  <si>
    <t>LEBROD SYRUP</t>
  </si>
  <si>
    <t>LEL6</t>
  </si>
  <si>
    <t>LEVOCET-5 TAB</t>
  </si>
  <si>
    <t>LEVOCET 5 TAB</t>
  </si>
  <si>
    <t>MZ2</t>
  </si>
  <si>
    <t>MAIZDEE-2</t>
  </si>
  <si>
    <t>LEVOCET-5 TAB.</t>
  </si>
  <si>
    <t>Belabo</t>
  </si>
  <si>
    <t>MZ02</t>
  </si>
  <si>
    <t>CUMILLAMZ02</t>
  </si>
  <si>
    <t>ZL01</t>
  </si>
  <si>
    <t>LEVOCET 5 TAB 20's</t>
  </si>
  <si>
    <t>MAIZMZ02</t>
  </si>
  <si>
    <t>FAISAL</t>
  </si>
  <si>
    <t>MZ04</t>
  </si>
  <si>
    <t>BARISHAL</t>
  </si>
  <si>
    <t>BARI</t>
  </si>
  <si>
    <t>LEO6</t>
  </si>
  <si>
    <t>BR50</t>
  </si>
  <si>
    <t>LEOFLOX-250 TAB</t>
  </si>
  <si>
    <t>KHEPUPARA</t>
  </si>
  <si>
    <t>BB26</t>
  </si>
  <si>
    <t>LEOFLOX 250 TAB</t>
  </si>
  <si>
    <t>D.M. HABIBUR RAHMAN</t>
  </si>
  <si>
    <t>D.M. HABIBUR RAHMAN, BARI</t>
  </si>
  <si>
    <t>ZL02</t>
  </si>
  <si>
    <t>LEOFLOX-500 TAB</t>
  </si>
  <si>
    <t>BARI, VACANT</t>
  </si>
  <si>
    <t>B045</t>
  </si>
  <si>
    <t>BARISHALB045</t>
  </si>
  <si>
    <t>LEOFLOX 500 TAB</t>
  </si>
  <si>
    <t>BARI.B</t>
  </si>
  <si>
    <t>BARI.BB045</t>
  </si>
  <si>
    <t>Monohordi</t>
  </si>
  <si>
    <t>F045</t>
  </si>
  <si>
    <t>RAHIM</t>
  </si>
  <si>
    <t>LEU6</t>
  </si>
  <si>
    <t>LEAXE ORAL SOL -100</t>
  </si>
  <si>
    <t>LEAXE 100 SYP</t>
  </si>
  <si>
    <t>BR51</t>
  </si>
  <si>
    <t>MOHIPUR</t>
  </si>
  <si>
    <t>BB27</t>
  </si>
  <si>
    <t>LEAXE ORAL SOL-100</t>
  </si>
  <si>
    <t>B046</t>
  </si>
  <si>
    <t>LEW6</t>
  </si>
  <si>
    <t>BARISHALB046</t>
  </si>
  <si>
    <t>LEAXE ORAL SOL-200</t>
  </si>
  <si>
    <t>BARI.BB046</t>
  </si>
  <si>
    <t>ABU HANIF</t>
  </si>
  <si>
    <t>LEAXE 200 SYP</t>
  </si>
  <si>
    <t>LEAXE ORAL.SOL-200</t>
  </si>
  <si>
    <t>F046</t>
  </si>
  <si>
    <t>Mr. Md. Aminul Islam</t>
  </si>
  <si>
    <t/>
  </si>
  <si>
    <t>Rupgonj</t>
  </si>
  <si>
    <t>LIF1</t>
  </si>
  <si>
    <t>LIFE GOLD TAB-15</t>
  </si>
  <si>
    <t>LIFE GOLD TAB 15</t>
  </si>
  <si>
    <t>BR52</t>
  </si>
  <si>
    <t>BORGUNA-1</t>
  </si>
  <si>
    <t>LIJ1</t>
  </si>
  <si>
    <t>BB22</t>
  </si>
  <si>
    <t>LIFE GOLD TAB-30</t>
  </si>
  <si>
    <t>LIFE GOLD TAB 30</t>
  </si>
  <si>
    <t>B054</t>
  </si>
  <si>
    <t>BARISHALB054</t>
  </si>
  <si>
    <t>LIM2</t>
  </si>
  <si>
    <t>LIFE SILVER TAB-15</t>
  </si>
  <si>
    <t>BARI.BB054</t>
  </si>
  <si>
    <t>HABIBUR RAHMAN</t>
  </si>
  <si>
    <t>LIFE SILVER TAB 15</t>
  </si>
  <si>
    <t>F054</t>
  </si>
  <si>
    <t>LIFE SILVER-15</t>
  </si>
  <si>
    <t>Bhairab-1</t>
  </si>
  <si>
    <t>LIP2</t>
  </si>
  <si>
    <t>LIFE SILVER  TAB -30</t>
  </si>
  <si>
    <t>LIFE SILVER TAB 30</t>
  </si>
  <si>
    <t>BR53</t>
  </si>
  <si>
    <t>LIFE SILVER TAB-30</t>
  </si>
  <si>
    <t xml:space="preserve">BORGUNA-2 </t>
  </si>
  <si>
    <t>BB23</t>
  </si>
  <si>
    <t>LIFE SILVER-30</t>
  </si>
  <si>
    <t>B055</t>
  </si>
  <si>
    <t>BARISHALB055</t>
  </si>
  <si>
    <t>BARI.BB055</t>
  </si>
  <si>
    <t>SUDHIR CHANDRA DATTA</t>
  </si>
  <si>
    <t>LOJ3</t>
  </si>
  <si>
    <t>LOSA - 25 TAB</t>
  </si>
  <si>
    <t>F055</t>
  </si>
  <si>
    <t>LOSA 25 TAB</t>
  </si>
  <si>
    <t>LOSA-25 TAB</t>
  </si>
  <si>
    <t>LOM3</t>
  </si>
  <si>
    <t>LOSA - 50 TAB</t>
  </si>
  <si>
    <t>BR54</t>
  </si>
  <si>
    <t>AMTOLI</t>
  </si>
  <si>
    <t>BB20</t>
  </si>
  <si>
    <t>Raipura</t>
  </si>
  <si>
    <t>LOSA 50 TAB</t>
  </si>
  <si>
    <t>B052</t>
  </si>
  <si>
    <t>BARISHALB052</t>
  </si>
  <si>
    <t>LOSA-50 TAB</t>
  </si>
  <si>
    <t>BARI.BB052</t>
  </si>
  <si>
    <t>LOP3</t>
  </si>
  <si>
    <t>LOSA - 50 PLUS TAB</t>
  </si>
  <si>
    <t>F052</t>
  </si>
  <si>
    <t>LOSA 50 PLUS TAB</t>
  </si>
  <si>
    <t>LOSA-50 PLUS TAB</t>
  </si>
  <si>
    <t>BR12</t>
  </si>
  <si>
    <t>MAM6</t>
  </si>
  <si>
    <t>BABUGANJ</t>
  </si>
  <si>
    <t>MENILET TAB</t>
  </si>
  <si>
    <t>BB4</t>
  </si>
  <si>
    <t>DIC</t>
  </si>
  <si>
    <t>Shibpur</t>
  </si>
  <si>
    <t>DIC, BARI</t>
  </si>
  <si>
    <t>B034</t>
  </si>
  <si>
    <t>MEM4</t>
  </si>
  <si>
    <t>BARISHALB034</t>
  </si>
  <si>
    <t>METMIN - 500 TAB</t>
  </si>
  <si>
    <t>BARI.BB034</t>
  </si>
  <si>
    <t xml:space="preserve">AVIJIT KUMAR KASHYAPI </t>
  </si>
  <si>
    <t>METMIN 500 TAB</t>
  </si>
  <si>
    <t>METMIN-500 TAB</t>
  </si>
  <si>
    <t>F034</t>
  </si>
  <si>
    <t>MEP4</t>
  </si>
  <si>
    <t>METMIN - 850 TAB</t>
  </si>
  <si>
    <t>METMIN 850 TAB</t>
  </si>
  <si>
    <t>BR60</t>
  </si>
  <si>
    <t>JHALOKHATI</t>
  </si>
  <si>
    <t>BB6</t>
  </si>
  <si>
    <t>GOLAM MORTUZA</t>
  </si>
  <si>
    <t>METMIN-850 TAB</t>
  </si>
  <si>
    <t>GOLAM MORTUZA, BARI</t>
  </si>
  <si>
    <t>B036</t>
  </si>
  <si>
    <t>BARISHALB036</t>
  </si>
  <si>
    <t>BARI.BB036</t>
  </si>
  <si>
    <t>MOSTOFA KAMAL</t>
  </si>
  <si>
    <t>MES4</t>
  </si>
  <si>
    <t>Bhairab</t>
  </si>
  <si>
    <t>METMIN XR-500 TAB</t>
  </si>
  <si>
    <t>METMIN XR 500 TAB</t>
  </si>
  <si>
    <t>F036</t>
  </si>
  <si>
    <t>MOF1</t>
  </si>
  <si>
    <t>MOKAST -4 TAB</t>
  </si>
  <si>
    <t>MOKAST 4 TAB</t>
  </si>
  <si>
    <t>MOK1</t>
  </si>
  <si>
    <t>BR61</t>
  </si>
  <si>
    <t>NOLCHITY</t>
  </si>
  <si>
    <t>BB8</t>
  </si>
  <si>
    <t>MOKAST- 4 TAB</t>
  </si>
  <si>
    <t>B038</t>
  </si>
  <si>
    <t>BARISHALB038</t>
  </si>
  <si>
    <t>BARI.BB038</t>
  </si>
  <si>
    <t>SUMON FAKIR</t>
  </si>
  <si>
    <t>MOKAST-4 TAB</t>
  </si>
  <si>
    <t>F038</t>
  </si>
  <si>
    <t>MON1</t>
  </si>
  <si>
    <t>MOKAST -10 TAB</t>
  </si>
  <si>
    <t>MOKAST 10 TAB</t>
  </si>
  <si>
    <t>Mr. Md. Ibrahim Bhuiyan</t>
  </si>
  <si>
    <t>ARM</t>
  </si>
  <si>
    <t>MOKAST-10 TAB</t>
  </si>
  <si>
    <t>BR62</t>
  </si>
  <si>
    <t>KATHALIA</t>
  </si>
  <si>
    <t>BB9</t>
  </si>
  <si>
    <t>MOKAST-10 TAB(NEW)</t>
  </si>
  <si>
    <t>B039</t>
  </si>
  <si>
    <t>BARISHALB039</t>
  </si>
  <si>
    <t>BARI.BB039</t>
  </si>
  <si>
    <t>MOKAST-10 TAB.</t>
  </si>
  <si>
    <t>F039</t>
  </si>
  <si>
    <t>MOKAST-10 TAB-60's</t>
  </si>
  <si>
    <t>MOO1</t>
  </si>
  <si>
    <t>MOKAST-10 TAB. (F)</t>
  </si>
  <si>
    <t>BR63</t>
  </si>
  <si>
    <t>RAJAPUR (BSL)</t>
  </si>
  <si>
    <t>BB10</t>
  </si>
  <si>
    <t>MOP1</t>
  </si>
  <si>
    <t>MOKAST -10 TAB (B)</t>
  </si>
  <si>
    <t>B040</t>
  </si>
  <si>
    <t>BARISHALB040</t>
  </si>
  <si>
    <t>BARI.BB040</t>
  </si>
  <si>
    <t>MOKAST-10 TAB   (B)</t>
  </si>
  <si>
    <t>F040</t>
  </si>
  <si>
    <t>MOKAST-10 TAB (B)</t>
  </si>
  <si>
    <t>MOKAST-10 TAB (B)60's</t>
  </si>
  <si>
    <t>BR64</t>
  </si>
  <si>
    <t>MOTBARIA (MOTBARIA-2)</t>
  </si>
  <si>
    <t>KA27</t>
  </si>
  <si>
    <t>MOKAST-10 TAB(B)</t>
  </si>
  <si>
    <t>B064</t>
  </si>
  <si>
    <t>BARISHALB064</t>
  </si>
  <si>
    <t>MOKAST-10 TAB(NEW-B)</t>
  </si>
  <si>
    <t>K051</t>
  </si>
  <si>
    <t>BARI.BK051</t>
  </si>
  <si>
    <t>AL MAHMUD HOSSAIN</t>
  </si>
  <si>
    <t>MOKAST-10 TAB. (B)</t>
  </si>
  <si>
    <t>F064</t>
  </si>
  <si>
    <t>MOT2</t>
  </si>
  <si>
    <t>MOXIFLOX -400 TAB</t>
  </si>
  <si>
    <t>MOXIFLOX 400 TAB</t>
  </si>
  <si>
    <t>BR65</t>
  </si>
  <si>
    <t>BHANDARIA</t>
  </si>
  <si>
    <t>KA28</t>
  </si>
  <si>
    <t>MOXIFLOX-400 TAB</t>
  </si>
  <si>
    <t>B063</t>
  </si>
  <si>
    <t>BARISHALB063</t>
  </si>
  <si>
    <t>MOXIFLOX-400 TAB(New)</t>
  </si>
  <si>
    <t>K055</t>
  </si>
  <si>
    <t>BARI.BK055</t>
  </si>
  <si>
    <t>IMAM HOSSAIN</t>
  </si>
  <si>
    <t>MOXIFLOX-400 TAB.</t>
  </si>
  <si>
    <t>F063</t>
  </si>
  <si>
    <t>Zone : Dinajpur+Thakurgaon</t>
  </si>
  <si>
    <t>ZM04</t>
  </si>
  <si>
    <t>BR21</t>
  </si>
  <si>
    <t>BHOLA (DAULATKHAN+BANGLABAZAR+BHOLA-1)</t>
  </si>
  <si>
    <t>BA20</t>
  </si>
  <si>
    <t>KHANDOKER ANOWAR HOSSAIN</t>
  </si>
  <si>
    <t>KHANDOKER ANOWAR HOSSAIN, BARI</t>
  </si>
  <si>
    <t>B020</t>
  </si>
  <si>
    <t>BARISHALB020</t>
  </si>
  <si>
    <t>BARI.A</t>
  </si>
  <si>
    <t>ZX03</t>
  </si>
  <si>
    <t>BARI.AB020</t>
  </si>
  <si>
    <t>MOXIFLOX-400 TAB-8'S</t>
  </si>
  <si>
    <t>F020</t>
  </si>
  <si>
    <t>Mr. Shariful Islam</t>
  </si>
  <si>
    <t>MUP2</t>
  </si>
  <si>
    <t>MUPI-5 OINTMENT</t>
  </si>
  <si>
    <t>BR22</t>
  </si>
  <si>
    <t>BORHANUDDIN</t>
  </si>
  <si>
    <t>BA24</t>
  </si>
  <si>
    <t>MUPI 5 OINTMENT</t>
  </si>
  <si>
    <t>MUS2</t>
  </si>
  <si>
    <t>Saidpur-1</t>
  </si>
  <si>
    <t>MUPI-10 OINTMENT</t>
  </si>
  <si>
    <t>B024</t>
  </si>
  <si>
    <t>BARISHALB024</t>
  </si>
  <si>
    <t>MUPI 10 OINTMENT</t>
  </si>
  <si>
    <t>BARI.AB024</t>
  </si>
  <si>
    <t>NOL6</t>
  </si>
  <si>
    <t>NOLAR TAB</t>
  </si>
  <si>
    <t>F024</t>
  </si>
  <si>
    <t>NOLER TAB</t>
  </si>
  <si>
    <t>OMJ1</t>
  </si>
  <si>
    <t>OMEPRA-20 CAP 100</t>
  </si>
  <si>
    <t>BR30</t>
  </si>
  <si>
    <t>CHARFESSION-1</t>
  </si>
  <si>
    <t>BA25</t>
  </si>
  <si>
    <t>OMEPRA 20 CAP</t>
  </si>
  <si>
    <t>OMEPRA-20 CAP OLD</t>
  </si>
  <si>
    <t>B025</t>
  </si>
  <si>
    <t>BARISHALB025</t>
  </si>
  <si>
    <t>Mr. Gangadhar Das</t>
  </si>
  <si>
    <t>Sr.DA</t>
  </si>
  <si>
    <t>BARI.AB025</t>
  </si>
  <si>
    <t>Saidpur-2</t>
  </si>
  <si>
    <t>ABUL KALAM</t>
  </si>
  <si>
    <t>OMEPRA-20 CAP(New)</t>
  </si>
  <si>
    <t>F025</t>
  </si>
  <si>
    <t>OMK1</t>
  </si>
  <si>
    <t>OMEPRA-20 CAP 100(F)</t>
  </si>
  <si>
    <t>OMP1</t>
  </si>
  <si>
    <t>OMEPRA -20 CAP</t>
  </si>
  <si>
    <t>BR31</t>
  </si>
  <si>
    <t>CHARFESSION-2+LALMONHON</t>
  </si>
  <si>
    <t>BA27</t>
  </si>
  <si>
    <t>OMEPRA -20 CAP (50's)</t>
  </si>
  <si>
    <t>B026</t>
  </si>
  <si>
    <t>BARISHALB026</t>
  </si>
  <si>
    <t>B027</t>
  </si>
  <si>
    <t>BARI.AB027</t>
  </si>
  <si>
    <t>ARIFUR RAHMAN</t>
  </si>
  <si>
    <t>OMEPRA -20 CAP 50'S</t>
  </si>
  <si>
    <t>F026</t>
  </si>
  <si>
    <t>Parbotipur</t>
  </si>
  <si>
    <t>OMEPRA-20 CAP</t>
  </si>
  <si>
    <t>OMEPRA-20 CAP 50s</t>
  </si>
  <si>
    <t>BR40</t>
  </si>
  <si>
    <t>MULADI-1</t>
  </si>
  <si>
    <t>BA10</t>
  </si>
  <si>
    <t>MOSTAFIZUR RAHMAN</t>
  </si>
  <si>
    <t>MOSTAFIZUR RAHMAN, BARI</t>
  </si>
  <si>
    <t>B009</t>
  </si>
  <si>
    <t>OMEPRA-20 CAP 50's</t>
  </si>
  <si>
    <t>BARISHALB009</t>
  </si>
  <si>
    <t>BARI.AB009</t>
  </si>
  <si>
    <t>OMEPRA-20 CAP(50,s)</t>
  </si>
  <si>
    <t>F009</t>
  </si>
  <si>
    <t>OMEPRA-20 CAP(50'S)</t>
  </si>
  <si>
    <t>OMR1</t>
  </si>
  <si>
    <t>OMEPRA -20 CAP (50's)B</t>
  </si>
  <si>
    <t>BR41</t>
  </si>
  <si>
    <t>MULADI-2</t>
  </si>
  <si>
    <t>BA11</t>
  </si>
  <si>
    <t>OMEPRA -20 CAP (B)</t>
  </si>
  <si>
    <t>B010</t>
  </si>
  <si>
    <t>BARISHALB010</t>
  </si>
  <si>
    <t>OMEPRA -20 CAP 50'S(B)</t>
  </si>
  <si>
    <t>BARI.AB010</t>
  </si>
  <si>
    <t>ASADUZZAMAN</t>
  </si>
  <si>
    <t>OMEPRA-20  (B) 50's</t>
  </si>
  <si>
    <t>F010</t>
  </si>
  <si>
    <t>Nilphamari</t>
  </si>
  <si>
    <t>OMEPRA-20 CAP (B)</t>
  </si>
  <si>
    <t>BR42</t>
  </si>
  <si>
    <t>HIZLA</t>
  </si>
  <si>
    <t>BA12</t>
  </si>
  <si>
    <t>OMEPRA-20 CAP(50,s)B</t>
  </si>
  <si>
    <t>B011</t>
  </si>
  <si>
    <t>BARISHALB011</t>
  </si>
  <si>
    <t>OMEPRA-20 CAP(50'S)B</t>
  </si>
  <si>
    <t>BARI.AB011</t>
  </si>
  <si>
    <t>MILON BISWAS</t>
  </si>
  <si>
    <t>F011</t>
  </si>
  <si>
    <t>OMEPRA-20 CAP(B)</t>
  </si>
  <si>
    <t>Mr. Md. Ziaul Hasan</t>
  </si>
  <si>
    <t>OMEPRA-20 CAP(B) 50s</t>
  </si>
  <si>
    <t>BR43</t>
  </si>
  <si>
    <t>BASANCHOR</t>
  </si>
  <si>
    <t>BA13</t>
  </si>
  <si>
    <t>Sr.FM</t>
  </si>
  <si>
    <t>Saidpur</t>
  </si>
  <si>
    <t>OMM1</t>
  </si>
  <si>
    <t>OMEPRA-40 CAP</t>
  </si>
  <si>
    <t>B012</t>
  </si>
  <si>
    <t>BARISHALB012</t>
  </si>
  <si>
    <t>OMEPRA 40 CAP</t>
  </si>
  <si>
    <t>BARI.AB012</t>
  </si>
  <si>
    <t>OMEPRA-40 CAP(NEW)</t>
  </si>
  <si>
    <t>F012</t>
  </si>
  <si>
    <t>OTG2</t>
  </si>
  <si>
    <t>OTICEF PD</t>
  </si>
  <si>
    <t>OTJ2</t>
  </si>
  <si>
    <t>OTICEF PFS</t>
  </si>
  <si>
    <t>BR44</t>
  </si>
  <si>
    <t>MEHENDIGONJ</t>
  </si>
  <si>
    <t>BA14</t>
  </si>
  <si>
    <t>MR</t>
  </si>
  <si>
    <t>PAJ6</t>
  </si>
  <si>
    <t>PANTOPRA-20 TAB</t>
  </si>
  <si>
    <t>Mr. Chandan Sing</t>
  </si>
  <si>
    <t>B013</t>
  </si>
  <si>
    <t>BARISHALB013</t>
  </si>
  <si>
    <t>Dinajpur-1</t>
  </si>
  <si>
    <t>PANTOPRA 20 TAB</t>
  </si>
  <si>
    <t>BARI.AB013</t>
  </si>
  <si>
    <t xml:space="preserve">ALAMIN </t>
  </si>
  <si>
    <t>PAM6</t>
  </si>
  <si>
    <t>PANTOPRA-40 TAB</t>
  </si>
  <si>
    <t>F013</t>
  </si>
  <si>
    <t>PANTOPRA 40 TAB</t>
  </si>
  <si>
    <t>ZP01</t>
  </si>
  <si>
    <t>BR1</t>
  </si>
  <si>
    <t>BSHL. MEDICAL-1</t>
  </si>
  <si>
    <t>BA1</t>
  </si>
  <si>
    <t>RIPAN KUMAR HALDER</t>
  </si>
  <si>
    <t>RIPAN KUMAR HALDER, BARI</t>
  </si>
  <si>
    <t>B001</t>
  </si>
  <si>
    <t>BARISHALB001</t>
  </si>
  <si>
    <t>PCL6</t>
  </si>
  <si>
    <t>P-COOL-10 CREAM</t>
  </si>
  <si>
    <t>BARI.AB001</t>
  </si>
  <si>
    <t>RAFIQUL ISLAM</t>
  </si>
  <si>
    <t>P COOL 10 CREAM</t>
  </si>
  <si>
    <t>F001</t>
  </si>
  <si>
    <t>PCO6</t>
  </si>
  <si>
    <t>P-COOL-25 CREAM</t>
  </si>
  <si>
    <t>Dinajpur-2</t>
  </si>
  <si>
    <t>P COOL 25 CREAM</t>
  </si>
  <si>
    <t>PCR1</t>
  </si>
  <si>
    <t>P+C TAB</t>
  </si>
  <si>
    <t>BR10</t>
  </si>
  <si>
    <t>BARISHAL-2</t>
  </si>
  <si>
    <t>BB1</t>
  </si>
  <si>
    <t>PCU1</t>
  </si>
  <si>
    <t>PRENEP 50 CAP</t>
  </si>
  <si>
    <t>B031</t>
  </si>
  <si>
    <t>BARISHALB031</t>
  </si>
  <si>
    <t>PCX1</t>
  </si>
  <si>
    <t>PRENEP 75 CAP</t>
  </si>
  <si>
    <t>BARI.BB031</t>
  </si>
  <si>
    <t>Mr. Md. Alif Uddin</t>
  </si>
  <si>
    <t>F031</t>
  </si>
  <si>
    <t>RES2</t>
  </si>
  <si>
    <t>Chirirbandar</t>
  </si>
  <si>
    <t>RENEP TAB</t>
  </si>
  <si>
    <t>RENEP TAB (New)</t>
  </si>
  <si>
    <t>BR11</t>
  </si>
  <si>
    <t>BARISHAL-3</t>
  </si>
  <si>
    <t>BB2</t>
  </si>
  <si>
    <t>RENEP TAB 48's</t>
  </si>
  <si>
    <t>B032</t>
  </si>
  <si>
    <t>RENEP TAB.48s</t>
  </si>
  <si>
    <t>BARISHALB032</t>
  </si>
  <si>
    <t>BARI.BB032</t>
  </si>
  <si>
    <t>REU2</t>
  </si>
  <si>
    <t>RENEP TAB (B)</t>
  </si>
  <si>
    <t>F032</t>
  </si>
  <si>
    <t>Mr. Bhabananda Roy</t>
  </si>
  <si>
    <t>Setabgonj</t>
  </si>
  <si>
    <t>RENEP TAB (B) 48's</t>
  </si>
  <si>
    <t>RENEP TAB.48s (B)</t>
  </si>
  <si>
    <t>BR13</t>
  </si>
  <si>
    <t>SHAHEBER HAT</t>
  </si>
  <si>
    <t>BB5</t>
  </si>
  <si>
    <t>ROS3</t>
  </si>
  <si>
    <t>ROSVIN 10 TAB</t>
  </si>
  <si>
    <t>B035</t>
  </si>
  <si>
    <t>BARISHALB035</t>
  </si>
  <si>
    <t>ROSVIN-10 TAB</t>
  </si>
  <si>
    <t>BARI.BB035</t>
  </si>
  <si>
    <t>F035</t>
  </si>
  <si>
    <t>ROT3</t>
  </si>
  <si>
    <t>ROSVIN 10 TAB (B)</t>
  </si>
  <si>
    <t>Mr. Md. Mizanur Rahman</t>
  </si>
  <si>
    <t>Birampur</t>
  </si>
  <si>
    <t>ROSVIN-10 TAB (B)</t>
  </si>
  <si>
    <t>BR2</t>
  </si>
  <si>
    <t>BARISHAL-MEDICAL-4</t>
  </si>
  <si>
    <t>BA3</t>
  </si>
  <si>
    <t>ROSVIN-10 TAB(B)</t>
  </si>
  <si>
    <t>SMMO</t>
  </si>
  <si>
    <t>ROU6</t>
  </si>
  <si>
    <t>B002</t>
  </si>
  <si>
    <t>ROXCIN 300 TAB</t>
  </si>
  <si>
    <t>BARI.BB002</t>
  </si>
  <si>
    <t>MISS. MIRZAHAN SABINA</t>
  </si>
  <si>
    <t>ROX6</t>
  </si>
  <si>
    <t>ROXCIN PFS</t>
  </si>
  <si>
    <t>RUP1</t>
  </si>
  <si>
    <t>RUPALER TAB</t>
  </si>
  <si>
    <t>Mr. Md. Maruf Khan</t>
  </si>
  <si>
    <t>BR3</t>
  </si>
  <si>
    <t>SAD6</t>
  </si>
  <si>
    <t xml:space="preserve">SBMCH-5 </t>
  </si>
  <si>
    <t>SAPOX-500 CAP</t>
  </si>
  <si>
    <t>Dinajpur-A</t>
  </si>
  <si>
    <t>BA4</t>
  </si>
  <si>
    <t>SAPOX 500 CAP</t>
  </si>
  <si>
    <t>SAG6</t>
  </si>
  <si>
    <t>SAPOX PFS</t>
  </si>
  <si>
    <t>B003</t>
  </si>
  <si>
    <t>BARISHALB003</t>
  </si>
  <si>
    <t>BARI.AB003</t>
  </si>
  <si>
    <t>SAJ1</t>
  </si>
  <si>
    <t>SAVER -200 CAP</t>
  </si>
  <si>
    <t>F003</t>
  </si>
  <si>
    <t>SAVER 200 CAP</t>
  </si>
  <si>
    <t>SAVER-200 CAP</t>
  </si>
  <si>
    <t>SAL1</t>
  </si>
  <si>
    <t>SAVER -200 CAP (B)</t>
  </si>
  <si>
    <t>BR4</t>
  </si>
  <si>
    <t xml:space="preserve">SBMCH-6 </t>
  </si>
  <si>
    <t>BA5</t>
  </si>
  <si>
    <t>SAVER-200 CAP (B)</t>
  </si>
  <si>
    <t>B004</t>
  </si>
  <si>
    <t>BARISHALB004</t>
  </si>
  <si>
    <t>BARI.AB004</t>
  </si>
  <si>
    <t>SAM1</t>
  </si>
  <si>
    <t>HAMIDUR RAHMAN</t>
  </si>
  <si>
    <t>SAVER-400 CAP</t>
  </si>
  <si>
    <t>SAVER 400 CAP</t>
  </si>
  <si>
    <t>F004</t>
  </si>
  <si>
    <t>ZS02</t>
  </si>
  <si>
    <t>SAVER -400 CAP</t>
  </si>
  <si>
    <t>BR5</t>
  </si>
  <si>
    <t>SWARUPKATHI-1(+SWARUPKATHI-2)</t>
  </si>
  <si>
    <t>BA7</t>
  </si>
  <si>
    <t>SAP1</t>
  </si>
  <si>
    <t>Dinajpur-3</t>
  </si>
  <si>
    <t>B006</t>
  </si>
  <si>
    <t>BARISHALB006</t>
  </si>
  <si>
    <t>BARI.AB006</t>
  </si>
  <si>
    <t>SAVER PFS-30</t>
  </si>
  <si>
    <t>SAVER PFS 30</t>
  </si>
  <si>
    <t>F006</t>
  </si>
  <si>
    <t>SAR1</t>
  </si>
  <si>
    <t>SAVER PFS-30 (B)</t>
  </si>
  <si>
    <t>SAVER PFS-30(B)</t>
  </si>
  <si>
    <t>BR6</t>
  </si>
  <si>
    <t>BANARIPARA</t>
  </si>
  <si>
    <t>BA9</t>
  </si>
  <si>
    <t>SAT1</t>
  </si>
  <si>
    <t>SAVER PFS-50</t>
  </si>
  <si>
    <t>SAVER PFS 50</t>
  </si>
  <si>
    <t>B008</t>
  </si>
  <si>
    <t>BARISHALB008</t>
  </si>
  <si>
    <t>SIM6</t>
  </si>
  <si>
    <t>BARI.AB008</t>
  </si>
  <si>
    <t>SIMECOL PD</t>
  </si>
  <si>
    <t>Mr. Md. Ashraful Islam</t>
  </si>
  <si>
    <t>Dinajpur-4</t>
  </si>
  <si>
    <t>F008</t>
  </si>
  <si>
    <t>STF1</t>
  </si>
  <si>
    <t>STAFLU-250 CAP</t>
  </si>
  <si>
    <t>STAFLU 250 CAP</t>
  </si>
  <si>
    <t>STJ1</t>
  </si>
  <si>
    <t>STAFLU-500 CAP</t>
  </si>
  <si>
    <t>STAFLU 500 CAP</t>
  </si>
  <si>
    <t>BR15</t>
  </si>
  <si>
    <t>GOURNADI-1 (BSL.)</t>
  </si>
  <si>
    <t>BA18</t>
  </si>
  <si>
    <t>STM1</t>
  </si>
  <si>
    <t>VACANT, BARI-B</t>
  </si>
  <si>
    <t>STAFLU PFS</t>
  </si>
  <si>
    <t>VACANT, BARI-B, BARI</t>
  </si>
  <si>
    <t>B016</t>
  </si>
  <si>
    <t>BARISHALB017</t>
  </si>
  <si>
    <t>TIM6</t>
  </si>
  <si>
    <t>B017</t>
  </si>
  <si>
    <t>TIEMO TAB</t>
  </si>
  <si>
    <t>BARI.BB017</t>
  </si>
  <si>
    <t>EMRAN-FM</t>
  </si>
  <si>
    <t>Mr. Md. Raihan Ali</t>
  </si>
  <si>
    <t>Dinajpur-5</t>
  </si>
  <si>
    <t>TIS1</t>
  </si>
  <si>
    <t>TIXOL TAB</t>
  </si>
  <si>
    <t>TIXOL TAB 56's</t>
  </si>
  <si>
    <t>TIT1</t>
  </si>
  <si>
    <t>BR17</t>
  </si>
  <si>
    <t>TIXOL TAB (B)</t>
  </si>
  <si>
    <t>TIXOL TAB.</t>
  </si>
  <si>
    <t>GOURNADI-2 (BSL.)</t>
  </si>
  <si>
    <t>TIU1</t>
  </si>
  <si>
    <t>Mr. Aktaruzzaman</t>
  </si>
  <si>
    <t>TIXOL TAB56's (B)</t>
  </si>
  <si>
    <t>Dinajpur-6</t>
  </si>
  <si>
    <t>TOL2</t>
  </si>
  <si>
    <t>TOLEC TAB</t>
  </si>
  <si>
    <t>TOP2</t>
  </si>
  <si>
    <t>TOSMA TAB</t>
  </si>
  <si>
    <t>BR16</t>
  </si>
  <si>
    <t>AGAILJHARA</t>
  </si>
  <si>
    <t>BA15</t>
  </si>
  <si>
    <t>TOS2</t>
  </si>
  <si>
    <t>TOSMA SYRUP</t>
  </si>
  <si>
    <t>B014</t>
  </si>
  <si>
    <t>BARISHALB014</t>
  </si>
  <si>
    <t>BARI.BB014</t>
  </si>
  <si>
    <t>VER6</t>
  </si>
  <si>
    <t>KAMAL HOSSAIN MIA</t>
  </si>
  <si>
    <t>VERTIC-5 TAB</t>
  </si>
  <si>
    <t>VERTIG 5 TAB</t>
  </si>
  <si>
    <t>Mr. Md. Abdur Razzak Miah</t>
  </si>
  <si>
    <t>VERTIG-5 TAB</t>
  </si>
  <si>
    <t>F014</t>
  </si>
  <si>
    <t>Dinajpur-B</t>
  </si>
  <si>
    <t>VEU6</t>
  </si>
  <si>
    <t>VERTIC-10 TAB</t>
  </si>
  <si>
    <t>VERTIG 10 TAB</t>
  </si>
  <si>
    <t>BR70</t>
  </si>
  <si>
    <t>VERTIG -10 TAB</t>
  </si>
  <si>
    <t>WAZIRPUR-1+WAZIRPUR-2</t>
  </si>
  <si>
    <t>BA19</t>
  </si>
  <si>
    <t>VERTIG-10 TAB</t>
  </si>
  <si>
    <t>B018</t>
  </si>
  <si>
    <t>BARISHALB018</t>
  </si>
  <si>
    <t>BARI.BB018</t>
  </si>
  <si>
    <t>VEW6</t>
  </si>
  <si>
    <t>VERTIG -10 TAB(B)</t>
  </si>
  <si>
    <t>F018</t>
  </si>
  <si>
    <t>VERTIG-10 TAB(B)</t>
  </si>
  <si>
    <t>VIM6</t>
  </si>
  <si>
    <t>VIEV-10 TAB</t>
  </si>
  <si>
    <t>BR75</t>
  </si>
  <si>
    <t>Mr. Md. Asaduzzaman</t>
  </si>
  <si>
    <t>PATUAKHALI-1</t>
  </si>
  <si>
    <t>BB17</t>
  </si>
  <si>
    <t>Thakurgaon-3</t>
  </si>
  <si>
    <t>VIEV 10 TAB</t>
  </si>
  <si>
    <t>VACANT, PATUAKHALI</t>
  </si>
  <si>
    <t>VACANT, PATUAKHALI, BARI</t>
  </si>
  <si>
    <t>VIS1</t>
  </si>
  <si>
    <t>VITCOD SYRUP-100</t>
  </si>
  <si>
    <t>B048</t>
  </si>
  <si>
    <t>VITCOD SYRUP 100</t>
  </si>
  <si>
    <t>BARISHALB048</t>
  </si>
  <si>
    <t>VIU1</t>
  </si>
  <si>
    <t>BARI.BB048</t>
  </si>
  <si>
    <t>VITCOD SYRUP-200</t>
  </si>
  <si>
    <t>VITCOD SYRUP 200</t>
  </si>
  <si>
    <t>XCJ6</t>
  </si>
  <si>
    <t>X-CITE-50 TAB</t>
  </si>
  <si>
    <t>X CITE 50 TAB</t>
  </si>
  <si>
    <t>XCM6</t>
  </si>
  <si>
    <t>X-CITE -100 TAB</t>
  </si>
  <si>
    <t>X CITE 100 TAB</t>
  </si>
  <si>
    <t>BR76</t>
  </si>
  <si>
    <t>PATUAKHALI-2</t>
  </si>
  <si>
    <t>BB18</t>
  </si>
  <si>
    <t>X-CITE-100 TAB</t>
  </si>
  <si>
    <t>Mr. Md. Dulal Hossain</t>
  </si>
  <si>
    <t>Ranisonkail</t>
  </si>
  <si>
    <t>B049</t>
  </si>
  <si>
    <t>ZIF1</t>
  </si>
  <si>
    <t>BARISHALB049</t>
  </si>
  <si>
    <t>ZINEX-250 TAB</t>
  </si>
  <si>
    <t>BARI.BB049</t>
  </si>
  <si>
    <t>ZINEX 250 TAB</t>
  </si>
  <si>
    <t>ZIJ1</t>
  </si>
  <si>
    <t>ZINEX -500 TAB</t>
  </si>
  <si>
    <t>ZINEX 500 TAB</t>
  </si>
  <si>
    <t>ZINEX-500 TAB</t>
  </si>
  <si>
    <t>BR77</t>
  </si>
  <si>
    <t>ZINEX-500 TAB 12's</t>
  </si>
  <si>
    <t>GOLACHIPA</t>
  </si>
  <si>
    <t>BB19</t>
  </si>
  <si>
    <t>ZIK1</t>
  </si>
  <si>
    <t>ZINEX-500 TAB (F)</t>
  </si>
  <si>
    <t>B051</t>
  </si>
  <si>
    <t>BARISHALB051</t>
  </si>
  <si>
    <t>Mr. Md. Rabiul Islam</t>
  </si>
  <si>
    <t>BARI.BB051</t>
  </si>
  <si>
    <t>Horipur</t>
  </si>
  <si>
    <t>ZIL1</t>
  </si>
  <si>
    <t>ZINEX -500 TAB (B)</t>
  </si>
  <si>
    <t>ZINEX-500 TAB (B)</t>
  </si>
  <si>
    <t>ZINEX-500 TAB (B) 12's</t>
  </si>
  <si>
    <t>BR78</t>
  </si>
  <si>
    <t>BAUPHAL (BAUPHAL-2)</t>
  </si>
  <si>
    <t>BB12</t>
  </si>
  <si>
    <t>ZZ01</t>
  </si>
  <si>
    <t>ZINEX-500 TAB 06's</t>
  </si>
  <si>
    <t>B042</t>
  </si>
  <si>
    <t>BARISHALB042</t>
  </si>
  <si>
    <t>B043</t>
  </si>
  <si>
    <t>BARI.BB043</t>
  </si>
  <si>
    <t>Thakurgaon-A</t>
  </si>
  <si>
    <t>F042</t>
  </si>
  <si>
    <t>ZIM1</t>
  </si>
  <si>
    <t>ZINEX PFS -15</t>
  </si>
  <si>
    <t>ZINEX PFS 15</t>
  </si>
  <si>
    <t>BR79</t>
  </si>
  <si>
    <t>ZINEX PFS-15</t>
  </si>
  <si>
    <t>DOSHMINA+DUMKI</t>
  </si>
  <si>
    <t>BB13</t>
  </si>
  <si>
    <t>ZIO1</t>
  </si>
  <si>
    <t>ZINEX PFS -30</t>
  </si>
  <si>
    <t>B041</t>
  </si>
  <si>
    <t>BARISHALB041</t>
  </si>
  <si>
    <t>ZINEX PFS 30</t>
  </si>
  <si>
    <t>BARI.BB041</t>
  </si>
  <si>
    <t>ZINEX PFS-30</t>
  </si>
  <si>
    <t>ZIQ1</t>
  </si>
  <si>
    <t>ZINEX PFS -50</t>
  </si>
  <si>
    <t>ZINEX PFS 50</t>
  </si>
  <si>
    <t>ZINEX PFS-50</t>
  </si>
  <si>
    <t>CHATTOGRAM</t>
  </si>
  <si>
    <t>CTG.A</t>
  </si>
  <si>
    <t>Mr. Md. Bokul Hossain</t>
  </si>
  <si>
    <t>C30</t>
  </si>
  <si>
    <t>DOBHASHI BAZAR (CTG.)</t>
  </si>
  <si>
    <t>Thakurgaon -1</t>
  </si>
  <si>
    <t>ZIW2</t>
  </si>
  <si>
    <t>CA9</t>
  </si>
  <si>
    <t>ZIVIT SYRUP-100</t>
  </si>
  <si>
    <t>ADBUL KHALEQUE</t>
  </si>
  <si>
    <t>ADBUL KHALEQUE, CTG.A</t>
  </si>
  <si>
    <t>ZIVIT SYRUP 100</t>
  </si>
  <si>
    <t>DHK+CTG, VACANT</t>
  </si>
  <si>
    <t>ZIY2</t>
  </si>
  <si>
    <t>C039</t>
  </si>
  <si>
    <t>ZIVIT SYRUP-200</t>
  </si>
  <si>
    <t>CHATTOGRAMC039</t>
  </si>
  <si>
    <t>C001</t>
  </si>
  <si>
    <t>CTG.AC001</t>
  </si>
  <si>
    <t>ZIVIT SYRUP 200</t>
  </si>
  <si>
    <t>C114</t>
  </si>
  <si>
    <t>BAHARUDDIN</t>
  </si>
  <si>
    <t>C32</t>
  </si>
  <si>
    <t>RANGUNIA</t>
  </si>
  <si>
    <t>CA11</t>
  </si>
  <si>
    <t>Mr. Md. Abdur Rashid</t>
  </si>
  <si>
    <t>Thakurgaon -2</t>
  </si>
  <si>
    <t>C036</t>
  </si>
  <si>
    <t>CHATTOGRAMC036</t>
  </si>
  <si>
    <t>C003</t>
  </si>
  <si>
    <t>CTG.AC003</t>
  </si>
  <si>
    <t>C115</t>
  </si>
  <si>
    <t>C33</t>
  </si>
  <si>
    <t>RANGAMATI</t>
  </si>
  <si>
    <t>CA23</t>
  </si>
  <si>
    <t>Birgonj</t>
  </si>
  <si>
    <t>C038</t>
  </si>
  <si>
    <t>CHATTOGRAMC038</t>
  </si>
  <si>
    <t>C005</t>
  </si>
  <si>
    <t>CTG.AC005</t>
  </si>
  <si>
    <t>C116</t>
  </si>
  <si>
    <t>C10</t>
  </si>
  <si>
    <t>CMCH, LALKHANBAZAR</t>
  </si>
  <si>
    <t>CA1</t>
  </si>
  <si>
    <t>Mr. Rubel Ali</t>
  </si>
  <si>
    <t>DA</t>
  </si>
  <si>
    <t>MONIR UDDIN</t>
  </si>
  <si>
    <t>Pirgonj (Thak.)</t>
  </si>
  <si>
    <t>MONIR UDDIN, CTG.A</t>
  </si>
  <si>
    <t>C063</t>
  </si>
  <si>
    <t>CHATTOGRAMC063</t>
  </si>
  <si>
    <t>CTG.AC063</t>
  </si>
  <si>
    <t>SHAHIDUL ISLAM</t>
  </si>
  <si>
    <t>C105</t>
  </si>
  <si>
    <t>SONJOY BARUA</t>
  </si>
  <si>
    <t>C11</t>
  </si>
  <si>
    <t>KHULSHI</t>
  </si>
  <si>
    <t>CA2</t>
  </si>
  <si>
    <t>Mr. Md. Aliph Rahman</t>
  </si>
  <si>
    <t>Baliadangi</t>
  </si>
  <si>
    <t>C064</t>
  </si>
  <si>
    <t>CHATTOGRAMC064</t>
  </si>
  <si>
    <t>CTG.AC064</t>
  </si>
  <si>
    <t>C106</t>
  </si>
  <si>
    <t>C12</t>
  </si>
  <si>
    <t>FERINGE BZ.+MEMON HOST.</t>
  </si>
  <si>
    <t>CA3</t>
  </si>
  <si>
    <t>Thakurgaon-B</t>
  </si>
  <si>
    <t>C065</t>
  </si>
  <si>
    <t>CHATTOGRAMC065</t>
  </si>
  <si>
    <t>CTG.AC065</t>
  </si>
  <si>
    <t>C107</t>
  </si>
  <si>
    <t>C13</t>
  </si>
  <si>
    <t>BANDARTILA</t>
  </si>
  <si>
    <t>CA7</t>
  </si>
  <si>
    <t>C069</t>
  </si>
  <si>
    <t>CHATTOGRAMC069</t>
  </si>
  <si>
    <t>CTG.AC069</t>
  </si>
  <si>
    <t xml:space="preserve"> RIPON DEY</t>
  </si>
  <si>
    <t>C108</t>
  </si>
  <si>
    <t>DHORMO LAL RAY</t>
  </si>
  <si>
    <t>C14</t>
  </si>
  <si>
    <t>POTENGA</t>
  </si>
  <si>
    <t>CA8</t>
  </si>
  <si>
    <t>C070</t>
  </si>
  <si>
    <t>CHATTOGRAMC070</t>
  </si>
  <si>
    <t>CTG.AC070</t>
  </si>
  <si>
    <t>C109</t>
  </si>
  <si>
    <t>C40</t>
  </si>
  <si>
    <t>MIRESWARAI-1</t>
  </si>
  <si>
    <t>CB8</t>
  </si>
  <si>
    <t>RAFIQUL MOULA</t>
  </si>
  <si>
    <t>RAFIQUL MOULA, CTG.A</t>
  </si>
  <si>
    <t>C153</t>
  </si>
  <si>
    <t>CHATTOGRAMC011</t>
  </si>
  <si>
    <t>CTG.B</t>
  </si>
  <si>
    <t>C011</t>
  </si>
  <si>
    <t>CTG.BC011</t>
  </si>
  <si>
    <t>C154</t>
  </si>
  <si>
    <t>BELLAL HOSSIAN</t>
  </si>
  <si>
    <t>Mr. Easin Ali</t>
  </si>
  <si>
    <t>Panchagor-1</t>
  </si>
  <si>
    <t>C41</t>
  </si>
  <si>
    <t>MIRESWARAI-2</t>
  </si>
  <si>
    <t>CB9</t>
  </si>
  <si>
    <t>C155</t>
  </si>
  <si>
    <t>CHATTOGRAMC012</t>
  </si>
  <si>
    <t>C012</t>
  </si>
  <si>
    <t>CTG.BC012</t>
  </si>
  <si>
    <t>C156</t>
  </si>
  <si>
    <t>C42</t>
  </si>
  <si>
    <t xml:space="preserve">BAROIERHAT </t>
  </si>
  <si>
    <t>CB10</t>
  </si>
  <si>
    <t>Mr. Md. Shakil Ahmed</t>
  </si>
  <si>
    <t>C157</t>
  </si>
  <si>
    <t>Panchagor-2</t>
  </si>
  <si>
    <t>CHATTOGRAMC013</t>
  </si>
  <si>
    <t>C013</t>
  </si>
  <si>
    <t>CTG.BC013</t>
  </si>
  <si>
    <t>MOSHARROF HOSSAIN</t>
  </si>
  <si>
    <t>C158</t>
  </si>
  <si>
    <t>C43</t>
  </si>
  <si>
    <t>SITAKUNDU</t>
  </si>
  <si>
    <t>CB11</t>
  </si>
  <si>
    <t>C159</t>
  </si>
  <si>
    <t>CHATTOGRAMC014</t>
  </si>
  <si>
    <t>C014</t>
  </si>
  <si>
    <t>CTG.BC014</t>
  </si>
  <si>
    <t>Mr. Md. Haidar Ali</t>
  </si>
  <si>
    <t>Atowary</t>
  </si>
  <si>
    <t>C160</t>
  </si>
  <si>
    <t>C60</t>
  </si>
  <si>
    <t>BANSHKHALI-1</t>
  </si>
  <si>
    <t>CB18</t>
  </si>
  <si>
    <t>SAJU DEY</t>
  </si>
  <si>
    <t>SAJU DEY, CTG.A</t>
  </si>
  <si>
    <t>C161</t>
  </si>
  <si>
    <t>CHATTOGRAMC025</t>
  </si>
  <si>
    <t>C025</t>
  </si>
  <si>
    <t>CTG.BC025</t>
  </si>
  <si>
    <t>Md. Nur Islam</t>
  </si>
  <si>
    <t>NAZIM UDDIN</t>
  </si>
  <si>
    <t>Boda</t>
  </si>
  <si>
    <t>C61</t>
  </si>
  <si>
    <t>BANSHKHALI-2</t>
  </si>
  <si>
    <t>CB19</t>
  </si>
  <si>
    <t>C163</t>
  </si>
  <si>
    <t>CHATTOGRAMC026</t>
  </si>
  <si>
    <t>C026</t>
  </si>
  <si>
    <t>CTG.BC026</t>
  </si>
  <si>
    <t>C164</t>
  </si>
  <si>
    <t>Mr. Md. Soleman Goni</t>
  </si>
  <si>
    <t>Panchagor</t>
  </si>
  <si>
    <t>C62</t>
  </si>
  <si>
    <t>ANOWARA</t>
  </si>
  <si>
    <t>CB20</t>
  </si>
  <si>
    <t>C165</t>
  </si>
  <si>
    <t>CHATTOGRAMC027</t>
  </si>
  <si>
    <t>C027</t>
  </si>
  <si>
    <t>CTG.BC027</t>
  </si>
  <si>
    <t>C166</t>
  </si>
  <si>
    <t>C20</t>
  </si>
  <si>
    <t>KHAGRACHARI (+MATIRANGA)</t>
  </si>
  <si>
    <t>CA18</t>
  </si>
  <si>
    <t>VACANT, KHAGRACHARI</t>
  </si>
  <si>
    <t>VACANT, KHAGRACHARI, CTG.A</t>
  </si>
  <si>
    <t>C040</t>
  </si>
  <si>
    <t>CHATTOGRAMC040</t>
  </si>
  <si>
    <t>C041</t>
  </si>
  <si>
    <t>Phulbari (Thak.)</t>
  </si>
  <si>
    <t>CTG.AC041</t>
  </si>
  <si>
    <t>C110</t>
  </si>
  <si>
    <t>C22</t>
  </si>
  <si>
    <t>MANIKCHARI</t>
  </si>
  <si>
    <t>CA21</t>
  </si>
  <si>
    <t>C044</t>
  </si>
  <si>
    <t>CHATTOGRAMC044</t>
  </si>
  <si>
    <t>CTG.AC044</t>
  </si>
  <si>
    <t>SELIM REZA</t>
  </si>
  <si>
    <t>C112</t>
  </si>
  <si>
    <t>ASHANUL KARIM</t>
  </si>
  <si>
    <t>Mr. Md. Abdus Samad</t>
  </si>
  <si>
    <t>Sr.RSM</t>
  </si>
  <si>
    <t>C23</t>
  </si>
  <si>
    <t>RAMGOR</t>
  </si>
  <si>
    <t>CA22</t>
  </si>
  <si>
    <t>Dinajpur+Thakurgaon</t>
  </si>
  <si>
    <t>C045</t>
  </si>
  <si>
    <t>CHATTOGRAMC045</t>
  </si>
  <si>
    <t>CTG.AC045</t>
  </si>
  <si>
    <t>C113</t>
  </si>
  <si>
    <t>C31</t>
  </si>
  <si>
    <t>RAWJAN</t>
  </si>
  <si>
    <t>CA16</t>
  </si>
  <si>
    <t>C091</t>
  </si>
  <si>
    <t>CHATTOGRAMC030</t>
  </si>
  <si>
    <t>C034</t>
  </si>
  <si>
    <t>CTG.AC034</t>
  </si>
  <si>
    <t>C151</t>
  </si>
  <si>
    <t>C5</t>
  </si>
  <si>
    <t>HATHAZARI</t>
  </si>
  <si>
    <t>CA13</t>
  </si>
  <si>
    <t>C042</t>
  </si>
  <si>
    <t>CHATTOGRAMC031</t>
  </si>
  <si>
    <t>C031</t>
  </si>
  <si>
    <t>CTG.AC031</t>
  </si>
  <si>
    <t>PRIYTOSH</t>
  </si>
  <si>
    <t>C152</t>
  </si>
  <si>
    <t>C2</t>
  </si>
  <si>
    <t>MURADPUR +KALURGHAT</t>
  </si>
  <si>
    <t>CB4</t>
  </si>
  <si>
    <t>DEWAN JAHANGIR ALAM</t>
  </si>
  <si>
    <t>DEWAN JAHANGIR ALAM, CTG.B</t>
  </si>
  <si>
    <t>Zone : Khulna+Jessore-"A"</t>
  </si>
  <si>
    <t>C167</t>
  </si>
  <si>
    <t>CHATTOGRAMC017</t>
  </si>
  <si>
    <t>C059</t>
  </si>
  <si>
    <t>CTG.AC059</t>
  </si>
  <si>
    <t>C168</t>
  </si>
  <si>
    <t>RAFIQUL ISALM</t>
  </si>
  <si>
    <t>C3</t>
  </si>
  <si>
    <t xml:space="preserve">BAIZID </t>
  </si>
  <si>
    <t>CB5</t>
  </si>
  <si>
    <t>C169</t>
  </si>
  <si>
    <t>CHATTOGRAMC018</t>
  </si>
  <si>
    <t>C060</t>
  </si>
  <si>
    <t>CTG.AC060</t>
  </si>
  <si>
    <t>Mr. Ashraful Islam</t>
  </si>
  <si>
    <t>C170</t>
  </si>
  <si>
    <t>Jashore-1 (+Partly Jashore-3)</t>
  </si>
  <si>
    <t>C4</t>
  </si>
  <si>
    <t>HALISHAHAR</t>
  </si>
  <si>
    <t>CB7</t>
  </si>
  <si>
    <t>C171</t>
  </si>
  <si>
    <t>CHATTOGRAMC019</t>
  </si>
  <si>
    <t>C062</t>
  </si>
  <si>
    <t>CTG.AC062</t>
  </si>
  <si>
    <t>C172</t>
  </si>
  <si>
    <t>Mr. Md. Abu Bakar Siddique</t>
  </si>
  <si>
    <t>Jashore-2 (+Partly Jashore-3)</t>
  </si>
  <si>
    <t>C70</t>
  </si>
  <si>
    <t>COX'S BAZAR-1</t>
  </si>
  <si>
    <t>CX1</t>
  </si>
  <si>
    <t>FIROZ AHMED</t>
  </si>
  <si>
    <t>FIROZ AHMED, CTG.B</t>
  </si>
  <si>
    <t>C051</t>
  </si>
  <si>
    <t>CHATTOGRAMC051</t>
  </si>
  <si>
    <t>COX</t>
  </si>
  <si>
    <t>COXC105</t>
  </si>
  <si>
    <t>C135</t>
  </si>
  <si>
    <t>RIMON SIDDIQ ALI</t>
  </si>
  <si>
    <t>C71</t>
  </si>
  <si>
    <t>Mr. Md. Azizur Rahman</t>
  </si>
  <si>
    <t>COX'S BAZAR-2</t>
  </si>
  <si>
    <t>CX6</t>
  </si>
  <si>
    <t>Jashore-3 (+Partly Jashore-3) (Jashore-4)</t>
  </si>
  <si>
    <t>C052</t>
  </si>
  <si>
    <t>CHATTOGRAMC052</t>
  </si>
  <si>
    <t>COXC110</t>
  </si>
  <si>
    <t>ARMANUL HAQUE</t>
  </si>
  <si>
    <t>C136</t>
  </si>
  <si>
    <t>C72</t>
  </si>
  <si>
    <t>COX'S BAZAR-3</t>
  </si>
  <si>
    <t>CX7</t>
  </si>
  <si>
    <t>C053</t>
  </si>
  <si>
    <t>CHATTOGRAMC053</t>
  </si>
  <si>
    <t>Mr. Md. Kamrul Islam</t>
  </si>
  <si>
    <t>C111</t>
  </si>
  <si>
    <t>COXC111</t>
  </si>
  <si>
    <t>Narail</t>
  </si>
  <si>
    <t>C137</t>
  </si>
  <si>
    <t>C73</t>
  </si>
  <si>
    <t>EIDGAON (+EIDGAON-2) (EIDGAON-1)</t>
  </si>
  <si>
    <t>CX4</t>
  </si>
  <si>
    <t>C054</t>
  </si>
  <si>
    <t>CHATTOGRAMC054</t>
  </si>
  <si>
    <t>COXC108</t>
  </si>
  <si>
    <t>TAWHIDUL ISLAM</t>
  </si>
  <si>
    <t>Mr. Md. Nizamuddin Khan-FM</t>
  </si>
  <si>
    <t>C138</t>
  </si>
  <si>
    <t>SHAMIM DALIM</t>
  </si>
  <si>
    <t>Lohagara</t>
  </si>
  <si>
    <t>C74</t>
  </si>
  <si>
    <t>NIKHONGCHARI</t>
  </si>
  <si>
    <t>CX8</t>
  </si>
  <si>
    <t>C056</t>
  </si>
  <si>
    <t>CHATTOGRAMC056</t>
  </si>
  <si>
    <t>COXC112</t>
  </si>
  <si>
    <t>Mr. Md. Nizamuddin Khan</t>
  </si>
  <si>
    <t>C139</t>
  </si>
  <si>
    <t>JAMANUL HAQUE TUHIN</t>
  </si>
  <si>
    <t>Jashore</t>
  </si>
  <si>
    <t>C50</t>
  </si>
  <si>
    <t>POTIYA-1</t>
  </si>
  <si>
    <t>CB13</t>
  </si>
  <si>
    <t>JAINAL ABEDIN AKHAND</t>
  </si>
  <si>
    <t>JAINAL ABEDIN AKHAND, CTG.B</t>
  </si>
  <si>
    <t>C173</t>
  </si>
  <si>
    <t>CHATTOGRAMC006</t>
  </si>
  <si>
    <t>C006</t>
  </si>
  <si>
    <t>CTG.BC006</t>
  </si>
  <si>
    <t>C174</t>
  </si>
  <si>
    <t>PRITOM</t>
  </si>
  <si>
    <t>Mr. Amit Kumar Mukherjee</t>
  </si>
  <si>
    <t>Baganchara-1</t>
  </si>
  <si>
    <t>C51</t>
  </si>
  <si>
    <t>POTIYA-2</t>
  </si>
  <si>
    <t>CB14</t>
  </si>
  <si>
    <t>C175</t>
  </si>
  <si>
    <t>CHATTOGRAMC007</t>
  </si>
  <si>
    <t>C007</t>
  </si>
  <si>
    <t>CTG.BC007</t>
  </si>
  <si>
    <t>Baganchara-2</t>
  </si>
  <si>
    <t>C52</t>
  </si>
  <si>
    <t>BOALKHALI</t>
  </si>
  <si>
    <t>CB15</t>
  </si>
  <si>
    <t>C177</t>
  </si>
  <si>
    <t>CHATTOGRAMC008</t>
  </si>
  <si>
    <t>C008</t>
  </si>
  <si>
    <t>CTG.BC008</t>
  </si>
  <si>
    <t>C178</t>
  </si>
  <si>
    <t>Mr. Md. Kamal Hossain</t>
  </si>
  <si>
    <t>C53</t>
  </si>
  <si>
    <t>Benapol+Navaron</t>
  </si>
  <si>
    <t>DOHAZARI</t>
  </si>
  <si>
    <t>CB16</t>
  </si>
  <si>
    <t>C179</t>
  </si>
  <si>
    <t>CHATTOGRAMC009</t>
  </si>
  <si>
    <t>C009</t>
  </si>
  <si>
    <t>CTG.BC009</t>
  </si>
  <si>
    <t>C180</t>
  </si>
  <si>
    <t>C92</t>
  </si>
  <si>
    <t>BANDORBAN</t>
  </si>
  <si>
    <t>Mr. Md. Mostakim</t>
  </si>
  <si>
    <t>CB25</t>
  </si>
  <si>
    <t>Jhikorgacha</t>
  </si>
  <si>
    <t>C185</t>
  </si>
  <si>
    <t>CHATTOGRAMC049</t>
  </si>
  <si>
    <t>C082</t>
  </si>
  <si>
    <t>COXC082</t>
  </si>
  <si>
    <t>ARIFUL ISLAM</t>
  </si>
  <si>
    <t>C90</t>
  </si>
  <si>
    <t>AMIRABAD (+AMIRAB.-2) (AMIRAB.-1)</t>
  </si>
  <si>
    <t>CB22</t>
  </si>
  <si>
    <t>Mr. Md. Kashem</t>
  </si>
  <si>
    <t>Kolarua</t>
  </si>
  <si>
    <t>C181</t>
  </si>
  <si>
    <t>CHATTOGRAMC046</t>
  </si>
  <si>
    <t>C081</t>
  </si>
  <si>
    <t>COXC081</t>
  </si>
  <si>
    <t>SHAHABUDDIN</t>
  </si>
  <si>
    <t>C182</t>
  </si>
  <si>
    <t>C91</t>
  </si>
  <si>
    <t xml:space="preserve">SHATKANIA </t>
  </si>
  <si>
    <t>CB24</t>
  </si>
  <si>
    <t>NARAYAN DAS</t>
  </si>
  <si>
    <t>Mr. Gobindo Kumar Rudra</t>
  </si>
  <si>
    <t>NARAYAN DAS, CTG.B</t>
  </si>
  <si>
    <t>Baganchara</t>
  </si>
  <si>
    <t>C183</t>
  </si>
  <si>
    <t>CHATTOGRAMC048</t>
  </si>
  <si>
    <t>C084</t>
  </si>
  <si>
    <t>COXC084</t>
  </si>
  <si>
    <t>C184</t>
  </si>
  <si>
    <t>C93</t>
  </si>
  <si>
    <t>CHOKORIA+PEKUA</t>
  </si>
  <si>
    <t>CX13</t>
  </si>
  <si>
    <t>Mr. Md. Alamgir Hossain</t>
  </si>
  <si>
    <t>Keshobpur-1</t>
  </si>
  <si>
    <t>C187</t>
  </si>
  <si>
    <t>CHATTOGRAMC076</t>
  </si>
  <si>
    <t>COXC114</t>
  </si>
  <si>
    <t>C188</t>
  </si>
  <si>
    <t>C80</t>
  </si>
  <si>
    <t>TEKNAF (COX'S)</t>
  </si>
  <si>
    <t>CX12</t>
  </si>
  <si>
    <t xml:space="preserve">SHAHJAHAN </t>
  </si>
  <si>
    <t>SHAHJAHAN , CTG.B</t>
  </si>
  <si>
    <t>Mr. Md. Billal Hossain</t>
  </si>
  <si>
    <t>C071</t>
  </si>
  <si>
    <t>Keshobpur-2</t>
  </si>
  <si>
    <t>CHATTOGRAMC071</t>
  </si>
  <si>
    <t>C103</t>
  </si>
  <si>
    <t>COXC103</t>
  </si>
  <si>
    <t>MOHAMMAD RASHED</t>
  </si>
  <si>
    <t>C140</t>
  </si>
  <si>
    <t>C82</t>
  </si>
  <si>
    <t xml:space="preserve">UKHIYA </t>
  </si>
  <si>
    <t>CX11</t>
  </si>
  <si>
    <t>C073</t>
  </si>
  <si>
    <t>CHATTOGRAMC073</t>
  </si>
  <si>
    <t>C104</t>
  </si>
  <si>
    <t>COXC104</t>
  </si>
  <si>
    <t>Noapara-1</t>
  </si>
  <si>
    <t>C142</t>
  </si>
  <si>
    <t>NURUL ANOWAR</t>
  </si>
  <si>
    <t>C83</t>
  </si>
  <si>
    <t>COURT BAZAR</t>
  </si>
  <si>
    <t>CX3</t>
  </si>
  <si>
    <t>Mr. Khalid Sad</t>
  </si>
  <si>
    <t>Noapara-2</t>
  </si>
  <si>
    <t>C074</t>
  </si>
  <si>
    <t>CHATTOGRAMC074</t>
  </si>
  <si>
    <t>COXC107</t>
  </si>
  <si>
    <t>JAHIDUL ISLAM</t>
  </si>
  <si>
    <t>C143</t>
  </si>
  <si>
    <t>C84</t>
  </si>
  <si>
    <t>RAMU</t>
  </si>
  <si>
    <t>Mr. Rajib Kumar Mondal</t>
  </si>
  <si>
    <t>CX9</t>
  </si>
  <si>
    <t>Monirampur</t>
  </si>
  <si>
    <t>C075</t>
  </si>
  <si>
    <t>CHATTOGRAMC075</t>
  </si>
  <si>
    <t>COXC113</t>
  </si>
  <si>
    <t>FARHAD HOSSAIN RASHED</t>
  </si>
  <si>
    <t>C144</t>
  </si>
  <si>
    <t>DHAKA-2</t>
  </si>
  <si>
    <t>DK.A</t>
  </si>
  <si>
    <t>Mr. B.M. Zakir Hossain</t>
  </si>
  <si>
    <t>D1</t>
  </si>
  <si>
    <t>ASHKONA (+PARTLY ABDULLAHPUR)</t>
  </si>
  <si>
    <t>DC4</t>
  </si>
  <si>
    <t>ALAM SHEIKH</t>
  </si>
  <si>
    <t>Keshobpur</t>
  </si>
  <si>
    <t>ALAM SHEIKH, DK.A</t>
  </si>
  <si>
    <t>D001</t>
  </si>
  <si>
    <t>DHAKA-2D001</t>
  </si>
  <si>
    <t>DK.C</t>
  </si>
  <si>
    <t>DK.CD001</t>
  </si>
  <si>
    <t>GOLAM KABIR</t>
  </si>
  <si>
    <t>D011</t>
  </si>
  <si>
    <t>HABIBUR RAHAMAN</t>
  </si>
  <si>
    <t>D10</t>
  </si>
  <si>
    <t>NICVD</t>
  </si>
  <si>
    <t>DA21</t>
  </si>
  <si>
    <t>D017</t>
  </si>
  <si>
    <t>DHAKA-2D017</t>
  </si>
  <si>
    <t>D025</t>
  </si>
  <si>
    <t>DK.AD025</t>
  </si>
  <si>
    <t>D027</t>
  </si>
  <si>
    <t>HUSSAIN MIA</t>
  </si>
  <si>
    <t>DHAKA-1</t>
  </si>
  <si>
    <t>Mr. Prosanta Kumar Sarker</t>
  </si>
  <si>
    <t>D11</t>
  </si>
  <si>
    <t>MIRPUR, OGSB , GALAXY HOSP.</t>
  </si>
  <si>
    <t>DA15</t>
  </si>
  <si>
    <t>Diabetic Hosp.-1, Rajapur (+Partly G. Hosp., Rupsha)</t>
  </si>
  <si>
    <t>DHAKA-1D017</t>
  </si>
  <si>
    <t>DK.AD017</t>
  </si>
  <si>
    <t>DO19</t>
  </si>
  <si>
    <t>D2</t>
  </si>
  <si>
    <t>KHILKHET</t>
  </si>
  <si>
    <t>DC5</t>
  </si>
  <si>
    <t>D004</t>
  </si>
  <si>
    <t>DHAKA-2D004</t>
  </si>
  <si>
    <t>KMCH-4 (Betaga+Gauramva) (+Partly G. Hosp., Rupsha)</t>
  </si>
  <si>
    <t>DK.CD004</t>
  </si>
  <si>
    <t>D044</t>
  </si>
  <si>
    <t>HARUN OR RASHID</t>
  </si>
  <si>
    <t>D3</t>
  </si>
  <si>
    <t>DAKKHINKHAN (+PARTLY ABDULLAHPUR)</t>
  </si>
  <si>
    <t>DC6</t>
  </si>
  <si>
    <t>D002</t>
  </si>
  <si>
    <t>DHAKA-2D002</t>
  </si>
  <si>
    <t>DK.CD002</t>
  </si>
  <si>
    <t>Daulatpur+Gazir Hat+Fulbari Gate</t>
  </si>
  <si>
    <t>D022</t>
  </si>
  <si>
    <t>D4</t>
  </si>
  <si>
    <t>BADDA+GULSHAN</t>
  </si>
  <si>
    <t>DC15</t>
  </si>
  <si>
    <t>DHAKA-2D009</t>
  </si>
  <si>
    <t>D009</t>
  </si>
  <si>
    <t>DK.CD009</t>
  </si>
  <si>
    <t>Mr. Riaz Mahmud</t>
  </si>
  <si>
    <t>KMCH-2 (+Partly Shahapur+Dumuria)</t>
  </si>
  <si>
    <t>D5</t>
  </si>
  <si>
    <t>SHANTINAGAR</t>
  </si>
  <si>
    <t>DC14</t>
  </si>
  <si>
    <t>D007</t>
  </si>
  <si>
    <t>DHAKA-2D007</t>
  </si>
  <si>
    <t>DK.CD007</t>
  </si>
  <si>
    <t>MOJAFFAR ALI</t>
  </si>
  <si>
    <t>D077</t>
  </si>
  <si>
    <t>Mr. Rakib Hassan</t>
  </si>
  <si>
    <t>Mongla+Port Hospital (+Partly Rampal+Mongla-1)</t>
  </si>
  <si>
    <t>D7</t>
  </si>
  <si>
    <t>DDCH+KAZIPARA+MIRPUR-14</t>
  </si>
  <si>
    <t>DA13</t>
  </si>
  <si>
    <t>D015</t>
  </si>
  <si>
    <t>DHAKA-1D015</t>
  </si>
  <si>
    <t>DK.AD015</t>
  </si>
  <si>
    <t>SAIFUL ISLAM KHAN</t>
  </si>
  <si>
    <t>D080</t>
  </si>
  <si>
    <t>Mr. Md. Alomgir Hossain</t>
  </si>
  <si>
    <t>D8</t>
  </si>
  <si>
    <t>MOHAKHALI</t>
  </si>
  <si>
    <t>DC17</t>
  </si>
  <si>
    <t>Khulna-A</t>
  </si>
  <si>
    <t>AFM(MMO)</t>
  </si>
  <si>
    <t>D012</t>
  </si>
  <si>
    <t>DHAKA-2D012</t>
  </si>
  <si>
    <t>DK.CD012</t>
  </si>
  <si>
    <t>MRS. TAPOSHI SHAHA</t>
  </si>
  <si>
    <t>D112</t>
  </si>
  <si>
    <t>D9</t>
  </si>
  <si>
    <t>BAVS CLINIC+IBH , MIPUR</t>
  </si>
  <si>
    <t>DA14</t>
  </si>
  <si>
    <t>D016</t>
  </si>
  <si>
    <t>DHAKA-1D016</t>
  </si>
  <si>
    <t>Bagerhat-1</t>
  </si>
  <si>
    <t>DK.AD016</t>
  </si>
  <si>
    <t>MRS. KALPANA KHATUN</t>
  </si>
  <si>
    <t>D018</t>
  </si>
  <si>
    <t>D44</t>
  </si>
  <si>
    <t>TAJMOHAL+SHEKHERTAKE+SHAMOLI</t>
  </si>
  <si>
    <t>DA17</t>
  </si>
  <si>
    <t>ASADUL HAQUE</t>
  </si>
  <si>
    <t>ASADUL HAQUE, DK.A</t>
  </si>
  <si>
    <t>D021</t>
  </si>
  <si>
    <t>DHAKA-1D021</t>
  </si>
  <si>
    <t>DK.AD021</t>
  </si>
  <si>
    <t>Mr. Shekh Asadujjaman Soudi</t>
  </si>
  <si>
    <t>Bagerhat -2+Sadar Hosptial(Jatrapur)</t>
  </si>
  <si>
    <t>MONIRUL ISLAM</t>
  </si>
  <si>
    <t>D80</t>
  </si>
  <si>
    <t xml:space="preserve">BSMMU+KARWAN </t>
  </si>
  <si>
    <t>DA2</t>
  </si>
  <si>
    <t>DHAKA-1D002</t>
  </si>
  <si>
    <t>DK.AD002</t>
  </si>
  <si>
    <t>ABDUR RAJJAK LIMON</t>
  </si>
  <si>
    <t>Fokirhat &amp; Mollarhat (+Partly Rampal)</t>
  </si>
  <si>
    <t>D81</t>
  </si>
  <si>
    <t>BSMMU+RAZABAZAR</t>
  </si>
  <si>
    <t>DA3</t>
  </si>
  <si>
    <t>D003</t>
  </si>
  <si>
    <t>DHAKA-1D003</t>
  </si>
  <si>
    <t>DK.AD003</t>
  </si>
  <si>
    <t>MUHAMMAD KHAIRUL ISLAM</t>
  </si>
  <si>
    <t>D075</t>
  </si>
  <si>
    <t>Mr. Abdullah Al Mamun</t>
  </si>
  <si>
    <t>Kachua (+Partly Moralgonj)</t>
  </si>
  <si>
    <t>D82</t>
  </si>
  <si>
    <t>BSMMU+NAKHALPARA</t>
  </si>
  <si>
    <t>DA5</t>
  </si>
  <si>
    <t>D005</t>
  </si>
  <si>
    <t>DHAKA-1D005</t>
  </si>
  <si>
    <t>DK.AD005</t>
  </si>
  <si>
    <t>ABUL HASAN</t>
  </si>
  <si>
    <t>D078</t>
  </si>
  <si>
    <t>Mr. Md. Mamun</t>
  </si>
  <si>
    <t>Pirojpur</t>
  </si>
  <si>
    <t>D83</t>
  </si>
  <si>
    <t>BMCH+RAYERBAZAR</t>
  </si>
  <si>
    <t>DA1</t>
  </si>
  <si>
    <t>DHAKA-1D001</t>
  </si>
  <si>
    <t>DK.AD001</t>
  </si>
  <si>
    <t>D076</t>
  </si>
  <si>
    <t>Mr. Syed Mohitul Azad</t>
  </si>
  <si>
    <t>D55</t>
  </si>
  <si>
    <t>MITFORD+SSMCH</t>
  </si>
  <si>
    <t>Bagerhat</t>
  </si>
  <si>
    <t>DB10</t>
  </si>
  <si>
    <t>MONIRUL ISLAM, DK.A</t>
  </si>
  <si>
    <t>D064</t>
  </si>
  <si>
    <t>DHAKA-1D064</t>
  </si>
  <si>
    <t>DK.B</t>
  </si>
  <si>
    <t>DK.BD064</t>
  </si>
  <si>
    <t>D081</t>
  </si>
  <si>
    <t>D84</t>
  </si>
  <si>
    <t>NAZIMUDDIN ROAD+LALBAG +DMCH</t>
  </si>
  <si>
    <t>DA31</t>
  </si>
  <si>
    <t>Mr. Md. Ruhul Kuddus</t>
  </si>
  <si>
    <t>D039</t>
  </si>
  <si>
    <t>DHAKA-1D039</t>
  </si>
  <si>
    <t>D041</t>
  </si>
  <si>
    <t>DK.AD041</t>
  </si>
  <si>
    <t>MONIRUL ISLAM -FM</t>
  </si>
  <si>
    <t>Shatkhira-1, Jhaudanga (+Partly Shatkhira-3)</t>
  </si>
  <si>
    <t>D079</t>
  </si>
  <si>
    <t>D85</t>
  </si>
  <si>
    <t>KALIGONG (DH.)</t>
  </si>
  <si>
    <t>DB18</t>
  </si>
  <si>
    <t>Mr. Tarok Chandra Mondal</t>
  </si>
  <si>
    <t>Shatkhira-2, Ashasuni (+Partly Nalta)</t>
  </si>
  <si>
    <t>D072</t>
  </si>
  <si>
    <t>DK.BD072</t>
  </si>
  <si>
    <t xml:space="preserve">KABIR HOSSAIN </t>
  </si>
  <si>
    <t>D074</t>
  </si>
  <si>
    <t>D40</t>
  </si>
  <si>
    <t>MANIKGONJ (MANIKGONJ-2)</t>
  </si>
  <si>
    <t>MK2</t>
  </si>
  <si>
    <t>ABU SAYEED</t>
  </si>
  <si>
    <t>ABU SAYEED, DK.B</t>
  </si>
  <si>
    <t>Koyra</t>
  </si>
  <si>
    <t>M002</t>
  </si>
  <si>
    <t>DHAKA-1M002</t>
  </si>
  <si>
    <t>SAV+MANIK</t>
  </si>
  <si>
    <t>SAV+MANIKM002</t>
  </si>
  <si>
    <t>MAMUNUR RASHID</t>
  </si>
  <si>
    <t>M005</t>
  </si>
  <si>
    <t>DIPOK</t>
  </si>
  <si>
    <t>D41</t>
  </si>
  <si>
    <t>HORIRAMPUR</t>
  </si>
  <si>
    <t>MK3</t>
  </si>
  <si>
    <t>Mr. Debashis Mondal</t>
  </si>
  <si>
    <t>Shyamnagor</t>
  </si>
  <si>
    <t>M003</t>
  </si>
  <si>
    <t>DHAKA-1M003</t>
  </si>
  <si>
    <t>SAV+MANIKM003</t>
  </si>
  <si>
    <t>D42</t>
  </si>
  <si>
    <t>SHIVALAYA+SATURIA</t>
  </si>
  <si>
    <t>MK6</t>
  </si>
  <si>
    <t>Mr. Miraz Billah</t>
  </si>
  <si>
    <t>M007</t>
  </si>
  <si>
    <t>Kaligonj (Khul.)</t>
  </si>
  <si>
    <t>DHAKA-1M007</t>
  </si>
  <si>
    <t>SAV+MANIKM007</t>
  </si>
  <si>
    <t>ABU SAYEED-AM</t>
  </si>
  <si>
    <t>D43</t>
  </si>
  <si>
    <t xml:space="preserve">GHIOR+DAULATPUR </t>
  </si>
  <si>
    <t>MK7</t>
  </si>
  <si>
    <t>M008</t>
  </si>
  <si>
    <t>DHAKA-1M008</t>
  </si>
  <si>
    <t>SAV+MANIKM008</t>
  </si>
  <si>
    <t>Mr. Basir Ahmed Khan</t>
  </si>
  <si>
    <t>M010</t>
  </si>
  <si>
    <t>Shatkhira</t>
  </si>
  <si>
    <t>D56</t>
  </si>
  <si>
    <t>DHONIA+JATRABARI</t>
  </si>
  <si>
    <t>HO</t>
  </si>
  <si>
    <t>HO, DK.B</t>
  </si>
  <si>
    <t>Surveyor</t>
  </si>
  <si>
    <t>D067</t>
  </si>
  <si>
    <t>DK.BD067</t>
  </si>
  <si>
    <t xml:space="preserve">NEMAI CHANDRA </t>
  </si>
  <si>
    <t>Mr. Bashir Ahmed</t>
  </si>
  <si>
    <t>KMCH-1 (Moylapota, Dolkhola)</t>
  </si>
  <si>
    <t>D64</t>
  </si>
  <si>
    <t>ARAIHAZAR (N.G.)</t>
  </si>
  <si>
    <t>DD12</t>
  </si>
  <si>
    <t>SH, DK.B</t>
  </si>
  <si>
    <t>DHAKA-2NA23</t>
  </si>
  <si>
    <t>N.GANJ</t>
  </si>
  <si>
    <t>NA22</t>
  </si>
  <si>
    <t>N.GANJNA22</t>
  </si>
  <si>
    <t>NA23</t>
  </si>
  <si>
    <t>HANIF MIAH</t>
  </si>
  <si>
    <t>Mr. Asim Kumar Biswas</t>
  </si>
  <si>
    <t>D65</t>
  </si>
  <si>
    <t>SONARGAON+GOJARIA</t>
  </si>
  <si>
    <t>Sr.ASM</t>
  </si>
  <si>
    <t>DD10</t>
  </si>
  <si>
    <t>Khulna+Jashore-A</t>
  </si>
  <si>
    <t>NA17</t>
  </si>
  <si>
    <t>DHAKA-2NA17</t>
  </si>
  <si>
    <t>N.GANJNA17</t>
  </si>
  <si>
    <t>NA37</t>
  </si>
  <si>
    <t>ABU BAKKAR</t>
  </si>
  <si>
    <t>D20</t>
  </si>
  <si>
    <t>DHAMRAI-1</t>
  </si>
  <si>
    <t>SV7</t>
  </si>
  <si>
    <t>VACANT , DK.B</t>
  </si>
  <si>
    <t>Self</t>
  </si>
  <si>
    <t>S010</t>
  </si>
  <si>
    <t>DHAKA-1S010</t>
  </si>
  <si>
    <t>SAV+MANIKS010</t>
  </si>
  <si>
    <t>ANWAR FARUK SIDDIQUE</t>
  </si>
  <si>
    <t>D21</t>
  </si>
  <si>
    <t>DHAMRAI-2</t>
  </si>
  <si>
    <t>SV8</t>
  </si>
  <si>
    <t>S011</t>
  </si>
  <si>
    <t>DHAKA-1S011</t>
  </si>
  <si>
    <t>SAV+MANIKS011</t>
  </si>
  <si>
    <t>D22</t>
  </si>
  <si>
    <t>SAVAR-1</t>
  </si>
  <si>
    <t>SV1</t>
  </si>
  <si>
    <t>S001</t>
  </si>
  <si>
    <t>DHAKA-1S001</t>
  </si>
  <si>
    <t>SAV+MANIKS001</t>
  </si>
  <si>
    <t>D27</t>
  </si>
  <si>
    <t>EMCH-1</t>
  </si>
  <si>
    <t>Zone : Jessore-"B"</t>
  </si>
  <si>
    <t>SV6</t>
  </si>
  <si>
    <t>S006</t>
  </si>
  <si>
    <t>DHAKA-1S006</t>
  </si>
  <si>
    <t>SAV+MANIKS006</t>
  </si>
  <si>
    <t>MRS. FATEMA BEGUM</t>
  </si>
  <si>
    <t>ARIF HUSSAIN</t>
  </si>
  <si>
    <t>D60</t>
  </si>
  <si>
    <t>NARAYANGONJ-1 (+N.G.-2)</t>
  </si>
  <si>
    <t>DD5</t>
  </si>
  <si>
    <t>VACANT, NARAYANGONJ</t>
  </si>
  <si>
    <t>VACANT, NARAYANGONJ, DK.B</t>
  </si>
  <si>
    <t>NA11</t>
  </si>
  <si>
    <t>DHAKA-2NA11</t>
  </si>
  <si>
    <t>Mr. Md. Sepon Hossain</t>
  </si>
  <si>
    <t>N.GANJNA11</t>
  </si>
  <si>
    <t>REAZUL ISLAM</t>
  </si>
  <si>
    <t>Kushtia-1</t>
  </si>
  <si>
    <t>NA31</t>
  </si>
  <si>
    <t>D61</t>
  </si>
  <si>
    <t>NARAYANGONJ-2 (BANDAR) (+N.G.-3)</t>
  </si>
  <si>
    <t>DD1</t>
  </si>
  <si>
    <t>NA01</t>
  </si>
  <si>
    <t>DHAKA-2NA01</t>
  </si>
  <si>
    <t>NA02</t>
  </si>
  <si>
    <t>N.GANJNA02</t>
  </si>
  <si>
    <t>NA41</t>
  </si>
  <si>
    <t>Kushtia-2</t>
  </si>
  <si>
    <t>D62</t>
  </si>
  <si>
    <t>PAGLA (N.G.-4)</t>
  </si>
  <si>
    <t>DD6</t>
  </si>
  <si>
    <t>DHAKA-2NA07</t>
  </si>
  <si>
    <t>NA06</t>
  </si>
  <si>
    <t>N.GANJNA06</t>
  </si>
  <si>
    <t>NA07</t>
  </si>
  <si>
    <t>Mr. Topan Kumar Biswas</t>
  </si>
  <si>
    <t>D63</t>
  </si>
  <si>
    <t>Kumarkhali</t>
  </si>
  <si>
    <t>ICMH DEMRA</t>
  </si>
  <si>
    <t>DD8</t>
  </si>
  <si>
    <t>NA09</t>
  </si>
  <si>
    <t>DHAKA-2NA09</t>
  </si>
  <si>
    <t>N.GANJNA09</t>
  </si>
  <si>
    <t>NA39</t>
  </si>
  <si>
    <t>D70</t>
  </si>
  <si>
    <t>MUNSHIGONJ-1 (+MUNSHG.-2)</t>
  </si>
  <si>
    <t>MS1</t>
  </si>
  <si>
    <t>Mr. Md. Monirul Islam</t>
  </si>
  <si>
    <t>VACANT, NOWABGONJ</t>
  </si>
  <si>
    <t>Gangni</t>
  </si>
  <si>
    <t>VACANT, NOWABGONJ, DK.B</t>
  </si>
  <si>
    <t>MU01</t>
  </si>
  <si>
    <t>DHAKA-2MU01</t>
  </si>
  <si>
    <t>MUNSHI</t>
  </si>
  <si>
    <t>MUNSHIMU01</t>
  </si>
  <si>
    <t>D71</t>
  </si>
  <si>
    <t>SREENAGAR (+SIRAJDIKHAN)</t>
  </si>
  <si>
    <t>MS5</t>
  </si>
  <si>
    <t>Mr. Md. Masudur Rahman</t>
  </si>
  <si>
    <t>Mirpur</t>
  </si>
  <si>
    <t>MU05</t>
  </si>
  <si>
    <t>DHAKA-2MU05</t>
  </si>
  <si>
    <t>MUNSHIMU05</t>
  </si>
  <si>
    <t>BASHANI MIA</t>
  </si>
  <si>
    <t>MU06</t>
  </si>
  <si>
    <t>D72</t>
  </si>
  <si>
    <t>DOHAR-1</t>
  </si>
  <si>
    <t>MS9</t>
  </si>
  <si>
    <t>MU09</t>
  </si>
  <si>
    <t>DHAKA-2MU09</t>
  </si>
  <si>
    <t>MUNSHIMU09</t>
  </si>
  <si>
    <t>Kushtia</t>
  </si>
  <si>
    <t>D73</t>
  </si>
  <si>
    <t>DOHAR-2</t>
  </si>
  <si>
    <t>MS10</t>
  </si>
  <si>
    <t>MU10</t>
  </si>
  <si>
    <t>DHAKA-2MU10</t>
  </si>
  <si>
    <t>MUNSHIMU10</t>
  </si>
  <si>
    <t>MASUDUR RAHMAN</t>
  </si>
  <si>
    <t>MU20</t>
  </si>
  <si>
    <t>D74</t>
  </si>
  <si>
    <t>NOWABGONJ (DH)</t>
  </si>
  <si>
    <t>MS7</t>
  </si>
  <si>
    <t>MU07</t>
  </si>
  <si>
    <t>DHAKA-2MU07</t>
  </si>
  <si>
    <t>Mr. Md. Sohag Milon</t>
  </si>
  <si>
    <t>MUNSHIMU07</t>
  </si>
  <si>
    <t>Kushtia-3 (+Kushtia-4)</t>
  </si>
  <si>
    <t>MU27</t>
  </si>
  <si>
    <t>SYLHET</t>
  </si>
  <si>
    <t>HOBI</t>
  </si>
  <si>
    <t>H1</t>
  </si>
  <si>
    <t xml:space="preserve">HOBIGONJ-1 </t>
  </si>
  <si>
    <t>SH, HOBI</t>
  </si>
  <si>
    <t>M. ZAMAN</t>
  </si>
  <si>
    <t>SYLHET1001</t>
  </si>
  <si>
    <t>HG01</t>
  </si>
  <si>
    <t>HOBIHG01</t>
  </si>
  <si>
    <t>SHYAMOL KANTI ROY</t>
  </si>
  <si>
    <t>Mr. Md. Razaul Karim</t>
  </si>
  <si>
    <t>Bheramara</t>
  </si>
  <si>
    <t>IBRAHIM KHALIL</t>
  </si>
  <si>
    <t>H11</t>
  </si>
  <si>
    <t>NOBIGONJ</t>
  </si>
  <si>
    <t>SYLHET2001</t>
  </si>
  <si>
    <t>NG01</t>
  </si>
  <si>
    <t>HOBING01</t>
  </si>
  <si>
    <t>Mr. Md. Atiar Rahman</t>
  </si>
  <si>
    <t>Allaherdorga</t>
  </si>
  <si>
    <t>H12</t>
  </si>
  <si>
    <t>ENAETGONJ</t>
  </si>
  <si>
    <t>SYLHET2002</t>
  </si>
  <si>
    <t>NG02</t>
  </si>
  <si>
    <t>HOBING02</t>
  </si>
  <si>
    <t>Mr. Md. Joynal Abedin</t>
  </si>
  <si>
    <t>Dautalpur</t>
  </si>
  <si>
    <t>H14</t>
  </si>
  <si>
    <t>SHERPUR (HOB.)</t>
  </si>
  <si>
    <t>SYLHET2004</t>
  </si>
  <si>
    <t>NG04</t>
  </si>
  <si>
    <t>HOBING04</t>
  </si>
  <si>
    <t>SHARIF UDDIN</t>
  </si>
  <si>
    <t>Mr. Md. Hafizur Rahman</t>
  </si>
  <si>
    <t>H15</t>
  </si>
  <si>
    <t>AZMIRIGONJ</t>
  </si>
  <si>
    <t>SYLHET2005</t>
  </si>
  <si>
    <t>NG05</t>
  </si>
  <si>
    <t>HOBING05</t>
  </si>
  <si>
    <t>TANVIR AHMED</t>
  </si>
  <si>
    <t>H2</t>
  </si>
  <si>
    <t>HOBIGONJ-2</t>
  </si>
  <si>
    <t>SYLHET1002</t>
  </si>
  <si>
    <t>Chuadanga-1</t>
  </si>
  <si>
    <t>HG02</t>
  </si>
  <si>
    <t>HOBIHG02</t>
  </si>
  <si>
    <t>UJJAL MIAH</t>
  </si>
  <si>
    <t>H5</t>
  </si>
  <si>
    <t>LAKKHAI</t>
  </si>
  <si>
    <t>SYLHET1004</t>
  </si>
  <si>
    <t>HG05</t>
  </si>
  <si>
    <t>HOBIHG05</t>
  </si>
  <si>
    <t>SHARIFUL ISLAM</t>
  </si>
  <si>
    <t>Chuadanga-2</t>
  </si>
  <si>
    <t>ALI-EMON</t>
  </si>
  <si>
    <t>H10</t>
  </si>
  <si>
    <t>SHAYESTAGONJ</t>
  </si>
  <si>
    <t>VACANT, MADHABPUR</t>
  </si>
  <si>
    <t>VACANT, MADHABPUR, HOBI</t>
  </si>
  <si>
    <t>SYLHET1006</t>
  </si>
  <si>
    <t>HG04</t>
  </si>
  <si>
    <t>HOBIHG04</t>
  </si>
  <si>
    <t>KAWSER AHAMED</t>
  </si>
  <si>
    <t>Mr. Md. Hasan Ur Zaman</t>
  </si>
  <si>
    <t>Chuadanga-3</t>
  </si>
  <si>
    <t>H4</t>
  </si>
  <si>
    <t>BAHUBAL</t>
  </si>
  <si>
    <t>SYLHET3006</t>
  </si>
  <si>
    <t>MP05</t>
  </si>
  <si>
    <t>HOBIMP05</t>
  </si>
  <si>
    <t>Mr. Md. Nazrul Islam</t>
  </si>
  <si>
    <t>Alamdanga</t>
  </si>
  <si>
    <t>H6</t>
  </si>
  <si>
    <t>MADHAVPUR-1</t>
  </si>
  <si>
    <t>SYLHET5001</t>
  </si>
  <si>
    <t>MP01</t>
  </si>
  <si>
    <t>HOBIMP01</t>
  </si>
  <si>
    <t>RAHIDUL ISLAM</t>
  </si>
  <si>
    <t>H7</t>
  </si>
  <si>
    <t>MADHAVPUR-2</t>
  </si>
  <si>
    <t>Mr. Md. Ramzan Ali</t>
  </si>
  <si>
    <t>Meherpur</t>
  </si>
  <si>
    <t>SYLHET5002</t>
  </si>
  <si>
    <t>MP03</t>
  </si>
  <si>
    <t>HOBIMP03</t>
  </si>
  <si>
    <t>H9</t>
  </si>
  <si>
    <t>CHUNARUGHAT</t>
  </si>
  <si>
    <t>SYLHET1007</t>
  </si>
  <si>
    <t>Mr. Md. Mezbabul Islam</t>
  </si>
  <si>
    <t>MP04</t>
  </si>
  <si>
    <t>HOBIMP04</t>
  </si>
  <si>
    <t>Chuadanga</t>
  </si>
  <si>
    <t>JASHORE</t>
  </si>
  <si>
    <t>JSR.B</t>
  </si>
  <si>
    <t>JB14</t>
  </si>
  <si>
    <t>BHERAMARA</t>
  </si>
  <si>
    <t>HAFIZUR RAHMAN</t>
  </si>
  <si>
    <t>HAFIZUR RAHMAN, JSR.B</t>
  </si>
  <si>
    <t>K08</t>
  </si>
  <si>
    <t>JASHOREK08</t>
  </si>
  <si>
    <t>JSR.BK08</t>
  </si>
  <si>
    <t>RAZAUL KARIM</t>
  </si>
  <si>
    <t>KM8</t>
  </si>
  <si>
    <t>SUMON CHANDRA DUS</t>
  </si>
  <si>
    <t>JB15</t>
  </si>
  <si>
    <t>DAULATPUR</t>
  </si>
  <si>
    <t>K09</t>
  </si>
  <si>
    <t>Mr. Mahbub Ul Islam</t>
  </si>
  <si>
    <t>JASHOREK09</t>
  </si>
  <si>
    <t>JSR.BK09</t>
  </si>
  <si>
    <t>Team leader</t>
  </si>
  <si>
    <t>KM9</t>
  </si>
  <si>
    <t>SALIM RAZA</t>
  </si>
  <si>
    <t>Jashore-"B"</t>
  </si>
  <si>
    <t>JB16</t>
  </si>
  <si>
    <t>ALLAHERDORGA</t>
  </si>
  <si>
    <t>K11</t>
  </si>
  <si>
    <t>JASHOREK11</t>
  </si>
  <si>
    <t>JSR.BK11</t>
  </si>
  <si>
    <t>KM11</t>
  </si>
  <si>
    <t>JB3</t>
  </si>
  <si>
    <t>KUSHTIA-3 (+KUSHTIA-4)</t>
  </si>
  <si>
    <t>JB7</t>
  </si>
  <si>
    <t>K05</t>
  </si>
  <si>
    <t>JASHOREK03</t>
  </si>
  <si>
    <t>JSR.BK05</t>
  </si>
  <si>
    <t>SOHAG MILON</t>
  </si>
  <si>
    <t>KM5</t>
  </si>
  <si>
    <t>MOFAZZAL HOSAIN</t>
  </si>
  <si>
    <t>JB10</t>
  </si>
  <si>
    <t>CHUADANGA-3</t>
  </si>
  <si>
    <t>MEZBABUL ISLAM</t>
  </si>
  <si>
    <t>MEZBABUL ISLAM, JSR.B</t>
  </si>
  <si>
    <t>K14</t>
  </si>
  <si>
    <t>JASHOREK14</t>
  </si>
  <si>
    <t>JSR.BK14</t>
  </si>
  <si>
    <t>HASAN UR ZAMAN</t>
  </si>
  <si>
    <t>KM14</t>
  </si>
  <si>
    <t>SHAHAJUL ISLAM</t>
  </si>
  <si>
    <t>JB11</t>
  </si>
  <si>
    <t>ALAMDANGA</t>
  </si>
  <si>
    <t>K16</t>
  </si>
  <si>
    <t>JASHOREK16</t>
  </si>
  <si>
    <t>JSR.BK16</t>
  </si>
  <si>
    <t>NAZRUL ISLAM</t>
  </si>
  <si>
    <t>Zone : Jessore-"C"</t>
  </si>
  <si>
    <t>KM16</t>
  </si>
  <si>
    <t>REDOY HOSAIN</t>
  </si>
  <si>
    <t>JB18</t>
  </si>
  <si>
    <t xml:space="preserve">MEHERPUR  </t>
  </si>
  <si>
    <t>JB19</t>
  </si>
  <si>
    <t>K18</t>
  </si>
  <si>
    <t>JASHOREK18</t>
  </si>
  <si>
    <t>JSR.BK18</t>
  </si>
  <si>
    <t>RAMZAN ALI</t>
  </si>
  <si>
    <t>Kaligonj-1 (Jash-C)</t>
  </si>
  <si>
    <t>KM18</t>
  </si>
  <si>
    <t>JB8</t>
  </si>
  <si>
    <t>CHUADANGA-1</t>
  </si>
  <si>
    <t>K15</t>
  </si>
  <si>
    <t>JASHOREK15</t>
  </si>
  <si>
    <t>JSR.BK15</t>
  </si>
  <si>
    <t>KM15</t>
  </si>
  <si>
    <t>JB9</t>
  </si>
  <si>
    <t>CHUADANGA-2</t>
  </si>
  <si>
    <t>K13</t>
  </si>
  <si>
    <t>JASHOREK13</t>
  </si>
  <si>
    <t>Kaligonj-2 (Jash-C)</t>
  </si>
  <si>
    <t>JSR.BK13</t>
  </si>
  <si>
    <t>KM13</t>
  </si>
  <si>
    <t>JB1</t>
  </si>
  <si>
    <t xml:space="preserve">KUSHTIA-1 </t>
  </si>
  <si>
    <t>MIZANUR RAHMAN</t>
  </si>
  <si>
    <t>MIZANUR RAHMAN, JSR.B</t>
  </si>
  <si>
    <t>K01</t>
  </si>
  <si>
    <t>JASHOREK01</t>
  </si>
  <si>
    <t>JSR.BK01</t>
  </si>
  <si>
    <t>KM1</t>
  </si>
  <si>
    <t>Chowgachha</t>
  </si>
  <si>
    <t>MONJU HOSAIN</t>
  </si>
  <si>
    <t>JB17</t>
  </si>
  <si>
    <t xml:space="preserve">MIRPUR </t>
  </si>
  <si>
    <t>K10</t>
  </si>
  <si>
    <t>JASHOREK10</t>
  </si>
  <si>
    <t>JSR.BK10</t>
  </si>
  <si>
    <t>KM10</t>
  </si>
  <si>
    <t>SUMON CHANDRA DAS</t>
  </si>
  <si>
    <t>Mr. Md. Rasel Uddin</t>
  </si>
  <si>
    <t>Jhenaidah-1 (Jhenaidah- 2)</t>
  </si>
  <si>
    <t>JB2</t>
  </si>
  <si>
    <t>KUSHTIA-2</t>
  </si>
  <si>
    <t>K03</t>
  </si>
  <si>
    <t>JASHOREK02</t>
  </si>
  <si>
    <t>K02</t>
  </si>
  <si>
    <t>JSR.BK02</t>
  </si>
  <si>
    <t>KM3</t>
  </si>
  <si>
    <t>JB20</t>
  </si>
  <si>
    <t>Mr. Md. Harun Or Rashid</t>
  </si>
  <si>
    <t>GANGNI</t>
  </si>
  <si>
    <t>Jhenaidah-2 (Jhenaidah-3)</t>
  </si>
  <si>
    <t>K12</t>
  </si>
  <si>
    <t>JASHOREK12</t>
  </si>
  <si>
    <t>JSR.BK12</t>
  </si>
  <si>
    <t>KM12</t>
  </si>
  <si>
    <t>RODOY HOSAIN</t>
  </si>
  <si>
    <t>JB5</t>
  </si>
  <si>
    <t>KUMARKHALI</t>
  </si>
  <si>
    <t>Shoilkupa</t>
  </si>
  <si>
    <t>K06</t>
  </si>
  <si>
    <t>JASHOREK06</t>
  </si>
  <si>
    <t>JSR.BK06</t>
  </si>
  <si>
    <t>TOPAN KUMAR BISWAS</t>
  </si>
  <si>
    <t>KM6</t>
  </si>
  <si>
    <t>JAMAL HOSAIN</t>
  </si>
  <si>
    <t>JSR.C</t>
  </si>
  <si>
    <t>JC1</t>
  </si>
  <si>
    <t>KALIGONJ-1 (JASH-C)</t>
  </si>
  <si>
    <t>SH, JSR.C</t>
  </si>
  <si>
    <t>K21</t>
  </si>
  <si>
    <t>JASHOREK21</t>
  </si>
  <si>
    <t>JSR.CK21</t>
  </si>
  <si>
    <t>Horinakunda(New)</t>
  </si>
  <si>
    <t>CM3</t>
  </si>
  <si>
    <t>SUJON ALI</t>
  </si>
  <si>
    <t>JC10</t>
  </si>
  <si>
    <t>SHOILKUPA</t>
  </si>
  <si>
    <t>K33</t>
  </si>
  <si>
    <t>JASHOREK33</t>
  </si>
  <si>
    <t>JSR.CK33</t>
  </si>
  <si>
    <t>Mr. Md. Kamruzzaman</t>
  </si>
  <si>
    <t>RSM</t>
  </si>
  <si>
    <t>Kaligonj (Jash-C)</t>
  </si>
  <si>
    <t>CM7</t>
  </si>
  <si>
    <t>RASIDUL ISLAM</t>
  </si>
  <si>
    <t>JC2</t>
  </si>
  <si>
    <t>KALIGONJ-2 (JASH-C)</t>
  </si>
  <si>
    <t>K19</t>
  </si>
  <si>
    <t>JASHOREK19</t>
  </si>
  <si>
    <t>JSR.CK19</t>
  </si>
  <si>
    <t>Moheshpur-1</t>
  </si>
  <si>
    <t>JC4</t>
  </si>
  <si>
    <t>CHOWGACHHA</t>
  </si>
  <si>
    <t>K22</t>
  </si>
  <si>
    <t>JASHOREK22</t>
  </si>
  <si>
    <t>JSR.CK22</t>
  </si>
  <si>
    <t xml:space="preserve">TASIBUR RAHMAN </t>
  </si>
  <si>
    <t>JC6</t>
  </si>
  <si>
    <t>JHENAIDAH-1 (JHENAIDAH- 2)</t>
  </si>
  <si>
    <t>JC7</t>
  </si>
  <si>
    <t>K30</t>
  </si>
  <si>
    <t>Mr. Md. Asraful Islam</t>
  </si>
  <si>
    <t>JASHOREK30</t>
  </si>
  <si>
    <t>Moheshpur-2</t>
  </si>
  <si>
    <t>JSR.CK30</t>
  </si>
  <si>
    <t>RASEL UDDIN</t>
  </si>
  <si>
    <t>CM5</t>
  </si>
  <si>
    <t>JHENAIDAH-2 (JHENAIDAH-3)</t>
  </si>
  <si>
    <t>JC8</t>
  </si>
  <si>
    <t>K31</t>
  </si>
  <si>
    <t>JASHOREK31</t>
  </si>
  <si>
    <t>Mr. Md. Sujan Hossain</t>
  </si>
  <si>
    <t>Zibonnagar-1</t>
  </si>
  <si>
    <t>JSR.CK31</t>
  </si>
  <si>
    <t>CM6</t>
  </si>
  <si>
    <t>Mr. Sabdul Hossain</t>
  </si>
  <si>
    <t>Zibonnagar-2</t>
  </si>
  <si>
    <t>HORINAKUNDA</t>
  </si>
  <si>
    <t>K38</t>
  </si>
  <si>
    <t>JSR.CK38</t>
  </si>
  <si>
    <t>Mr. Sagor Hossain</t>
  </si>
  <si>
    <t>Kotchandpur</t>
  </si>
  <si>
    <t>JC11</t>
  </si>
  <si>
    <t>ZIBONNAGAR-1</t>
  </si>
  <si>
    <t>UNOOCH ALI</t>
  </si>
  <si>
    <t>UNOOCH ALI, JSR.C</t>
  </si>
  <si>
    <t>K23</t>
  </si>
  <si>
    <t>JASHOREK23</t>
  </si>
  <si>
    <t>K24</t>
  </si>
  <si>
    <t>JSR.CK24</t>
  </si>
  <si>
    <t>SUJAN HOSSAIN</t>
  </si>
  <si>
    <t>SHOHAN HOSAIN</t>
  </si>
  <si>
    <t>Dorshana</t>
  </si>
  <si>
    <t>JC12</t>
  </si>
  <si>
    <t>ZIBONNAGAR-2</t>
  </si>
  <si>
    <t>JASHOREK24</t>
  </si>
  <si>
    <t>K25</t>
  </si>
  <si>
    <t>JSR.CK25</t>
  </si>
  <si>
    <t>SABDUL HOSSAIN</t>
  </si>
  <si>
    <t>CM11</t>
  </si>
  <si>
    <t>JC13</t>
  </si>
  <si>
    <t>MOHESHPUR-1</t>
  </si>
  <si>
    <t>Mr. Md. Unooch Ali</t>
  </si>
  <si>
    <t>Zibonnagar</t>
  </si>
  <si>
    <t>JASHOREK25</t>
  </si>
  <si>
    <t>K26</t>
  </si>
  <si>
    <t>JSR.CK26</t>
  </si>
  <si>
    <t>SHOEL RANA</t>
  </si>
  <si>
    <t>JC14</t>
  </si>
  <si>
    <t>KOTCHANDPUR</t>
  </si>
  <si>
    <t>K20</t>
  </si>
  <si>
    <t>JASHOREK27</t>
  </si>
  <si>
    <t>K27</t>
  </si>
  <si>
    <t>JSR.CK27</t>
  </si>
  <si>
    <t xml:space="preserve">SAGOR HOSSAIN </t>
  </si>
  <si>
    <t>Jashore-"C"</t>
  </si>
  <si>
    <t>JC15</t>
  </si>
  <si>
    <t>DORSHANA</t>
  </si>
  <si>
    <t>K28</t>
  </si>
  <si>
    <t>JASHOREK28</t>
  </si>
  <si>
    <t>JSR.CK28</t>
  </si>
  <si>
    <t>SHOHAN HOSAN</t>
  </si>
  <si>
    <t>JC16</t>
  </si>
  <si>
    <t>MOHESHPUR-2</t>
  </si>
  <si>
    <t>JASHOREK26</t>
  </si>
  <si>
    <t>JSR.CK23</t>
  </si>
  <si>
    <t>ASRAFUL ISLAM</t>
  </si>
  <si>
    <t>CM9</t>
  </si>
  <si>
    <t>JSR+KHL</t>
  </si>
  <si>
    <t>JK16</t>
  </si>
  <si>
    <t>DIABETIC HOSP.-1, RAJAPUR (+PARTLY G. HOSP., RUPSHA)</t>
  </si>
  <si>
    <t>KA1</t>
  </si>
  <si>
    <t>ALOMGIR HOSSAIN</t>
  </si>
  <si>
    <t>ALOMGIR HOSSAIN, JSR+KHL</t>
  </si>
  <si>
    <t>K41</t>
  </si>
  <si>
    <t>JASHOREK41</t>
  </si>
  <si>
    <t>KHL.A</t>
  </si>
  <si>
    <t>K004</t>
  </si>
  <si>
    <t>KHL.AK004</t>
  </si>
  <si>
    <t>PROSANTA KUMAR SARKER</t>
  </si>
  <si>
    <t>Zone : Sylhet</t>
  </si>
  <si>
    <t>M22</t>
  </si>
  <si>
    <t>KRISNO SARKER</t>
  </si>
  <si>
    <t>JK17</t>
  </si>
  <si>
    <t>KMCH-4 (BETAGA+GAURAMVA)  (+PARTLY G. HOSP., RUPSHA)</t>
  </si>
  <si>
    <t>KA4</t>
  </si>
  <si>
    <t>K42</t>
  </si>
  <si>
    <t>JASHOREK42</t>
  </si>
  <si>
    <t>K008</t>
  </si>
  <si>
    <t>KHL.AK008</t>
  </si>
  <si>
    <t>Zokigonj-1</t>
  </si>
  <si>
    <t>M23</t>
  </si>
  <si>
    <t>JK18</t>
  </si>
  <si>
    <t xml:space="preserve">DAULATPUR+GAZIR HAT+FULBARI GATE </t>
  </si>
  <si>
    <t>KA13</t>
  </si>
  <si>
    <t>K48</t>
  </si>
  <si>
    <t>JASHOREK48</t>
  </si>
  <si>
    <t>K017</t>
  </si>
  <si>
    <t>KHL.AK017</t>
  </si>
  <si>
    <t>M24</t>
  </si>
  <si>
    <t>MONIRUZZAMAN</t>
  </si>
  <si>
    <t>Mr. Kazi Md. Zakir Hossain</t>
  </si>
  <si>
    <t>JK19</t>
  </si>
  <si>
    <t>KMCH-2 (+PARTLY SHAHAPUR+DUMURIA)</t>
  </si>
  <si>
    <t>KA7</t>
  </si>
  <si>
    <t>Zokigonj-2</t>
  </si>
  <si>
    <t>K61</t>
  </si>
  <si>
    <t>JASHOREK61</t>
  </si>
  <si>
    <t>K002</t>
  </si>
  <si>
    <t>KHL.AK002</t>
  </si>
  <si>
    <t>RIAZ MAHMUD</t>
  </si>
  <si>
    <t>M25</t>
  </si>
  <si>
    <t>JK20</t>
  </si>
  <si>
    <t>MONGLA+PORT HOSPITAL (+PARTLY RAMPAL+MONGLA-1)</t>
  </si>
  <si>
    <t>KA19</t>
  </si>
  <si>
    <t>K43</t>
  </si>
  <si>
    <t>JASHOREK43</t>
  </si>
  <si>
    <t>K046</t>
  </si>
  <si>
    <t>KHL.AK046</t>
  </si>
  <si>
    <t>RAKIB HASSAN</t>
  </si>
  <si>
    <t>Beanibazar</t>
  </si>
  <si>
    <t>M26</t>
  </si>
  <si>
    <t>JK11</t>
  </si>
  <si>
    <t>KESHOBPUR-1</t>
  </si>
  <si>
    <t>JA13</t>
  </si>
  <si>
    <t>B.M. ZAKIR HOSSAIN</t>
  </si>
  <si>
    <t>B.M. ZAKIR HOSSAIN, JSR+KHL</t>
  </si>
  <si>
    <t>J19</t>
  </si>
  <si>
    <t>JASHOREJ19</t>
  </si>
  <si>
    <t>JSR.A</t>
  </si>
  <si>
    <t>JSR.AJ19</t>
  </si>
  <si>
    <t>ALAMGIR HOSSAIN</t>
  </si>
  <si>
    <t>M19</t>
  </si>
  <si>
    <t>ABDULLAH</t>
  </si>
  <si>
    <t>JK12</t>
  </si>
  <si>
    <t>KESHOBPUR-2</t>
  </si>
  <si>
    <t>JA14</t>
  </si>
  <si>
    <t>J20</t>
  </si>
  <si>
    <t>JASHOREJ20</t>
  </si>
  <si>
    <t>JSR.AJ20</t>
  </si>
  <si>
    <t>BILLAL HOSSAIN</t>
  </si>
  <si>
    <t>M20</t>
  </si>
  <si>
    <t>JK13</t>
  </si>
  <si>
    <t>NOAPARA-1</t>
  </si>
  <si>
    <t>JA20</t>
  </si>
  <si>
    <t>J09</t>
  </si>
  <si>
    <t>JASHOREJ09</t>
  </si>
  <si>
    <t>Sylhet-5</t>
  </si>
  <si>
    <t>JSR.AJ09</t>
  </si>
  <si>
    <t>M09</t>
  </si>
  <si>
    <t>ZIHAD HOSAIN</t>
  </si>
  <si>
    <t>JK14</t>
  </si>
  <si>
    <t>NOAPARA-2</t>
  </si>
  <si>
    <t>JA21</t>
  </si>
  <si>
    <t>J10</t>
  </si>
  <si>
    <t>JASHOREJ10</t>
  </si>
  <si>
    <t>JSR.AJ10</t>
  </si>
  <si>
    <t>KHALID SAD</t>
  </si>
  <si>
    <t>M10</t>
  </si>
  <si>
    <t>Mr. Md. Abdul Mannan</t>
  </si>
  <si>
    <t>Jagannathpur</t>
  </si>
  <si>
    <t>JK15</t>
  </si>
  <si>
    <t>MONIRAMPUR</t>
  </si>
  <si>
    <t>JA15</t>
  </si>
  <si>
    <t>J21</t>
  </si>
  <si>
    <t>JASHOREJ21</t>
  </si>
  <si>
    <t>JSR.AJ21</t>
  </si>
  <si>
    <t>RAJIB KUMAR MONDAL</t>
  </si>
  <si>
    <t>M21</t>
  </si>
  <si>
    <t>WASHIM AKRAM</t>
  </si>
  <si>
    <t>Azizpur</t>
  </si>
  <si>
    <t>JK26</t>
  </si>
  <si>
    <t>SHATKHIRA-1, JHAUDANGA (+PARTLY SHATKHIRA-3)</t>
  </si>
  <si>
    <t>KB5</t>
  </si>
  <si>
    <t>BASIR AHMED KHAN</t>
  </si>
  <si>
    <t>BASIR AHMED KHAN, JSR+KHL</t>
  </si>
  <si>
    <t>K54</t>
  </si>
  <si>
    <t>JASHOREK54</t>
  </si>
  <si>
    <t>KHL.B</t>
  </si>
  <si>
    <t>K033</t>
  </si>
  <si>
    <t>KHL.BK033</t>
  </si>
  <si>
    <t>RUHUL KUDDUS</t>
  </si>
  <si>
    <t>M32</t>
  </si>
  <si>
    <t>UTTOM KUMAR</t>
  </si>
  <si>
    <t>JK27</t>
  </si>
  <si>
    <t>SHATKHIRA-2, ASHASUNI (+PARTLY NALTA)</t>
  </si>
  <si>
    <t>KB6</t>
  </si>
  <si>
    <t>Kanaighat</t>
  </si>
  <si>
    <t>K55</t>
  </si>
  <si>
    <t>JASHOREK55</t>
  </si>
  <si>
    <t>K034</t>
  </si>
  <si>
    <t>KHL.BK034</t>
  </si>
  <si>
    <t>TAROK CHANDRA MONDAL</t>
  </si>
  <si>
    <t>M33</t>
  </si>
  <si>
    <t>JK28</t>
  </si>
  <si>
    <t>KOYRA</t>
  </si>
  <si>
    <t>KB9</t>
  </si>
  <si>
    <t>K62</t>
  </si>
  <si>
    <t>JASHOREK62</t>
  </si>
  <si>
    <t>K031</t>
  </si>
  <si>
    <t>KHL.BK031</t>
  </si>
  <si>
    <t>Mr. Sozib Hossain</t>
  </si>
  <si>
    <t>Companigonj</t>
  </si>
  <si>
    <t>M34</t>
  </si>
  <si>
    <t>SUVOJIT KUMAR</t>
  </si>
  <si>
    <t>JK29</t>
  </si>
  <si>
    <t>SHYAMNAGOR</t>
  </si>
  <si>
    <t>KB2</t>
  </si>
  <si>
    <t>K58</t>
  </si>
  <si>
    <t>JASHOREK58</t>
  </si>
  <si>
    <t>K039</t>
  </si>
  <si>
    <t>KHL.BK039</t>
  </si>
  <si>
    <t>DEBASHIS MONDAL</t>
  </si>
  <si>
    <t>M35</t>
  </si>
  <si>
    <t>Mr. Md. Abdul Latif</t>
  </si>
  <si>
    <t>HAZRAT ALI</t>
  </si>
  <si>
    <t>Sylhet-A</t>
  </si>
  <si>
    <t>JK30</t>
  </si>
  <si>
    <t>KALIGONJ (KHUL.)</t>
  </si>
  <si>
    <t>KB3</t>
  </si>
  <si>
    <t>K59</t>
  </si>
  <si>
    <t>JASHOREK59</t>
  </si>
  <si>
    <t>K036</t>
  </si>
  <si>
    <t>KHL.BK036</t>
  </si>
  <si>
    <t>MIRAZ BILLAH</t>
  </si>
  <si>
    <t>M36</t>
  </si>
  <si>
    <t>JK10</t>
  </si>
  <si>
    <t xml:space="preserve">KOLARUA </t>
  </si>
  <si>
    <t>JA16</t>
  </si>
  <si>
    <t>GOBINDO KUMAR RUDRA</t>
  </si>
  <si>
    <t>GOBINDO KUMAR RUDRA, JSR+KHL</t>
  </si>
  <si>
    <t>J17</t>
  </si>
  <si>
    <t>JASHOREJ17</t>
  </si>
  <si>
    <t>JSR.AJ17</t>
  </si>
  <si>
    <t>KASHEM</t>
  </si>
  <si>
    <t>Sylhet-1</t>
  </si>
  <si>
    <t>M17</t>
  </si>
  <si>
    <t>MASUD RANA</t>
  </si>
  <si>
    <t>JK6</t>
  </si>
  <si>
    <t>BAGANCHARA-1</t>
  </si>
  <si>
    <t>JA9</t>
  </si>
  <si>
    <t>J13</t>
  </si>
  <si>
    <t>JASHOREJ13</t>
  </si>
  <si>
    <t>JSR.AJ13</t>
  </si>
  <si>
    <t>AMIT KUMAR MUKHERJEE</t>
  </si>
  <si>
    <t>M13</t>
  </si>
  <si>
    <t>JK7</t>
  </si>
  <si>
    <t>BAGANCHARA-2</t>
  </si>
  <si>
    <t>JA10</t>
  </si>
  <si>
    <t>J14</t>
  </si>
  <si>
    <t>BENAPOL+NAVARON</t>
  </si>
  <si>
    <t>Mr. Md. Shahajada Miah</t>
  </si>
  <si>
    <t>Doara Bazar</t>
  </si>
  <si>
    <t>JSR.AJ14</t>
  </si>
  <si>
    <t>M14</t>
  </si>
  <si>
    <t>JK8</t>
  </si>
  <si>
    <t>JA11</t>
  </si>
  <si>
    <t>J15</t>
  </si>
  <si>
    <t>JASHOREJ15</t>
  </si>
  <si>
    <t>Golapgonj</t>
  </si>
  <si>
    <t>JSR.AJ15</t>
  </si>
  <si>
    <t>KAMAL HOSSAIN</t>
  </si>
  <si>
    <t>M15</t>
  </si>
  <si>
    <t>Mr. Amarjit Das</t>
  </si>
  <si>
    <t>JK9</t>
  </si>
  <si>
    <t>Kulaura</t>
  </si>
  <si>
    <t>JHIKORGACHA</t>
  </si>
  <si>
    <t>JA12</t>
  </si>
  <si>
    <t>J16</t>
  </si>
  <si>
    <t>JASHOREJ16</t>
  </si>
  <si>
    <t>JSR.AJ16</t>
  </si>
  <si>
    <t>MOSTAKIM</t>
  </si>
  <si>
    <t>M16</t>
  </si>
  <si>
    <t>JK1</t>
  </si>
  <si>
    <t>JASHORE-1 (+PARTLY JASHORE-3)</t>
  </si>
  <si>
    <t>JA1</t>
  </si>
  <si>
    <t>NIZAMUDDIN KHAN</t>
  </si>
  <si>
    <t>NIZAMUDDIN KHAN, JSR+KHL</t>
  </si>
  <si>
    <t>J01</t>
  </si>
  <si>
    <t>JASHOREJ01</t>
  </si>
  <si>
    <t>Mr. Pappu Das</t>
  </si>
  <si>
    <t>Baralakha</t>
  </si>
  <si>
    <t>JSR.AJ01</t>
  </si>
  <si>
    <t>ASHRAFUL ISLAM</t>
  </si>
  <si>
    <t>M01</t>
  </si>
  <si>
    <t>MOYNUL HOSAIN</t>
  </si>
  <si>
    <t>JK2</t>
  </si>
  <si>
    <t>JASHORE-2 (+PARTLY JASHORE-3)</t>
  </si>
  <si>
    <t>JA2</t>
  </si>
  <si>
    <t>J02</t>
  </si>
  <si>
    <t>JASHOREJ02</t>
  </si>
  <si>
    <t>JSR.AJ02</t>
  </si>
  <si>
    <t>ABU BAKAR SIDDIQUE</t>
  </si>
  <si>
    <t>M02</t>
  </si>
  <si>
    <t>Sylhet-B</t>
  </si>
  <si>
    <t>JK3</t>
  </si>
  <si>
    <t>JASHORE-3 (+PARTLY JASHORE-3) (JASHORE-4)</t>
  </si>
  <si>
    <t>JA3</t>
  </si>
  <si>
    <t>J08</t>
  </si>
  <si>
    <t>JASHOREJ03</t>
  </si>
  <si>
    <t>J03</t>
  </si>
  <si>
    <t>JSR.AJ03</t>
  </si>
  <si>
    <t>AZIZUR RAHMAN</t>
  </si>
  <si>
    <t>M08</t>
  </si>
  <si>
    <t>Mr. Md. Omar Faruk</t>
  </si>
  <si>
    <t>Sylhet</t>
  </si>
  <si>
    <t>JK4</t>
  </si>
  <si>
    <t xml:space="preserve">NARAIL </t>
  </si>
  <si>
    <t>JA22</t>
  </si>
  <si>
    <t>J11</t>
  </si>
  <si>
    <t>JASHOREJ11</t>
  </si>
  <si>
    <t>JSR.AJ11</t>
  </si>
  <si>
    <t xml:space="preserve">KAMRUL ISLAM </t>
  </si>
  <si>
    <t>M11</t>
  </si>
  <si>
    <t>HIMARUL MOLLAH</t>
  </si>
  <si>
    <t>JK5</t>
  </si>
  <si>
    <t>LOHAGARA</t>
  </si>
  <si>
    <t>JA23</t>
  </si>
  <si>
    <t>J12</t>
  </si>
  <si>
    <t>JASHOREJ12</t>
  </si>
  <si>
    <t>JSR.AJ12</t>
  </si>
  <si>
    <t>NIZAMUDDIN KHAN-FM</t>
  </si>
  <si>
    <t>M12</t>
  </si>
  <si>
    <t>JK31</t>
  </si>
  <si>
    <t>KMCH-1 (MOYLAPOTA, DOLKHOLA)</t>
  </si>
  <si>
    <t>KA2</t>
  </si>
  <si>
    <t>SH, JSR+KHL</t>
  </si>
  <si>
    <t>JASHOREK60</t>
  </si>
  <si>
    <t>K010</t>
  </si>
  <si>
    <t>KHL.AK010</t>
  </si>
  <si>
    <t>BASHIR AHMED</t>
  </si>
  <si>
    <t>Zone : Hobigonj</t>
  </si>
  <si>
    <t>SAWON SHEIKH</t>
  </si>
  <si>
    <t>JK21</t>
  </si>
  <si>
    <t>BAGERHAT-1</t>
  </si>
  <si>
    <t>KA14</t>
  </si>
  <si>
    <t>SYED MOHITUL AZAD</t>
  </si>
  <si>
    <t>SYED MOHITUL AZAD, JSR+KHL</t>
  </si>
  <si>
    <t>K50</t>
  </si>
  <si>
    <t>JASHOREK49</t>
  </si>
  <si>
    <t>K043</t>
  </si>
  <si>
    <t>KHL.AK043</t>
  </si>
  <si>
    <t xml:space="preserve">SHARIFUL ISLAM </t>
  </si>
  <si>
    <t>M27</t>
  </si>
  <si>
    <t>TARIQUL ISLAM</t>
  </si>
  <si>
    <t>Mr. Shyamol Kanti Roy</t>
  </si>
  <si>
    <t>Hobigonj-1</t>
  </si>
  <si>
    <t>JK22</t>
  </si>
  <si>
    <t>BAGERHAT -2+SADAR HOSPTIAL(JATRAPUR)</t>
  </si>
  <si>
    <t>KA15</t>
  </si>
  <si>
    <t>K49</t>
  </si>
  <si>
    <t>JASHOREK50</t>
  </si>
  <si>
    <t>K040</t>
  </si>
  <si>
    <t>KHL.AK040</t>
  </si>
  <si>
    <t>SHEKH ASADUJJAMAN SOUDI</t>
  </si>
  <si>
    <t>M28</t>
  </si>
  <si>
    <t>JK23</t>
  </si>
  <si>
    <t>FOKIRHAT &amp; MOLLARHAT (+PARTLY RAMPAL)</t>
  </si>
  <si>
    <t>KA30</t>
  </si>
  <si>
    <t>Mr. Md. Ujjal Miah</t>
  </si>
  <si>
    <t>Hobigonj-2</t>
  </si>
  <si>
    <t>K52</t>
  </si>
  <si>
    <t>JASHOREK52</t>
  </si>
  <si>
    <t>K023</t>
  </si>
  <si>
    <t>KHL.AK023</t>
  </si>
  <si>
    <t>FARUK HOSSAIN</t>
  </si>
  <si>
    <t>M29</t>
  </si>
  <si>
    <t>JK24</t>
  </si>
  <si>
    <t>KACHUA (+PARTLY MORALGONJ)</t>
  </si>
  <si>
    <t>KA25</t>
  </si>
  <si>
    <t>K53</t>
  </si>
  <si>
    <t>JASHOREK53</t>
  </si>
  <si>
    <t>Hobigonj-A</t>
  </si>
  <si>
    <t>K041</t>
  </si>
  <si>
    <t>KHL.AK041</t>
  </si>
  <si>
    <t>ABDULLAH AL MAMUN</t>
  </si>
  <si>
    <t>M30</t>
  </si>
  <si>
    <t>PORIMOL KUMAR DAS</t>
  </si>
  <si>
    <t>JK25</t>
  </si>
  <si>
    <t>PIROJPUR</t>
  </si>
  <si>
    <t>KA22</t>
  </si>
  <si>
    <t>K76</t>
  </si>
  <si>
    <t>JASHOREK76</t>
  </si>
  <si>
    <t>K052</t>
  </si>
  <si>
    <t>KHL.AK052</t>
  </si>
  <si>
    <t>MAMUN</t>
  </si>
  <si>
    <t>M31</t>
  </si>
  <si>
    <t>Mr. Md. Shariful Islam</t>
  </si>
  <si>
    <t>Lakkhai</t>
  </si>
  <si>
    <t>NSD</t>
  </si>
  <si>
    <t>NS1</t>
  </si>
  <si>
    <t>DG1</t>
  </si>
  <si>
    <t>SALAL MIAH FAKIR</t>
  </si>
  <si>
    <t>SALAL MIAH FAKIR, NSD</t>
  </si>
  <si>
    <t>ND14</t>
  </si>
  <si>
    <t>DHAKA-2ND14</t>
  </si>
  <si>
    <t>NSDND14</t>
  </si>
  <si>
    <t>ND34</t>
  </si>
  <si>
    <t>MAHAMUDUL HASAN</t>
  </si>
  <si>
    <t>NS16</t>
  </si>
  <si>
    <t>NORSINGDI-4</t>
  </si>
  <si>
    <t>Nobigonj</t>
  </si>
  <si>
    <t>DG7</t>
  </si>
  <si>
    <t>ND13</t>
  </si>
  <si>
    <t>NSDND13</t>
  </si>
  <si>
    <t>NS17</t>
  </si>
  <si>
    <t>POLASH</t>
  </si>
  <si>
    <t>DG16</t>
  </si>
  <si>
    <t>Enaetgonj</t>
  </si>
  <si>
    <t>ND16</t>
  </si>
  <si>
    <t>NS2</t>
  </si>
  <si>
    <t>NORSINGDI-2</t>
  </si>
  <si>
    <t>DG6</t>
  </si>
  <si>
    <t>ND20</t>
  </si>
  <si>
    <t>Mr. Md. Jahidul Islam</t>
  </si>
  <si>
    <t>DHAKA-2ND20</t>
  </si>
  <si>
    <t>Sherpur (Hob.)</t>
  </si>
  <si>
    <t>NSDND20</t>
  </si>
  <si>
    <t>ND40</t>
  </si>
  <si>
    <t>NS3</t>
  </si>
  <si>
    <t>NORSINGDI-3</t>
  </si>
  <si>
    <t>DG2</t>
  </si>
  <si>
    <t>ND17</t>
  </si>
  <si>
    <t>DHAKA-2ND17</t>
  </si>
  <si>
    <t>NSDND17</t>
  </si>
  <si>
    <t>AN-ISLAM (ANIS)</t>
  </si>
  <si>
    <t>Mr. Md. Tanvir Ahmed</t>
  </si>
  <si>
    <t>ND27</t>
  </si>
  <si>
    <t>Azmirigonj</t>
  </si>
  <si>
    <t>NS4</t>
  </si>
  <si>
    <t>MADHOBDI-1</t>
  </si>
  <si>
    <t>DG14</t>
  </si>
  <si>
    <t>ND19</t>
  </si>
  <si>
    <t>DHAKA-2ND19</t>
  </si>
  <si>
    <t>NSDND19</t>
  </si>
  <si>
    <t>FAZLE RAHMAN</t>
  </si>
  <si>
    <t>ND29</t>
  </si>
  <si>
    <t>Mr. Md. Abu Taher</t>
  </si>
  <si>
    <t>Hobigonj-B</t>
  </si>
  <si>
    <t>NS5</t>
  </si>
  <si>
    <t>MADHOBDI-2</t>
  </si>
  <si>
    <t>DG15</t>
  </si>
  <si>
    <t>DHAKA-2ND21</t>
  </si>
  <si>
    <t>ND21</t>
  </si>
  <si>
    <t>NSDND21</t>
  </si>
  <si>
    <t>NS10</t>
  </si>
  <si>
    <t>BHAIRAB-1</t>
  </si>
  <si>
    <t>DG10</t>
  </si>
  <si>
    <t>VACANT, BHAIRAB</t>
  </si>
  <si>
    <t>VACANT, BHAIRAB, NSD</t>
  </si>
  <si>
    <t>DHAKA-2ND23</t>
  </si>
  <si>
    <t>ND23</t>
  </si>
  <si>
    <t>NSDND23</t>
  </si>
  <si>
    <t>MOTIAR RAHAMAN</t>
  </si>
  <si>
    <t>Hobigonj (ARM)</t>
  </si>
  <si>
    <t>NS11</t>
  </si>
  <si>
    <t>RAIPURA</t>
  </si>
  <si>
    <t>DG13</t>
  </si>
  <si>
    <t>ND22</t>
  </si>
  <si>
    <t>NSDND22</t>
  </si>
  <si>
    <t>NS12</t>
  </si>
  <si>
    <t>SHIBPUR</t>
  </si>
  <si>
    <t>DG8</t>
  </si>
  <si>
    <t>ND15</t>
  </si>
  <si>
    <t>NSDND15</t>
  </si>
  <si>
    <t>Madhavpur-1</t>
  </si>
  <si>
    <t>NS6</t>
  </si>
  <si>
    <t>BHAIRAB (BHAIRAB-2)</t>
  </si>
  <si>
    <t>DG11</t>
  </si>
  <si>
    <t>ND12</t>
  </si>
  <si>
    <t>DHAKA-2ND12</t>
  </si>
  <si>
    <t>NSDND12</t>
  </si>
  <si>
    <t>ND32</t>
  </si>
  <si>
    <t>NS7</t>
  </si>
  <si>
    <t xml:space="preserve">BELABO </t>
  </si>
  <si>
    <t>Madhavpur-2</t>
  </si>
  <si>
    <t>DG12</t>
  </si>
  <si>
    <t>ND18</t>
  </si>
  <si>
    <t>DHAKA-2ND18</t>
  </si>
  <si>
    <t>NSDND18</t>
  </si>
  <si>
    <t>ND28</t>
  </si>
  <si>
    <t>NS8</t>
  </si>
  <si>
    <t xml:space="preserve">MONOHORDI </t>
  </si>
  <si>
    <t>DG9</t>
  </si>
  <si>
    <t>ND24</t>
  </si>
  <si>
    <t>DHAKA-2ND24</t>
  </si>
  <si>
    <t>Mr. Md. Kawser Ahamed</t>
  </si>
  <si>
    <t>NSDND24</t>
  </si>
  <si>
    <t>Shayestagonj</t>
  </si>
  <si>
    <t>ND44</t>
  </si>
  <si>
    <t>NS9</t>
  </si>
  <si>
    <t>RUPGONJ</t>
  </si>
  <si>
    <t>DG4</t>
  </si>
  <si>
    <t>ND11</t>
  </si>
  <si>
    <t>DHAKA-2ND11</t>
  </si>
  <si>
    <t>NSDND11</t>
  </si>
  <si>
    <t>AMINUL ISLAM</t>
  </si>
  <si>
    <t>Chunarughat</t>
  </si>
  <si>
    <t>ND31</t>
  </si>
  <si>
    <t>SLT</t>
  </si>
  <si>
    <t>SL11</t>
  </si>
  <si>
    <t>SYLHET-5</t>
  </si>
  <si>
    <t>SL6</t>
  </si>
  <si>
    <t>ABDUL LATIF</t>
  </si>
  <si>
    <t>ABDUL LATIF, SLT</t>
  </si>
  <si>
    <t>SYLHET1060</t>
  </si>
  <si>
    <t>SLT1060</t>
  </si>
  <si>
    <t>NOYON RABBI</t>
  </si>
  <si>
    <t>Bahubal</t>
  </si>
  <si>
    <t>SL12</t>
  </si>
  <si>
    <t xml:space="preserve">JAGANNATHPUR </t>
  </si>
  <si>
    <t>SL17</t>
  </si>
  <si>
    <t>SYLHET3050</t>
  </si>
  <si>
    <t>SUNAM</t>
  </si>
  <si>
    <t>SUNAM3050</t>
  </si>
  <si>
    <t>ABDUL MANNAN</t>
  </si>
  <si>
    <t>SL13</t>
  </si>
  <si>
    <t>Madhavpur</t>
  </si>
  <si>
    <t>AZIZPUR</t>
  </si>
  <si>
    <t>SL8</t>
  </si>
  <si>
    <t>SYLHET2010</t>
  </si>
  <si>
    <t>SLT2010</t>
  </si>
  <si>
    <t>SAFINUR ISLAM</t>
  </si>
  <si>
    <t>SL14</t>
  </si>
  <si>
    <t>KANAIGHAT</t>
  </si>
  <si>
    <t>SL20</t>
  </si>
  <si>
    <t>Hobigonj (SH)</t>
  </si>
  <si>
    <t>SYLHET4030</t>
  </si>
  <si>
    <t>SLT4030</t>
  </si>
  <si>
    <t>SL4</t>
  </si>
  <si>
    <t>COMPANIGONJ</t>
  </si>
  <si>
    <t>SL22</t>
  </si>
  <si>
    <t>SYLHET4050</t>
  </si>
  <si>
    <t>SLT4050</t>
  </si>
  <si>
    <t>SOZIB HOSSAIN</t>
  </si>
  <si>
    <t>SL26</t>
  </si>
  <si>
    <t>ZOKIGONJ-1</t>
  </si>
  <si>
    <t>SL23</t>
  </si>
  <si>
    <t>KAZI ZAKIR HOSSAIN</t>
  </si>
  <si>
    <t>KAZI ZAKIR HOSSAIN, SLT</t>
  </si>
  <si>
    <t>SYLHET5010</t>
  </si>
  <si>
    <t>SLT5010</t>
  </si>
  <si>
    <t>UTTOM BISWAS</t>
  </si>
  <si>
    <t>SL27</t>
  </si>
  <si>
    <t>ZOKIGONJ-2</t>
  </si>
  <si>
    <t>SL24</t>
  </si>
  <si>
    <t>Mr. Md. Moniruzzaman</t>
  </si>
  <si>
    <t>SYLHET5020</t>
  </si>
  <si>
    <t>SLT5020</t>
  </si>
  <si>
    <t>SL5</t>
  </si>
  <si>
    <t>BEANIBAZAR</t>
  </si>
  <si>
    <t>SYLHET5040</t>
  </si>
  <si>
    <t>SLT5040</t>
  </si>
  <si>
    <t>H18</t>
  </si>
  <si>
    <t xml:space="preserve">KULAURA </t>
  </si>
  <si>
    <t>H22</t>
  </si>
  <si>
    <t>VACANT, SYL-B</t>
  </si>
  <si>
    <t>VACANT, SYL-B, SLT</t>
  </si>
  <si>
    <t>SYLHET4001</t>
  </si>
  <si>
    <t>KL01</t>
  </si>
  <si>
    <t>HOBIKL01</t>
  </si>
  <si>
    <t>AMARJIT DAS</t>
  </si>
  <si>
    <t>MAIYNUL ISLAM</t>
  </si>
  <si>
    <t>H24</t>
  </si>
  <si>
    <t>BARALAKHA</t>
  </si>
  <si>
    <t>SYLHET4003</t>
  </si>
  <si>
    <t>KL03</t>
  </si>
  <si>
    <t>HOBIKL03</t>
  </si>
  <si>
    <t>PAPPU DAS</t>
  </si>
  <si>
    <t>SL1</t>
  </si>
  <si>
    <t>SYLHET-1</t>
  </si>
  <si>
    <t>SYLHET2020</t>
  </si>
  <si>
    <t>SLT2020</t>
  </si>
  <si>
    <t>Zone : Cumilla</t>
  </si>
  <si>
    <t>RAKIB HOSSAIN</t>
  </si>
  <si>
    <t>SL2</t>
  </si>
  <si>
    <t xml:space="preserve">GOLAPGONJ </t>
  </si>
  <si>
    <t>SL7</t>
  </si>
  <si>
    <t>SYLHET1070</t>
  </si>
  <si>
    <t>SLT1070</t>
  </si>
  <si>
    <t>SL33</t>
  </si>
  <si>
    <t xml:space="preserve">DOARA BAZAR </t>
  </si>
  <si>
    <t>S14</t>
  </si>
  <si>
    <t>Mr. Md. Golam Kibrea-AM</t>
  </si>
  <si>
    <t>Cumilla-3</t>
  </si>
  <si>
    <t>SUNAM8050</t>
  </si>
  <si>
    <t>SHAHAJADA MIAH</t>
  </si>
  <si>
    <t>TANG</t>
  </si>
  <si>
    <t>TG10</t>
  </si>
  <si>
    <t xml:space="preserve">KALIAKOIR-1 </t>
  </si>
  <si>
    <t>GZ2</t>
  </si>
  <si>
    <t>ALI HOSSAIN</t>
  </si>
  <si>
    <t>ALI HOSSAIN, TANG</t>
  </si>
  <si>
    <t>G002</t>
  </si>
  <si>
    <t>DHAKA-2G002</t>
  </si>
  <si>
    <t>GAZI</t>
  </si>
  <si>
    <t>GAZIG002</t>
  </si>
  <si>
    <t>PARVEZ HOSSAIN</t>
  </si>
  <si>
    <t>Mr. Md. Mashekur Rahman</t>
  </si>
  <si>
    <t>G022</t>
  </si>
  <si>
    <t>SAFIQUL ISLAM</t>
  </si>
  <si>
    <t>Chandina</t>
  </si>
  <si>
    <t>TG11</t>
  </si>
  <si>
    <t>KALIAKOIR-2</t>
  </si>
  <si>
    <t>GZ3</t>
  </si>
  <si>
    <t>G004</t>
  </si>
  <si>
    <t>DHAKA-2G004</t>
  </si>
  <si>
    <t>GAZIG004</t>
  </si>
  <si>
    <t>JUEL HOSSAIN</t>
  </si>
  <si>
    <t>G044</t>
  </si>
  <si>
    <t>TG12</t>
  </si>
  <si>
    <t>KONABARI</t>
  </si>
  <si>
    <t>GZ4</t>
  </si>
  <si>
    <t>G003</t>
  </si>
  <si>
    <t>DHAKA-2G003</t>
  </si>
  <si>
    <t>GAZIG003</t>
  </si>
  <si>
    <t xml:space="preserve">OMAR FARUQUE </t>
  </si>
  <si>
    <t>Burichong</t>
  </si>
  <si>
    <t>G020</t>
  </si>
  <si>
    <t>TG13</t>
  </si>
  <si>
    <t>MIRZAPUR(+MIRZAPUR-1) (MIRZAPUR-1)</t>
  </si>
  <si>
    <t>GZ16</t>
  </si>
  <si>
    <t>G001</t>
  </si>
  <si>
    <t>DHAKA-2G001</t>
  </si>
  <si>
    <t>GAZIG001</t>
  </si>
  <si>
    <t>G011</t>
  </si>
  <si>
    <t>Debidwar</t>
  </si>
  <si>
    <t>TG14</t>
  </si>
  <si>
    <t>GAZIPUR (GAZIPUR-2)</t>
  </si>
  <si>
    <t>GZ7</t>
  </si>
  <si>
    <t>G019</t>
  </si>
  <si>
    <t>DHAKA-2G019</t>
  </si>
  <si>
    <t>GAZIG019</t>
  </si>
  <si>
    <t>ABUL KALAM AZAD</t>
  </si>
  <si>
    <t>G039</t>
  </si>
  <si>
    <t>Mr. Md. Golam Kibrea</t>
  </si>
  <si>
    <t>Cumilla-A</t>
  </si>
  <si>
    <t>TG1</t>
  </si>
  <si>
    <t>TANGAIL-1</t>
  </si>
  <si>
    <t>TN1</t>
  </si>
  <si>
    <t>RASHIDUL ISLAM</t>
  </si>
  <si>
    <t>RASHIDUL ISLAM, TANG</t>
  </si>
  <si>
    <t>DHAKA-2T001</t>
  </si>
  <si>
    <t>T001</t>
  </si>
  <si>
    <t>TANGT001</t>
  </si>
  <si>
    <t>RASHIDUL ISLAM-AM</t>
  </si>
  <si>
    <t>TG2</t>
  </si>
  <si>
    <t>TANGAIL-3</t>
  </si>
  <si>
    <t>TN2</t>
  </si>
  <si>
    <t>Cumilla-1</t>
  </si>
  <si>
    <t>T002</t>
  </si>
  <si>
    <t>DHAKA-2T002</t>
  </si>
  <si>
    <t>TANGT002</t>
  </si>
  <si>
    <t>SHIHAB MIAH</t>
  </si>
  <si>
    <t>T022</t>
  </si>
  <si>
    <t>TG3</t>
  </si>
  <si>
    <t>NAGARPUR-1</t>
  </si>
  <si>
    <t>TN4</t>
  </si>
  <si>
    <t>T004</t>
  </si>
  <si>
    <t>DHAKA-2T004</t>
  </si>
  <si>
    <t>TANGT004</t>
  </si>
  <si>
    <t>SAIFUL ISLAM-2</t>
  </si>
  <si>
    <t>T044</t>
  </si>
  <si>
    <t>SOJIB SHAH</t>
  </si>
  <si>
    <t>Mr. Md. Nurul Islam-Sr.FM</t>
  </si>
  <si>
    <t>Cumilla-2 (Cumilla-5)</t>
  </si>
  <si>
    <t>TG4</t>
  </si>
  <si>
    <t>NAGARPUR-2</t>
  </si>
  <si>
    <t>TN5</t>
  </si>
  <si>
    <t>DHAKA-2T005</t>
  </si>
  <si>
    <t>T005</t>
  </si>
  <si>
    <t>TANGT005</t>
  </si>
  <si>
    <t>Mr. Al-Mamun-1</t>
  </si>
  <si>
    <t>Barura</t>
  </si>
  <si>
    <t>TG20</t>
  </si>
  <si>
    <t>CHOWRASTA+GAZIPUR-1+SREEPUR+TONGI-1+3)</t>
  </si>
  <si>
    <t>GZ6</t>
  </si>
  <si>
    <t>SH, TANG</t>
  </si>
  <si>
    <t>G005</t>
  </si>
  <si>
    <t>DHAKA-2G005</t>
  </si>
  <si>
    <t>G018</t>
  </si>
  <si>
    <t>GAZIG018</t>
  </si>
  <si>
    <t>TG21</t>
  </si>
  <si>
    <t>TANGAIL-2</t>
  </si>
  <si>
    <t>TN6</t>
  </si>
  <si>
    <t>Mr. Md. Ataur Rahman</t>
  </si>
  <si>
    <t>SHAFIQUL ISLAM</t>
  </si>
  <si>
    <t>SHAFIQUL ISLAM, TANG</t>
  </si>
  <si>
    <t>Gouripur (Com.)</t>
  </si>
  <si>
    <t>T008</t>
  </si>
  <si>
    <t>DHAKA-2T008</t>
  </si>
  <si>
    <t>T006</t>
  </si>
  <si>
    <t>TANGT006</t>
  </si>
  <si>
    <t>T028</t>
  </si>
  <si>
    <t>JEWEL HOSSAIN</t>
  </si>
  <si>
    <t>TG22</t>
  </si>
  <si>
    <t>ELENGA+BHUAPUR+GOPALPUR+GHATAIL+BASHAIL</t>
  </si>
  <si>
    <t>TN10</t>
  </si>
  <si>
    <t>Mr. Md. Nurul Islam</t>
  </si>
  <si>
    <t>Cumilla-B</t>
  </si>
  <si>
    <t>DHAKA-2T006</t>
  </si>
  <si>
    <t>T016</t>
  </si>
  <si>
    <t>TANGT016</t>
  </si>
  <si>
    <t>SHAFIQUL ISLAM-FM</t>
  </si>
  <si>
    <t>RANGPUR</t>
  </si>
  <si>
    <t>THAK+DNJ</t>
  </si>
  <si>
    <t>T23</t>
  </si>
  <si>
    <t>DINAJPUR-3</t>
  </si>
  <si>
    <t>ABDUR RAZZAK MIAH</t>
  </si>
  <si>
    <t>ABDUR RAZZAK MIAH, THAK+DNJ</t>
  </si>
  <si>
    <t>R024</t>
  </si>
  <si>
    <t>RANGPURR024</t>
  </si>
  <si>
    <t>DNJ</t>
  </si>
  <si>
    <t>D008</t>
  </si>
  <si>
    <t>DNJD008</t>
  </si>
  <si>
    <t>Laksham-1</t>
  </si>
  <si>
    <t>R164</t>
  </si>
  <si>
    <t>CHONDON ROY</t>
  </si>
  <si>
    <t>T24</t>
  </si>
  <si>
    <t>DINAJPUR-4</t>
  </si>
  <si>
    <t>R051</t>
  </si>
  <si>
    <t>RANGPURR051</t>
  </si>
  <si>
    <t>DNJD009</t>
  </si>
  <si>
    <t>Mr. Apu Banik</t>
  </si>
  <si>
    <t>Laksham-2</t>
  </si>
  <si>
    <t>R165</t>
  </si>
  <si>
    <t>SHUVO ROY</t>
  </si>
  <si>
    <t>T25</t>
  </si>
  <si>
    <t xml:space="preserve">DINAJPUR-5 </t>
  </si>
  <si>
    <t>R052</t>
  </si>
  <si>
    <t>RANGPURR052</t>
  </si>
  <si>
    <t>D006</t>
  </si>
  <si>
    <t>Mr. Gopal Chandra Nath</t>
  </si>
  <si>
    <t>DNJD006</t>
  </si>
  <si>
    <t>RAIHAN ALI</t>
  </si>
  <si>
    <t>Langholkot</t>
  </si>
  <si>
    <t>R166</t>
  </si>
  <si>
    <t>HASAN ALI</t>
  </si>
  <si>
    <t>T26</t>
  </si>
  <si>
    <t>DINAJPUR-6</t>
  </si>
  <si>
    <t>D6</t>
  </si>
  <si>
    <t>R053</t>
  </si>
  <si>
    <t>RANGPURR053</t>
  </si>
  <si>
    <t>D010</t>
  </si>
  <si>
    <t>DNJD010</t>
  </si>
  <si>
    <t>AKTARUZZAMAN</t>
  </si>
  <si>
    <t>R167</t>
  </si>
  <si>
    <t>Mr. Mohammad Ahsan Habib-AM</t>
  </si>
  <si>
    <t>Chowddagram</t>
  </si>
  <si>
    <t>T18</t>
  </si>
  <si>
    <t>DINAJPUR-1</t>
  </si>
  <si>
    <t>MARUF KHAN</t>
  </si>
  <si>
    <t>MARUF KHAN, THAK+DNJ</t>
  </si>
  <si>
    <t>R019</t>
  </si>
  <si>
    <t>RANGPURR019</t>
  </si>
  <si>
    <t>DNJD004</t>
  </si>
  <si>
    <t>CHANDAN SING</t>
  </si>
  <si>
    <t>R160</t>
  </si>
  <si>
    <t>Mr. Mohammad Ahsan Habib</t>
  </si>
  <si>
    <t>Laksham</t>
  </si>
  <si>
    <t>T19</t>
  </si>
  <si>
    <t>DINAJPUR-2</t>
  </si>
  <si>
    <t>R020</t>
  </si>
  <si>
    <t>RANGPURR020</t>
  </si>
  <si>
    <t>DNJD005</t>
  </si>
  <si>
    <t>R161</t>
  </si>
  <si>
    <t>ASIF HOSSAIN</t>
  </si>
  <si>
    <t>Cumilla</t>
  </si>
  <si>
    <t>T20</t>
  </si>
  <si>
    <t>CHIRIRBANDAR</t>
  </si>
  <si>
    <t>D13</t>
  </si>
  <si>
    <t>R021</t>
  </si>
  <si>
    <t xml:space="preserve">RANGPURR021 </t>
  </si>
  <si>
    <t>DNJD011</t>
  </si>
  <si>
    <t>ALIF UDDIN</t>
  </si>
  <si>
    <t>R183</t>
  </si>
  <si>
    <t>T21</t>
  </si>
  <si>
    <t>SETABGONJ</t>
  </si>
  <si>
    <t>D12</t>
  </si>
  <si>
    <t>R022</t>
  </si>
  <si>
    <t>RANGPURR022</t>
  </si>
  <si>
    <t>DNJD007</t>
  </si>
  <si>
    <t>BHABANANDA ROY</t>
  </si>
  <si>
    <t>R162</t>
  </si>
  <si>
    <t>RUBEL ALI</t>
  </si>
  <si>
    <t>T22</t>
  </si>
  <si>
    <t>BIRAMPUR</t>
  </si>
  <si>
    <t>D15</t>
  </si>
  <si>
    <t>R023</t>
  </si>
  <si>
    <t>RANGPURR023</t>
  </si>
  <si>
    <t>DNJD002</t>
  </si>
  <si>
    <t>Zone : Maizdee</t>
  </si>
  <si>
    <t>R163</t>
  </si>
  <si>
    <t>RASHEDUZZAMAN</t>
  </si>
  <si>
    <t>T27</t>
  </si>
  <si>
    <t>PHULBARI (THAK.)</t>
  </si>
  <si>
    <t>D14</t>
  </si>
  <si>
    <t>SH, THAK+DNJ</t>
  </si>
  <si>
    <t>R054</t>
  </si>
  <si>
    <t>RANGPURR054</t>
  </si>
  <si>
    <t>DNJD003</t>
  </si>
  <si>
    <t>R168</t>
  </si>
  <si>
    <t>Maizdee-1+Maizdee-3</t>
  </si>
  <si>
    <t>T10</t>
  </si>
  <si>
    <t>PANCHAGOR-1</t>
  </si>
  <si>
    <t>SOLEMAN GONI</t>
  </si>
  <si>
    <t>SOLEMAN GONI, THAK+DNJ</t>
  </si>
  <si>
    <t>R091</t>
  </si>
  <si>
    <t>RANGPURR091</t>
  </si>
  <si>
    <t>THAKUR</t>
  </si>
  <si>
    <t>P001</t>
  </si>
  <si>
    <t>THAKURP001</t>
  </si>
  <si>
    <t>EASIN ALI</t>
  </si>
  <si>
    <t>R179</t>
  </si>
  <si>
    <t>MAHATAB HOSSAIN</t>
  </si>
  <si>
    <t>T11</t>
  </si>
  <si>
    <t>PANCHAGOR-2</t>
  </si>
  <si>
    <t>Mr. Md. Faisal</t>
  </si>
  <si>
    <t>Maizdee-2</t>
  </si>
  <si>
    <t>R092</t>
  </si>
  <si>
    <t>RANGPURR092</t>
  </si>
  <si>
    <t>P002</t>
  </si>
  <si>
    <t>THAKURP002</t>
  </si>
  <si>
    <t xml:space="preserve">SHAKIL AHMED </t>
  </si>
  <si>
    <t>R180</t>
  </si>
  <si>
    <t>T12</t>
  </si>
  <si>
    <t>ATOWARY</t>
  </si>
  <si>
    <t>R093</t>
  </si>
  <si>
    <t>RANGPURR093</t>
  </si>
  <si>
    <t>P004</t>
  </si>
  <si>
    <t>THAKURP004</t>
  </si>
  <si>
    <t>Maizdee</t>
  </si>
  <si>
    <t>HAIDAR ALI</t>
  </si>
  <si>
    <t>R181</t>
  </si>
  <si>
    <t>ROBIUL ISLAM PIPUL</t>
  </si>
  <si>
    <t>T13</t>
  </si>
  <si>
    <t>BODA</t>
  </si>
  <si>
    <t>R094</t>
  </si>
  <si>
    <t>RANGPURR094</t>
  </si>
  <si>
    <t>P003</t>
  </si>
  <si>
    <t>THAKURP003</t>
  </si>
  <si>
    <t>NUR ISLAM</t>
  </si>
  <si>
    <t>R182</t>
  </si>
  <si>
    <t>Lakshmipur -1</t>
  </si>
  <si>
    <t>T6</t>
  </si>
  <si>
    <t>THAKURGAON-3</t>
  </si>
  <si>
    <t>VACANT, THAK-A</t>
  </si>
  <si>
    <t>VACANT, THAK-A, THAK+DNJ</t>
  </si>
  <si>
    <t>R055</t>
  </si>
  <si>
    <t>RANGPURR055</t>
  </si>
  <si>
    <t>THAKURT002</t>
  </si>
  <si>
    <t>R169</t>
  </si>
  <si>
    <t>T8</t>
  </si>
  <si>
    <t>RANISONKAIL</t>
  </si>
  <si>
    <t>Mr. Palash Chandra Paul</t>
  </si>
  <si>
    <t>R057</t>
  </si>
  <si>
    <t>RANGPURR057</t>
  </si>
  <si>
    <t>Lakshmipur -2</t>
  </si>
  <si>
    <t>T003</t>
  </si>
  <si>
    <t>THAKURT003</t>
  </si>
  <si>
    <t>DULAL HOSSAIN</t>
  </si>
  <si>
    <t>R171</t>
  </si>
  <si>
    <t>RABIUL ISLAM</t>
  </si>
  <si>
    <t>T9</t>
  </si>
  <si>
    <t>HORIPUR</t>
  </si>
  <si>
    <t>R058</t>
  </si>
  <si>
    <t>RANGPURR058</t>
  </si>
  <si>
    <t>THAKURT004</t>
  </si>
  <si>
    <t xml:space="preserve">RABIUL ISLAM </t>
  </si>
  <si>
    <t>Lakshmipur -3</t>
  </si>
  <si>
    <t>R172</t>
  </si>
  <si>
    <t>T1</t>
  </si>
  <si>
    <t>THAKURGAON -1</t>
  </si>
  <si>
    <t>VACANT, THAK-B</t>
  </si>
  <si>
    <t>VACANT, THAK-B, THAK+DNJ</t>
  </si>
  <si>
    <t>R095</t>
  </si>
  <si>
    <t>RANGPURR095</t>
  </si>
  <si>
    <t>THAKURT001</t>
  </si>
  <si>
    <t xml:space="preserve">BOKUL HOSSAIN </t>
  </si>
  <si>
    <t>R173</t>
  </si>
  <si>
    <t>MOZAHAR ALI</t>
  </si>
  <si>
    <t>Lakshmipur -4</t>
  </si>
  <si>
    <t>T2</t>
  </si>
  <si>
    <t>THAKURGAON -2</t>
  </si>
  <si>
    <t>R096</t>
  </si>
  <si>
    <t>RANGPURR096</t>
  </si>
  <si>
    <t>Mr. Md. Humaun Kabir</t>
  </si>
  <si>
    <t>Lakshmipur</t>
  </si>
  <si>
    <t>THAKURT005</t>
  </si>
  <si>
    <t>ABDUR RASHID</t>
  </si>
  <si>
    <t>R174</t>
  </si>
  <si>
    <t>RAJU ISLAM</t>
  </si>
  <si>
    <t>T3</t>
  </si>
  <si>
    <t>BIRGONJ</t>
  </si>
  <si>
    <t>R097</t>
  </si>
  <si>
    <t>RANGPURR097</t>
  </si>
  <si>
    <t>T007</t>
  </si>
  <si>
    <t>THAKURT007</t>
  </si>
  <si>
    <t>R175</t>
  </si>
  <si>
    <t>Mr. Md. Zobaer Alam</t>
  </si>
  <si>
    <t>B. Baria (B. Baria-4)</t>
  </si>
  <si>
    <t>T4</t>
  </si>
  <si>
    <t>PIRGONJ</t>
  </si>
  <si>
    <t>R098</t>
  </si>
  <si>
    <t>RANGPURR098</t>
  </si>
  <si>
    <t>THAKURT008</t>
  </si>
  <si>
    <t xml:space="preserve">RUBEL ALI </t>
  </si>
  <si>
    <t>R176</t>
  </si>
  <si>
    <t>T5</t>
  </si>
  <si>
    <t>BALIADANGI</t>
  </si>
  <si>
    <t>Chargus</t>
  </si>
  <si>
    <t>R099</t>
  </si>
  <si>
    <t>RANGPURR099</t>
  </si>
  <si>
    <t>THAKURT006</t>
  </si>
  <si>
    <t>ALIPH RAHMAN</t>
  </si>
  <si>
    <t>R177</t>
  </si>
  <si>
    <t>T14</t>
  </si>
  <si>
    <t>SAIDPUR-1</t>
  </si>
  <si>
    <t>ZIAUL HASAN</t>
  </si>
  <si>
    <t>ZIAUL HASAN, THAK+DNJ</t>
  </si>
  <si>
    <t>R015</t>
  </si>
  <si>
    <t>RANGPURR015</t>
  </si>
  <si>
    <t>DNJD012</t>
  </si>
  <si>
    <t>Sorail</t>
  </si>
  <si>
    <t>R156</t>
  </si>
  <si>
    <t>GONGADHAR DAS</t>
  </si>
  <si>
    <t>T15</t>
  </si>
  <si>
    <t>SAIDPUR-2</t>
  </si>
  <si>
    <t>R016</t>
  </si>
  <si>
    <t>RANGPURR016</t>
  </si>
  <si>
    <t>D013</t>
  </si>
  <si>
    <t>DNJD013</t>
  </si>
  <si>
    <t>GANGADHAR DAS</t>
  </si>
  <si>
    <t>Mr. Bikash Chandra Das</t>
  </si>
  <si>
    <t>Ashugonj</t>
  </si>
  <si>
    <t>R157</t>
  </si>
  <si>
    <t>T16</t>
  </si>
  <si>
    <t>PARBOTIPUR</t>
  </si>
  <si>
    <t>R017</t>
  </si>
  <si>
    <t>RANGPURR017</t>
  </si>
  <si>
    <t>DNJD001</t>
  </si>
  <si>
    <t>R158</t>
  </si>
  <si>
    <t>Md. Masum Parvej-AM</t>
  </si>
  <si>
    <t>Kosba</t>
  </si>
  <si>
    <t>T17</t>
  </si>
  <si>
    <t>NILPHAMARI</t>
  </si>
  <si>
    <t>R018</t>
  </si>
  <si>
    <t>RANGPURR018</t>
  </si>
  <si>
    <t>DNJD015</t>
  </si>
  <si>
    <t>R159</t>
  </si>
  <si>
    <t>KAFI</t>
  </si>
  <si>
    <t>Md. Masum Parvej</t>
  </si>
  <si>
    <t>B.Baria</t>
  </si>
  <si>
    <t>MYMENSINGH</t>
  </si>
  <si>
    <t>JPUR</t>
  </si>
  <si>
    <t>M37</t>
  </si>
  <si>
    <t>SHERPUR (MYM)</t>
  </si>
  <si>
    <t>SH, JPUR</t>
  </si>
  <si>
    <t>MYM, VACANT</t>
  </si>
  <si>
    <t>MYMENSINGHC031</t>
  </si>
  <si>
    <t>JPURC031</t>
  </si>
  <si>
    <t>BABLU MIAH</t>
  </si>
  <si>
    <t>M40</t>
  </si>
  <si>
    <t>Mr. Md. Abdur Rahim-Sr.RSM</t>
  </si>
  <si>
    <t>NOKLA</t>
  </si>
  <si>
    <t>Sonaimuri</t>
  </si>
  <si>
    <t>GAFFORGAON-1</t>
  </si>
  <si>
    <t>MYMENSINGHB010</t>
  </si>
  <si>
    <t>MYM.B</t>
  </si>
  <si>
    <t>MYM.BB010</t>
  </si>
  <si>
    <t>Chandragonj</t>
  </si>
  <si>
    <t>FM13</t>
  </si>
  <si>
    <t>KOUSER ALI</t>
  </si>
  <si>
    <t>GAFFORGAON-2</t>
  </si>
  <si>
    <t>M18</t>
  </si>
  <si>
    <t>MYMENSINGHB011</t>
  </si>
  <si>
    <t>MYM.BB011</t>
  </si>
  <si>
    <t>Ramgoti</t>
  </si>
  <si>
    <t xml:space="preserve">JAMALPUR-1 </t>
  </si>
  <si>
    <t>J1</t>
  </si>
  <si>
    <t>C021</t>
  </si>
  <si>
    <t>MYMENSINGHC021</t>
  </si>
  <si>
    <t>Mr. Md. Abdur Rahim</t>
  </si>
  <si>
    <t>JPURC021</t>
  </si>
  <si>
    <t>RASHEDUL ISLAM</t>
  </si>
  <si>
    <t>FM14</t>
  </si>
  <si>
    <t>YEAKUB ALI</t>
  </si>
  <si>
    <t>JAMALPUR-2</t>
  </si>
  <si>
    <t>J2</t>
  </si>
  <si>
    <t>C022</t>
  </si>
  <si>
    <t>MYMENSINGHC022</t>
  </si>
  <si>
    <t>JPURC022</t>
  </si>
  <si>
    <t>FM15</t>
  </si>
  <si>
    <t>HARUNUR RASHID</t>
  </si>
  <si>
    <t>Mr. Abdul Mannan-FM</t>
  </si>
  <si>
    <t>SHARISHABARI+MADERGONJ</t>
  </si>
  <si>
    <t>J3</t>
  </si>
  <si>
    <t>C023</t>
  </si>
  <si>
    <t>MYMENSINGHC023</t>
  </si>
  <si>
    <t>JPURC023</t>
  </si>
  <si>
    <t>Chatkhil</t>
  </si>
  <si>
    <t>NANDINA</t>
  </si>
  <si>
    <t>J7</t>
  </si>
  <si>
    <t>MYMENSINGHC027</t>
  </si>
  <si>
    <t>JPURC027</t>
  </si>
  <si>
    <t>FM16</t>
  </si>
  <si>
    <t>MAHAMUDPUR</t>
  </si>
  <si>
    <t>J4</t>
  </si>
  <si>
    <t>C024</t>
  </si>
  <si>
    <t>MYMENSINGHC024</t>
  </si>
  <si>
    <t>JPURC024</t>
  </si>
  <si>
    <t>FM17</t>
  </si>
  <si>
    <t>MYM.A</t>
  </si>
  <si>
    <t>M1</t>
  </si>
  <si>
    <t>MMCH-3</t>
  </si>
  <si>
    <t>M8</t>
  </si>
  <si>
    <t>SH, MYM.A</t>
  </si>
  <si>
    <t>Maizdee (SH)</t>
  </si>
  <si>
    <t>MYMENSINGHB001</t>
  </si>
  <si>
    <t>MYM.BB001</t>
  </si>
  <si>
    <t>FM01</t>
  </si>
  <si>
    <t>M2</t>
  </si>
  <si>
    <t>MMCH-6</t>
  </si>
  <si>
    <t>MYMENSINGHB002</t>
  </si>
  <si>
    <t>MYM.BB002</t>
  </si>
  <si>
    <t>FM27</t>
  </si>
  <si>
    <t>AMIRUL ISLAM</t>
  </si>
  <si>
    <t>M3</t>
  </si>
  <si>
    <t>FULBARIA (MYM)</t>
  </si>
  <si>
    <t>B028</t>
  </si>
  <si>
    <t>MYMENSINGHB028</t>
  </si>
  <si>
    <t>Zone : Feni</t>
  </si>
  <si>
    <t>MYM.BB028</t>
  </si>
  <si>
    <t>FM02</t>
  </si>
  <si>
    <t>M4</t>
  </si>
  <si>
    <t>MUKTAGACHA</t>
  </si>
  <si>
    <t>MYMENSINGHB006</t>
  </si>
  <si>
    <t>MYM.BB006</t>
  </si>
  <si>
    <t>Mr. Gonesh Chandra Roy -AM</t>
  </si>
  <si>
    <t>Feni-1 (Feni-2)</t>
  </si>
  <si>
    <t>FM03</t>
  </si>
  <si>
    <t>M5</t>
  </si>
  <si>
    <t>MMCH</t>
  </si>
  <si>
    <t>B007</t>
  </si>
  <si>
    <t>MYMENSINGHB007</t>
  </si>
  <si>
    <t>SAYAMA MAHBUBA</t>
  </si>
  <si>
    <t xml:space="preserve"> SEED STORE</t>
  </si>
  <si>
    <t>MYMENSINGHB008</t>
  </si>
  <si>
    <t>MYM.BB008</t>
  </si>
  <si>
    <t>JALAL UDDIN</t>
  </si>
  <si>
    <t>Mr. Ashis Chandra Majumder</t>
  </si>
  <si>
    <t>Feni-2 (Feni-4)</t>
  </si>
  <si>
    <t>FM11</t>
  </si>
  <si>
    <t>MIZANUR RAHMAN-01</t>
  </si>
  <si>
    <t xml:space="preserve"> BHALUKA</t>
  </si>
  <si>
    <t>MYMENSINGHB009</t>
  </si>
  <si>
    <t>MYM.BB009</t>
  </si>
  <si>
    <t>ANUWAR HOSSAIN</t>
  </si>
  <si>
    <t>FM12</t>
  </si>
  <si>
    <t>Mr. Abdul Matin</t>
  </si>
  <si>
    <t>Sonagazi</t>
  </si>
  <si>
    <t>PURBADHALA</t>
  </si>
  <si>
    <t>SHAHADAT HOSSAIN</t>
  </si>
  <si>
    <t>SHAHADAT HOSSAIN, MYM.A</t>
  </si>
  <si>
    <t>MYMENSINGHB016</t>
  </si>
  <si>
    <t>MYM.AB016</t>
  </si>
  <si>
    <t>NURUZZAMAN</t>
  </si>
  <si>
    <t>M6</t>
  </si>
  <si>
    <t>NETROKONA -1</t>
  </si>
  <si>
    <t>Chagalnaiya-1+Fulgazi</t>
  </si>
  <si>
    <t>MYMENSINGHB017</t>
  </si>
  <si>
    <t>MYM.AB017</t>
  </si>
  <si>
    <t>SHAHADAT HOSSAIN-AM</t>
  </si>
  <si>
    <t>ANISUR RAHMAN</t>
  </si>
  <si>
    <t>M7</t>
  </si>
  <si>
    <t>NETROKONA-2</t>
  </si>
  <si>
    <t>Mr. Md. Jahirul Islam</t>
  </si>
  <si>
    <t>MYMENSINGHB018</t>
  </si>
  <si>
    <t>Chagalnaiya-2</t>
  </si>
  <si>
    <t>MYM.AB018</t>
  </si>
  <si>
    <t>FARUK AHMED RUBEL</t>
  </si>
  <si>
    <t>FM04</t>
  </si>
  <si>
    <t xml:space="preserve">KENDUA </t>
  </si>
  <si>
    <t>B023</t>
  </si>
  <si>
    <t>MYMENSINGHB023</t>
  </si>
  <si>
    <t>MYM.BB023</t>
  </si>
  <si>
    <t>Mr. Gonesh Chandra Roy</t>
  </si>
  <si>
    <t>RIDOY MIA</t>
  </si>
  <si>
    <t>Feni</t>
  </si>
  <si>
    <t>FM28</t>
  </si>
  <si>
    <t>M9</t>
  </si>
  <si>
    <t>BARHATTA+MOHANGONJ</t>
  </si>
  <si>
    <t>MYMENSINGHB026</t>
  </si>
  <si>
    <t>MYM.BB020</t>
  </si>
  <si>
    <t>FM05</t>
  </si>
  <si>
    <t>PHULPUR</t>
  </si>
  <si>
    <t>Bashurhat</t>
  </si>
  <si>
    <t>VACANT, HALUAGHAT</t>
  </si>
  <si>
    <t>VACANT, HALUAGHAT, MYM.A</t>
  </si>
  <si>
    <t>MYMENSINGHB014</t>
  </si>
  <si>
    <t>MYM.BB014</t>
  </si>
  <si>
    <t>FM19</t>
  </si>
  <si>
    <t>DHUBAURA</t>
  </si>
  <si>
    <t>B015</t>
  </si>
  <si>
    <t>MYMENSINGHB015</t>
  </si>
  <si>
    <t>Dagonbhuiya-1+Senbag</t>
  </si>
  <si>
    <t>MYM.BB015</t>
  </si>
  <si>
    <t>M38</t>
  </si>
  <si>
    <t>HALUAGHAT-1</t>
  </si>
  <si>
    <t>MYMENSINGHB012</t>
  </si>
  <si>
    <t>MYM.BB012</t>
  </si>
  <si>
    <t>FM18</t>
  </si>
  <si>
    <t>Dagonbhuiya-2</t>
  </si>
  <si>
    <t>M39</t>
  </si>
  <si>
    <t>HALUAGHAT-2</t>
  </si>
  <si>
    <t>MYMENSINGHB013</t>
  </si>
  <si>
    <t>MYM.BB013</t>
  </si>
  <si>
    <t>Dagonbhuiya</t>
  </si>
  <si>
    <t>K6</t>
  </si>
  <si>
    <t>KISHOREGONJ-2(MYM.)</t>
  </si>
  <si>
    <t>VACANT, KISHOREGANJ-B</t>
  </si>
  <si>
    <t>VACANT, KISHOREGANJ-B, MYM.A</t>
  </si>
  <si>
    <t>A018</t>
  </si>
  <si>
    <t>MYMENSINGHA018</t>
  </si>
  <si>
    <t>KSR</t>
  </si>
  <si>
    <t>KSRA018</t>
  </si>
  <si>
    <t>MOHITUR RAHMAN</t>
  </si>
  <si>
    <t>Feni (SH)</t>
  </si>
  <si>
    <t>MITAMOIN</t>
  </si>
  <si>
    <t>A016</t>
  </si>
  <si>
    <t>MYMENSINGHA016</t>
  </si>
  <si>
    <t>KSRA016</t>
  </si>
  <si>
    <t>FM24</t>
  </si>
  <si>
    <t>PAKUNDIA</t>
  </si>
  <si>
    <t>A017</t>
  </si>
  <si>
    <t>MYMENSINGHA017</t>
  </si>
  <si>
    <t>KSRA017</t>
  </si>
  <si>
    <t>FM25</t>
  </si>
  <si>
    <t>AGM (Marketing)</t>
  </si>
  <si>
    <t>KOTIADI</t>
  </si>
  <si>
    <t>K8</t>
  </si>
  <si>
    <t>A026</t>
  </si>
  <si>
    <t>MYMENSINGHA026</t>
  </si>
  <si>
    <t>KSRA026</t>
  </si>
  <si>
    <t>JASIM UDDIN</t>
  </si>
  <si>
    <t>FM26</t>
  </si>
  <si>
    <t>KISHOREGONJ-3+HOSSENPUR</t>
  </si>
  <si>
    <t>A014</t>
  </si>
  <si>
    <t>MYMENSINGHA014</t>
  </si>
  <si>
    <t>KSRA014</t>
  </si>
  <si>
    <t>K9</t>
  </si>
  <si>
    <t>KISHOREGONJ-4 (MYM.)</t>
  </si>
  <si>
    <t>K1</t>
  </si>
  <si>
    <t>A008</t>
  </si>
  <si>
    <t>MYMENSINGHA008</t>
  </si>
  <si>
    <t>KSRA008</t>
  </si>
  <si>
    <t>Zone : Mymensingh-A</t>
  </si>
  <si>
    <t>FM23</t>
  </si>
  <si>
    <t>KISHOREGONJ-1(MYM.)</t>
  </si>
  <si>
    <t>VACANT, KSR-A</t>
  </si>
  <si>
    <t>VACANT, KSR-A, MYM.A</t>
  </si>
  <si>
    <t>A019</t>
  </si>
  <si>
    <t>MYMENSINGHA019</t>
  </si>
  <si>
    <t>KSRA019</t>
  </si>
  <si>
    <t>FM20</t>
  </si>
  <si>
    <t>K2</t>
  </si>
  <si>
    <t>KISHOREGONJ-5(MYM.)</t>
  </si>
  <si>
    <t>A009</t>
  </si>
  <si>
    <t>MYMENSINGHA009</t>
  </si>
  <si>
    <t>KSRA009</t>
  </si>
  <si>
    <t>K3</t>
  </si>
  <si>
    <t xml:space="preserve">NANDAIL </t>
  </si>
  <si>
    <t>K4</t>
  </si>
  <si>
    <t>A011</t>
  </si>
  <si>
    <t>MYMENSINGHA011</t>
  </si>
  <si>
    <t>KSRA011</t>
  </si>
  <si>
    <t>FM21</t>
  </si>
  <si>
    <t>KULIARCHAR</t>
  </si>
  <si>
    <t>A027</t>
  </si>
  <si>
    <t>MYMENSINGHA027</t>
  </si>
  <si>
    <t>Fulbaria (Mym)</t>
  </si>
  <si>
    <t>KSRA027</t>
  </si>
  <si>
    <t>FM22</t>
  </si>
  <si>
    <t>K5</t>
  </si>
  <si>
    <t xml:space="preserve">BAZITPUR </t>
  </si>
  <si>
    <t>A023</t>
  </si>
  <si>
    <t>MYMENSINGHA023</t>
  </si>
  <si>
    <t>KSRA023</t>
  </si>
  <si>
    <t>Muktagacha</t>
  </si>
  <si>
    <t>K7</t>
  </si>
  <si>
    <t xml:space="preserve"> TARAIL+ITNA </t>
  </si>
  <si>
    <t>A020</t>
  </si>
  <si>
    <t>MYMENSINGHA020</t>
  </si>
  <si>
    <t>KSRA020</t>
  </si>
  <si>
    <t>Mr. Sayama Mahbuba</t>
  </si>
  <si>
    <t>MYM1.AM</t>
  </si>
  <si>
    <t>Mr. Md. Abul Hasan Sayed</t>
  </si>
  <si>
    <t>Mymensingh-B</t>
  </si>
  <si>
    <t>Mr. Md. Shahadat Hossain-AM</t>
  </si>
  <si>
    <t>MMCH-2</t>
  </si>
  <si>
    <t>MORTUZA HASAN</t>
  </si>
  <si>
    <t>MORTUZA HASAN, MYM1.AM</t>
  </si>
  <si>
    <t>Netrokona -1</t>
  </si>
  <si>
    <t>A002</t>
  </si>
  <si>
    <t>MYMENSINGHA002</t>
  </si>
  <si>
    <t>MYM.AA002</t>
  </si>
  <si>
    <t>ALAMGIR KABIR</t>
  </si>
  <si>
    <t>FM06</t>
  </si>
  <si>
    <t>MIZANUR RAHMAN-02</t>
  </si>
  <si>
    <t xml:space="preserve">CBMCH </t>
  </si>
  <si>
    <t>Mr. Faruk Ahmed Rubel</t>
  </si>
  <si>
    <t>Netrokona-2</t>
  </si>
  <si>
    <t>A005</t>
  </si>
  <si>
    <t>MYMENSINGHA005</t>
  </si>
  <si>
    <t>MYM.AA005</t>
  </si>
  <si>
    <t>FM07</t>
  </si>
  <si>
    <t>TRISHAL-1</t>
  </si>
  <si>
    <t>Mr. Ridoy Mia</t>
  </si>
  <si>
    <t>A006</t>
  </si>
  <si>
    <t>Kendua</t>
  </si>
  <si>
    <t>MYMENSINGHA006</t>
  </si>
  <si>
    <t>MYM.AA006</t>
  </si>
  <si>
    <t>RASHED MIA</t>
  </si>
  <si>
    <t>FM08</t>
  </si>
  <si>
    <t>SADI ONIC</t>
  </si>
  <si>
    <t>TRISHAL-2</t>
  </si>
  <si>
    <t>Mr. Md. Hasibul Islam</t>
  </si>
  <si>
    <t>MYMENSINGHB027</t>
  </si>
  <si>
    <t>Barhatta+Mohangonj</t>
  </si>
  <si>
    <t>MYM.AB027</t>
  </si>
  <si>
    <t>FM09</t>
  </si>
  <si>
    <t>GOURIPUR</t>
  </si>
  <si>
    <t>A007</t>
  </si>
  <si>
    <t>MYMENSINGHA007</t>
  </si>
  <si>
    <t>MYM.AA007</t>
  </si>
  <si>
    <t>Purbadhala</t>
  </si>
  <si>
    <t>FM10</t>
  </si>
  <si>
    <t>FARIDPUR</t>
  </si>
  <si>
    <t>FRD</t>
  </si>
  <si>
    <t>FR20</t>
  </si>
  <si>
    <t>MAGURA -1</t>
  </si>
  <si>
    <t>FA13</t>
  </si>
  <si>
    <t>AMIRUL ISLAM, FRD</t>
  </si>
  <si>
    <t>RAJ+FRD, VACANT</t>
  </si>
  <si>
    <t>F021</t>
  </si>
  <si>
    <t>FARIDPURF021</t>
  </si>
  <si>
    <t>FRD.A</t>
  </si>
  <si>
    <t>FRD.AF021</t>
  </si>
  <si>
    <t>Mr. Md. Shahadat Hossain</t>
  </si>
  <si>
    <t>F112</t>
  </si>
  <si>
    <t>TAHIDUL ISLAM</t>
  </si>
  <si>
    <t>Netrokona</t>
  </si>
  <si>
    <t>FR21</t>
  </si>
  <si>
    <t xml:space="preserve">MAGURA -2 </t>
  </si>
  <si>
    <t>FA15</t>
  </si>
  <si>
    <t>FARIDPURF011</t>
  </si>
  <si>
    <t>FRD.AF011</t>
  </si>
  <si>
    <t>SHAJIB HOSSAIN</t>
  </si>
  <si>
    <t>F113</t>
  </si>
  <si>
    <t>Haluaghat-1</t>
  </si>
  <si>
    <t>FR22</t>
  </si>
  <si>
    <t>MAGURA-3</t>
  </si>
  <si>
    <t>FA16</t>
  </si>
  <si>
    <t>FARIDPURF012</t>
  </si>
  <si>
    <t>FRD.AF012</t>
  </si>
  <si>
    <t>TARIKUL ISLAM TAZU</t>
  </si>
  <si>
    <t>F114</t>
  </si>
  <si>
    <t>SHAHIN KHALASHI</t>
  </si>
  <si>
    <t>FR23</t>
  </si>
  <si>
    <t>MOHAMMADPUR</t>
  </si>
  <si>
    <t>FA17</t>
  </si>
  <si>
    <t>Haluaghat-2</t>
  </si>
  <si>
    <t>FARIDPURF013</t>
  </si>
  <si>
    <t>FRD.AF013</t>
  </si>
  <si>
    <t>F115</t>
  </si>
  <si>
    <t>FR24</t>
  </si>
  <si>
    <t xml:space="preserve">SHALIKA </t>
  </si>
  <si>
    <t>FA18</t>
  </si>
  <si>
    <t>Phulpur</t>
  </si>
  <si>
    <t>FARIDPURF014</t>
  </si>
  <si>
    <t>FRD.AF014</t>
  </si>
  <si>
    <t>SELIM RANA</t>
  </si>
  <si>
    <t>F116</t>
  </si>
  <si>
    <t>FR40</t>
  </si>
  <si>
    <t xml:space="preserve">SHARIATPUR (+SHARIATPUR-1) (SHARIATPUR-2) </t>
  </si>
  <si>
    <t>FB13</t>
  </si>
  <si>
    <t>ARUP KUMAR PODDER</t>
  </si>
  <si>
    <t>ARUP KUMAR PODDER, FRD</t>
  </si>
  <si>
    <t>Dhubaura</t>
  </si>
  <si>
    <t>FARIDPURF038</t>
  </si>
  <si>
    <t>FRD.B</t>
  </si>
  <si>
    <t>FRD.BF038</t>
  </si>
  <si>
    <t>MONJURUL ALAM SHOHEL</t>
  </si>
  <si>
    <t>F121</t>
  </si>
  <si>
    <t>MIJANUR RAHMAN</t>
  </si>
  <si>
    <t>FR41</t>
  </si>
  <si>
    <t>BHEDORGONJ</t>
  </si>
  <si>
    <t>FB15</t>
  </si>
  <si>
    <t>FARIDPURF040</t>
  </si>
  <si>
    <t>Sherpur+Nokla (Mym)</t>
  </si>
  <si>
    <t>FRD.BF040</t>
  </si>
  <si>
    <t>MAHBUBUR RAHMAN</t>
  </si>
  <si>
    <t>F122</t>
  </si>
  <si>
    <t>MAHABUB RAHMAN</t>
  </si>
  <si>
    <t>FR42</t>
  </si>
  <si>
    <t>DAMUDDYA+GOSHAIRHAT</t>
  </si>
  <si>
    <t>FB16</t>
  </si>
  <si>
    <t>F084</t>
  </si>
  <si>
    <t>FARIDPURF084</t>
  </si>
  <si>
    <t>F041</t>
  </si>
  <si>
    <t>FRD.BF041</t>
  </si>
  <si>
    <t>F123</t>
  </si>
  <si>
    <t>ARUP PODDER</t>
  </si>
  <si>
    <t>Haluaghat</t>
  </si>
  <si>
    <t>FR43</t>
  </si>
  <si>
    <t xml:space="preserve">MULFATGONJ </t>
  </si>
  <si>
    <t>FB22</t>
  </si>
  <si>
    <t>F043</t>
  </si>
  <si>
    <t>FARIDPURF043</t>
  </si>
  <si>
    <t>FRD.BF043</t>
  </si>
  <si>
    <t>SUGIT KUMAR DAS</t>
  </si>
  <si>
    <t>F124</t>
  </si>
  <si>
    <t>FR50</t>
  </si>
  <si>
    <t>GOPALGONJ-1</t>
  </si>
  <si>
    <t>FB19</t>
  </si>
  <si>
    <t>Kishoregonj-1(Mym.)</t>
  </si>
  <si>
    <t>AYUB ALI</t>
  </si>
  <si>
    <t>AYUB ALI, FRD</t>
  </si>
  <si>
    <t>F029</t>
  </si>
  <si>
    <t>FARIDPURF029</t>
  </si>
  <si>
    <t>FRD.BF029</t>
  </si>
  <si>
    <t>AYUB ALI -AM</t>
  </si>
  <si>
    <t>F125</t>
  </si>
  <si>
    <t>FR51</t>
  </si>
  <si>
    <t xml:space="preserve">GOPALGONJ-2 </t>
  </si>
  <si>
    <t>FB20</t>
  </si>
  <si>
    <t>Kishoregonj-5(Mym.)</t>
  </si>
  <si>
    <t>F030</t>
  </si>
  <si>
    <t>FARIDPURF030</t>
  </si>
  <si>
    <t>FRD.BF030</t>
  </si>
  <si>
    <t>F126</t>
  </si>
  <si>
    <t>FR52</t>
  </si>
  <si>
    <t>KOTALIPARA</t>
  </si>
  <si>
    <t>Mr. Md. Habibur Rahman</t>
  </si>
  <si>
    <t>FB18</t>
  </si>
  <si>
    <t>Nandail</t>
  </si>
  <si>
    <t>F076</t>
  </si>
  <si>
    <t>FARIDPURF076</t>
  </si>
  <si>
    <t>FRD.BF076</t>
  </si>
  <si>
    <t>RUHUL AMIN</t>
  </si>
  <si>
    <t>F127</t>
  </si>
  <si>
    <t>FR53</t>
  </si>
  <si>
    <t>KASHIANI</t>
  </si>
  <si>
    <t>FB21</t>
  </si>
  <si>
    <t>Tarail+Itna</t>
  </si>
  <si>
    <t>F077</t>
  </si>
  <si>
    <t>FARIDPURF077</t>
  </si>
  <si>
    <t>FRD.BF077</t>
  </si>
  <si>
    <t>F128</t>
  </si>
  <si>
    <t>FR30</t>
  </si>
  <si>
    <t xml:space="preserve">MADARIPUR -1 </t>
  </si>
  <si>
    <t>FB10</t>
  </si>
  <si>
    <t>ISLAMUL HAQUE</t>
  </si>
  <si>
    <t>ISLAMUL HAQUE, FRD</t>
  </si>
  <si>
    <t>Mr. Md. Mostafizur Rahman</t>
  </si>
  <si>
    <t>F071</t>
  </si>
  <si>
    <t>Kuliarchar</t>
  </si>
  <si>
    <t>FARIDPURF071</t>
  </si>
  <si>
    <t>FRD.BF071</t>
  </si>
  <si>
    <t>F117</t>
  </si>
  <si>
    <t>RAYHAN KHAN</t>
  </si>
  <si>
    <t>FR31</t>
  </si>
  <si>
    <t>MADARIPUR-2</t>
  </si>
  <si>
    <t>FB7</t>
  </si>
  <si>
    <t>F072</t>
  </si>
  <si>
    <t>FARIDPURF072</t>
  </si>
  <si>
    <t>Bazitpur</t>
  </si>
  <si>
    <t>FRD.BF072</t>
  </si>
  <si>
    <t>SAMARESH MALLIK</t>
  </si>
  <si>
    <t>F118</t>
  </si>
  <si>
    <t>FR32</t>
  </si>
  <si>
    <t>KALKINI</t>
  </si>
  <si>
    <t>FB9</t>
  </si>
  <si>
    <t>Kishoregonj-A</t>
  </si>
  <si>
    <t>F074</t>
  </si>
  <si>
    <t>FARIDPURF074</t>
  </si>
  <si>
    <t>FRD.BF074</t>
  </si>
  <si>
    <t>F119</t>
  </si>
  <si>
    <t>FR33</t>
  </si>
  <si>
    <t xml:space="preserve">RAJOIR </t>
  </si>
  <si>
    <t>FB11</t>
  </si>
  <si>
    <t>F075</t>
  </si>
  <si>
    <t>FARIDPURF075</t>
  </si>
  <si>
    <t>FRD.BF075</t>
  </si>
  <si>
    <t>LAB MONDAL</t>
  </si>
  <si>
    <t>F120</t>
  </si>
  <si>
    <t>LAB MANDAL</t>
  </si>
  <si>
    <t>FR10</t>
  </si>
  <si>
    <t>FARIDPUR-3(DIABETIC)</t>
  </si>
  <si>
    <t>FA3</t>
  </si>
  <si>
    <t>NAZRUL ISLAM, FRD</t>
  </si>
  <si>
    <t>F015</t>
  </si>
  <si>
    <t>Kishoregonj-2(Mym.)</t>
  </si>
  <si>
    <t>FARIDPURF015</t>
  </si>
  <si>
    <t>F068</t>
  </si>
  <si>
    <t>FRD.AF068</t>
  </si>
  <si>
    <t>F105</t>
  </si>
  <si>
    <t>RUMAN HABIB</t>
  </si>
  <si>
    <t>FR11</t>
  </si>
  <si>
    <t>FARIDPUR-4(+KANAIPUR)</t>
  </si>
  <si>
    <t>FA9</t>
  </si>
  <si>
    <t>Kishoregonj-3+Hossenpur</t>
  </si>
  <si>
    <t>FARIDPURF055</t>
  </si>
  <si>
    <t>FRD.AF055</t>
  </si>
  <si>
    <t xml:space="preserve">PIJUSH SAHA </t>
  </si>
  <si>
    <t>F106</t>
  </si>
  <si>
    <t>FR12</t>
  </si>
  <si>
    <t>FARIDPUR-5+FMCH</t>
  </si>
  <si>
    <t>FA5</t>
  </si>
  <si>
    <t>F056</t>
  </si>
  <si>
    <t>Kishoregonj-4 (Mym.)</t>
  </si>
  <si>
    <t>FARIDPURF056</t>
  </si>
  <si>
    <t>FRD.AF056</t>
  </si>
  <si>
    <t xml:space="preserve">SHAMIM HOSSAIN </t>
  </si>
  <si>
    <t>F107</t>
  </si>
  <si>
    <t>FR13</t>
  </si>
  <si>
    <t>BOALMARI</t>
  </si>
  <si>
    <t>FA6</t>
  </si>
  <si>
    <t>F058</t>
  </si>
  <si>
    <t>Mitamoin</t>
  </si>
  <si>
    <t>FARIDPURF058</t>
  </si>
  <si>
    <t>FRD.AF058</t>
  </si>
  <si>
    <t>F108</t>
  </si>
  <si>
    <t>NAYON MOLLA</t>
  </si>
  <si>
    <t>FR4</t>
  </si>
  <si>
    <t>MADHUKHALI</t>
  </si>
  <si>
    <t>FA30</t>
  </si>
  <si>
    <t>Pakundia</t>
  </si>
  <si>
    <t>F082</t>
  </si>
  <si>
    <t>FARIDPURF082</t>
  </si>
  <si>
    <t>FRD.AF082</t>
  </si>
  <si>
    <t>F104</t>
  </si>
  <si>
    <t>FR70</t>
  </si>
  <si>
    <t>RAJBARI (+RAJBARI-2) (RAJBARI-1)</t>
  </si>
  <si>
    <t>FA8</t>
  </si>
  <si>
    <t>NURUL ISLAM, FRD</t>
  </si>
  <si>
    <t>FARIDPURF006</t>
  </si>
  <si>
    <t>Mr. Md. Jasim Uddin</t>
  </si>
  <si>
    <t>Kotiadi</t>
  </si>
  <si>
    <t>FRD.AF006</t>
  </si>
  <si>
    <t>F109</t>
  </si>
  <si>
    <t>SUSHANTO SARMA</t>
  </si>
  <si>
    <t>FR71</t>
  </si>
  <si>
    <t>PANGSHA</t>
  </si>
  <si>
    <t>FA7</t>
  </si>
  <si>
    <t>F065</t>
  </si>
  <si>
    <t>FARIDPURF065</t>
  </si>
  <si>
    <t>FRD.AF065</t>
  </si>
  <si>
    <t>SUSHANTA KUMAR SHARMA</t>
  </si>
  <si>
    <t>Kishoregonj-B</t>
  </si>
  <si>
    <t>F110</t>
  </si>
  <si>
    <t>FR75</t>
  </si>
  <si>
    <t xml:space="preserve">GOALANDA </t>
  </si>
  <si>
    <t>FA12</t>
  </si>
  <si>
    <t>F067</t>
  </si>
  <si>
    <t>FARIDPURF067</t>
  </si>
  <si>
    <t>FRD.AF067</t>
  </si>
  <si>
    <t>F111</t>
  </si>
  <si>
    <t>FR1</t>
  </si>
  <si>
    <t>FARIDPUR-1(SHISHU HOSPITAL)</t>
  </si>
  <si>
    <t>Mymensingh-A</t>
  </si>
  <si>
    <t>FA25</t>
  </si>
  <si>
    <t>F070</t>
  </si>
  <si>
    <t>FARIDPURF070</t>
  </si>
  <si>
    <t>FRD.AF070</t>
  </si>
  <si>
    <t>NURU MIAH</t>
  </si>
  <si>
    <t>F101</t>
  </si>
  <si>
    <t>SHAMIM AHMED</t>
  </si>
  <si>
    <t>FR2</t>
  </si>
  <si>
    <t>FARIDPUR-2(G.HOST.)</t>
  </si>
  <si>
    <t>FA26</t>
  </si>
  <si>
    <t>F078</t>
  </si>
  <si>
    <t>FARIDPURF078</t>
  </si>
  <si>
    <t>FRD.AF078</t>
  </si>
  <si>
    <t>ZAKIR HOSSAIN MOLLAH</t>
  </si>
  <si>
    <t>F102</t>
  </si>
  <si>
    <t>FR60</t>
  </si>
  <si>
    <t>BHANGA-1</t>
  </si>
  <si>
    <t>FB4</t>
  </si>
  <si>
    <t>SAZZAD HOSSAIN</t>
  </si>
  <si>
    <t>SAZZAD HOSSAIN, FRD</t>
  </si>
  <si>
    <t>F092</t>
  </si>
  <si>
    <t>FARIDPURF092</t>
  </si>
  <si>
    <t>F060</t>
  </si>
  <si>
    <t>FRD.BF060</t>
  </si>
  <si>
    <t>F129</t>
  </si>
  <si>
    <t>ASRAFUL SARDER</t>
  </si>
  <si>
    <t>Zone : Mymensingh-1</t>
  </si>
  <si>
    <t>FR61</t>
  </si>
  <si>
    <t>BHANGA-2</t>
  </si>
  <si>
    <t>FB5</t>
  </si>
  <si>
    <t>F093</t>
  </si>
  <si>
    <t>FARIDPURF093</t>
  </si>
  <si>
    <t>F061</t>
  </si>
  <si>
    <t>FRD.BF061</t>
  </si>
  <si>
    <t>F130</t>
  </si>
  <si>
    <t>Mr. Md. Alamgir Kabir</t>
  </si>
  <si>
    <t>FR62</t>
  </si>
  <si>
    <t>SADARPUR</t>
  </si>
  <si>
    <t>FB6</t>
  </si>
  <si>
    <t>F094</t>
  </si>
  <si>
    <t>FARIDPURF094</t>
  </si>
  <si>
    <t>F062</t>
  </si>
  <si>
    <t>FRD.BF062</t>
  </si>
  <si>
    <t>F131</t>
  </si>
  <si>
    <t>FR63</t>
  </si>
  <si>
    <t>SHIBCHAR</t>
  </si>
  <si>
    <t>FB2</t>
  </si>
  <si>
    <t>F096</t>
  </si>
  <si>
    <t>FARIDPURF096</t>
  </si>
  <si>
    <t>FRD.BF064</t>
  </si>
  <si>
    <t>CBMCH</t>
  </si>
  <si>
    <t>MEHEDI HASAN</t>
  </si>
  <si>
    <t>F133</t>
  </si>
  <si>
    <t>MEHEDI HOSSAIN</t>
  </si>
  <si>
    <t>FR64</t>
  </si>
  <si>
    <t>MUKSHEDPUR</t>
  </si>
  <si>
    <t>FB3</t>
  </si>
  <si>
    <t>F095</t>
  </si>
  <si>
    <t>FARIDPURF095</t>
  </si>
  <si>
    <t>FRD.BF063</t>
  </si>
  <si>
    <t>F132</t>
  </si>
  <si>
    <t>Mr. Md. Rashed Mia</t>
  </si>
  <si>
    <t>Trishal-1</t>
  </si>
  <si>
    <t>RAJSHAHI</t>
  </si>
  <si>
    <t>RAJ</t>
  </si>
  <si>
    <t>RJ1</t>
  </si>
  <si>
    <t>RMCH-1</t>
  </si>
  <si>
    <t>RA1</t>
  </si>
  <si>
    <t>ARM, RAJ.A</t>
  </si>
  <si>
    <t>ARM, RAJ.A, RAJ</t>
  </si>
  <si>
    <t>R001</t>
  </si>
  <si>
    <t>RAJSHAHIR001</t>
  </si>
  <si>
    <t>RAJ.A</t>
  </si>
  <si>
    <t>RAJ.AR001</t>
  </si>
  <si>
    <t>R007</t>
  </si>
  <si>
    <t>SHIDUR RAHMAN</t>
  </si>
  <si>
    <t>Mr. Md. Showkat Ali</t>
  </si>
  <si>
    <t>Trishal-2</t>
  </si>
  <si>
    <t>RJ29</t>
  </si>
  <si>
    <t>BAGHA</t>
  </si>
  <si>
    <t>B005</t>
  </si>
  <si>
    <t>RAJSHAHIB005</t>
  </si>
  <si>
    <t>RAJ.AB005</t>
  </si>
  <si>
    <t>MANIK ULLAH</t>
  </si>
  <si>
    <t>RJ3</t>
  </si>
  <si>
    <t>RMCH-3</t>
  </si>
  <si>
    <t>RA3</t>
  </si>
  <si>
    <t>Gouripur</t>
  </si>
  <si>
    <t>R004</t>
  </si>
  <si>
    <t>RAJSHAHIR004</t>
  </si>
  <si>
    <t>R003</t>
  </si>
  <si>
    <t>RAJ.AR003</t>
  </si>
  <si>
    <t>SUMON ALI</t>
  </si>
  <si>
    <t>R009</t>
  </si>
  <si>
    <t>RJ5</t>
  </si>
  <si>
    <t>PUTHIA+TAHERPUR+DURGAPUR</t>
  </si>
  <si>
    <t>RA9</t>
  </si>
  <si>
    <t>Mr. Md. Mortuza Hasan</t>
  </si>
  <si>
    <t>RAJSHAHIB003</t>
  </si>
  <si>
    <t>Mymensingh-1(AM)</t>
  </si>
  <si>
    <t>RAJ.AB003</t>
  </si>
  <si>
    <t>RJ10</t>
  </si>
  <si>
    <t>ROHANPUR</t>
  </si>
  <si>
    <t>RA20</t>
  </si>
  <si>
    <t>BADRUL ALAM</t>
  </si>
  <si>
    <t>BADRUL ALAM, RAJ</t>
  </si>
  <si>
    <t>RAJSHAHIC005</t>
  </si>
  <si>
    <t>RAJ.AC005</t>
  </si>
  <si>
    <t>ISMAIL HOSSAIN</t>
  </si>
  <si>
    <t>RJ11</t>
  </si>
  <si>
    <t>SHIBGONJ (C.N.GONJ.)</t>
  </si>
  <si>
    <t>RA17</t>
  </si>
  <si>
    <t>C004</t>
  </si>
  <si>
    <t>RAJSHAHIC004</t>
  </si>
  <si>
    <t>RAJ.AC004</t>
  </si>
  <si>
    <t>Zone : Jamalpur</t>
  </si>
  <si>
    <t>RJ8</t>
  </si>
  <si>
    <t>C.N.GONJ-1</t>
  </si>
  <si>
    <t>RA14</t>
  </si>
  <si>
    <t>RAJSHAHIC001</t>
  </si>
  <si>
    <t>Mr. Md. Jalal Uddin</t>
  </si>
  <si>
    <t>RAJ.AC001</t>
  </si>
  <si>
    <t>Seed Store</t>
  </si>
  <si>
    <t>SAMIUL AZAM</t>
  </si>
  <si>
    <t>MEEPTAHUL ISLAM</t>
  </si>
  <si>
    <t>RJ9</t>
  </si>
  <si>
    <t xml:space="preserve">GODAGARI </t>
  </si>
  <si>
    <t>RA12</t>
  </si>
  <si>
    <t>RAJSHAHIG002</t>
  </si>
  <si>
    <t>RAJ.AG001</t>
  </si>
  <si>
    <t>ABDUR RAHMAN</t>
  </si>
  <si>
    <t>Mr. Anuwar Hossain</t>
  </si>
  <si>
    <t>Bhaluka</t>
  </si>
  <si>
    <t>RJ12</t>
  </si>
  <si>
    <t>TANORE</t>
  </si>
  <si>
    <t>RA18</t>
  </si>
  <si>
    <t>BAKI BILLAH</t>
  </si>
  <si>
    <t>BAKI BILLAH, RAJ</t>
  </si>
  <si>
    <t>RAJSHAHIT002</t>
  </si>
  <si>
    <t>RAJ.AT002</t>
  </si>
  <si>
    <t>Gafforgaon-1</t>
  </si>
  <si>
    <t>RJ2</t>
  </si>
  <si>
    <t xml:space="preserve">RMCH-2 </t>
  </si>
  <si>
    <t>RA2</t>
  </si>
  <si>
    <t>RAJSHAHIR003</t>
  </si>
  <si>
    <t>R002</t>
  </si>
  <si>
    <t>RAJ.AR002</t>
  </si>
  <si>
    <t>BELLAL HOSSAIN</t>
  </si>
  <si>
    <t>R008</t>
  </si>
  <si>
    <t>RJ4</t>
  </si>
  <si>
    <t>Gafforgaon-2</t>
  </si>
  <si>
    <t>RMCH-4+NOWHATA</t>
  </si>
  <si>
    <t>RA4</t>
  </si>
  <si>
    <t>R005</t>
  </si>
  <si>
    <t>RAJSHAHIR005</t>
  </si>
  <si>
    <t>RAJ.AR004</t>
  </si>
  <si>
    <t>FAISAL KABIR</t>
  </si>
  <si>
    <t>R010</t>
  </si>
  <si>
    <t>RJ6</t>
  </si>
  <si>
    <t>MOHANPUR</t>
  </si>
  <si>
    <t>RA7</t>
  </si>
  <si>
    <t>RAJSHAHIB001</t>
  </si>
  <si>
    <t>RAJ.AB001</t>
  </si>
  <si>
    <t>RJ7</t>
  </si>
  <si>
    <t>BHABANIGONJ</t>
  </si>
  <si>
    <t>RA8</t>
  </si>
  <si>
    <t>RAJSHAHIB002</t>
  </si>
  <si>
    <t>RAJ.AB002</t>
  </si>
  <si>
    <t>RJ13</t>
  </si>
  <si>
    <t>BONPARA-1</t>
  </si>
  <si>
    <t>RB1</t>
  </si>
  <si>
    <t>HAFIZUR RAHMAN, RAJ</t>
  </si>
  <si>
    <t>O001</t>
  </si>
  <si>
    <t>RAJSHAHIO001</t>
  </si>
  <si>
    <t>RAJ.B</t>
  </si>
  <si>
    <t>RAJ.BO001</t>
  </si>
  <si>
    <t>O004</t>
  </si>
  <si>
    <t>Mr. Md. Rashedul Islam</t>
  </si>
  <si>
    <t>Jamalpur-1</t>
  </si>
  <si>
    <t>RJ14</t>
  </si>
  <si>
    <t>BONPARA-2</t>
  </si>
  <si>
    <t>RB2</t>
  </si>
  <si>
    <t>O002</t>
  </si>
  <si>
    <t>RAJSHAHIO002</t>
  </si>
  <si>
    <t>RAJ.BO002</t>
  </si>
  <si>
    <t>HAFIZUR RAHMAN-(SR.FM)</t>
  </si>
  <si>
    <t>O005</t>
  </si>
  <si>
    <t>RJ15</t>
  </si>
  <si>
    <t>NATORE-1</t>
  </si>
  <si>
    <t>RB5</t>
  </si>
  <si>
    <t>Jamalpur-2</t>
  </si>
  <si>
    <t>MOSLEM UDDIN</t>
  </si>
  <si>
    <t>MOSLEM UDDIN, RAJ</t>
  </si>
  <si>
    <t>N001</t>
  </si>
  <si>
    <t>RAJSHAHIN001</t>
  </si>
  <si>
    <t>RAJ.BN001</t>
  </si>
  <si>
    <t>N006</t>
  </si>
  <si>
    <t>ALAMIR HOSSAIN</t>
  </si>
  <si>
    <t>RJ16</t>
  </si>
  <si>
    <t>NATORE-2</t>
  </si>
  <si>
    <t>RB6</t>
  </si>
  <si>
    <t>Sharishabari+Madergonj</t>
  </si>
  <si>
    <t>N002</t>
  </si>
  <si>
    <t>RAJSHAHIN002</t>
  </si>
  <si>
    <t>RAJ.BN002</t>
  </si>
  <si>
    <t>RAKIBUL ISLAM</t>
  </si>
  <si>
    <t>N007</t>
  </si>
  <si>
    <t>RJ17</t>
  </si>
  <si>
    <t>SINGRA</t>
  </si>
  <si>
    <t>RB8</t>
  </si>
  <si>
    <t>N004</t>
  </si>
  <si>
    <t>RAJSHAHIN004</t>
  </si>
  <si>
    <t>RAJ.BN004</t>
  </si>
  <si>
    <t>SANOWAR HOSSEN</t>
  </si>
  <si>
    <t>Nandina</t>
  </si>
  <si>
    <t>N008</t>
  </si>
  <si>
    <t>RJ18</t>
  </si>
  <si>
    <t>GURUDASPUR</t>
  </si>
  <si>
    <t>RB4</t>
  </si>
  <si>
    <t>N005</t>
  </si>
  <si>
    <t>RAJSHAHIN005</t>
  </si>
  <si>
    <t>RAJ.BN005</t>
  </si>
  <si>
    <t>SHAHINUR RAHMAN</t>
  </si>
  <si>
    <t>N009</t>
  </si>
  <si>
    <t>SUMON HOSSAIN</t>
  </si>
  <si>
    <t>Mahamudpur</t>
  </si>
  <si>
    <t>G20</t>
  </si>
  <si>
    <t>BOGURA-1</t>
  </si>
  <si>
    <t>BGA1</t>
  </si>
  <si>
    <t>MUSFIQUR RAHMAN</t>
  </si>
  <si>
    <t>MUSFIQUR RAHMAN, RAJ</t>
  </si>
  <si>
    <t>BG01</t>
  </si>
  <si>
    <t>RAJSHAHIBG01</t>
  </si>
  <si>
    <t>BOG.A1</t>
  </si>
  <si>
    <t>BOG.A1B001</t>
  </si>
  <si>
    <t>RASHED KHAN MILON</t>
  </si>
  <si>
    <t>Jamalpur</t>
  </si>
  <si>
    <t>BG41</t>
  </si>
  <si>
    <t>G21</t>
  </si>
  <si>
    <t>DUPCHACHIA</t>
  </si>
  <si>
    <t>BGA10</t>
  </si>
  <si>
    <t>Mr. Susanta Debnath</t>
  </si>
  <si>
    <t>Jamalpur (SH)</t>
  </si>
  <si>
    <t>BG04</t>
  </si>
  <si>
    <t>RAJSHAHIBG04</t>
  </si>
  <si>
    <t>BOG.A1B012</t>
  </si>
  <si>
    <t>BG42</t>
  </si>
  <si>
    <t>ABUL KASAM</t>
  </si>
  <si>
    <t>G22</t>
  </si>
  <si>
    <t xml:space="preserve">BOGURA-3  </t>
  </si>
  <si>
    <t>BGA2</t>
  </si>
  <si>
    <t>BG03</t>
  </si>
  <si>
    <t>RAJSHAHIBG03</t>
  </si>
  <si>
    <t>BOG.A1B007</t>
  </si>
  <si>
    <t>BG43</t>
  </si>
  <si>
    <t>G23</t>
  </si>
  <si>
    <t xml:space="preserve">SONATOLA </t>
  </si>
  <si>
    <t>BGA13</t>
  </si>
  <si>
    <t>BG05</t>
  </si>
  <si>
    <t>RAJSHAHIBG05</t>
  </si>
  <si>
    <t>BOG.A1B013</t>
  </si>
  <si>
    <t>BG44</t>
  </si>
  <si>
    <t>Mymensingh</t>
  </si>
  <si>
    <t>G24</t>
  </si>
  <si>
    <t>DHUNOT</t>
  </si>
  <si>
    <t>BGA25</t>
  </si>
  <si>
    <t>BG14</t>
  </si>
  <si>
    <t>RAJSHAHIBG14</t>
  </si>
  <si>
    <t>BOG.A1B016</t>
  </si>
  <si>
    <t>BG45</t>
  </si>
  <si>
    <t>PARTHO RAY</t>
  </si>
  <si>
    <t>G31</t>
  </si>
  <si>
    <t>BOGURA-5</t>
  </si>
  <si>
    <t>BGA12</t>
  </si>
  <si>
    <t>BG08</t>
  </si>
  <si>
    <t>RAJSHAHIBG08</t>
  </si>
  <si>
    <t>BOG.A1B005</t>
  </si>
  <si>
    <t>BG47</t>
  </si>
  <si>
    <t>AZIZER RAHMAN</t>
  </si>
  <si>
    <t>G32</t>
  </si>
  <si>
    <t>SHIBGONJ (BOG.)</t>
  </si>
  <si>
    <t>BGA6</t>
  </si>
  <si>
    <t>BG09</t>
  </si>
  <si>
    <t>RAJSHAHIBG09</t>
  </si>
  <si>
    <t>BOG.A1B008</t>
  </si>
  <si>
    <t>Zone : Faridpur</t>
  </si>
  <si>
    <t>SHAHI IMRAN</t>
  </si>
  <si>
    <t>BG48</t>
  </si>
  <si>
    <t>G33</t>
  </si>
  <si>
    <t>GABTOLI +SHARIAKANDI</t>
  </si>
  <si>
    <t>BGA14</t>
  </si>
  <si>
    <t>BG10</t>
  </si>
  <si>
    <t>RAJSHAHIBG10</t>
  </si>
  <si>
    <t>BOG.A1B014</t>
  </si>
  <si>
    <t>AZIZAR RAHMAN</t>
  </si>
  <si>
    <t>BG49</t>
  </si>
  <si>
    <t>Faridpur-3(Diabetic)</t>
  </si>
  <si>
    <t>RJ19</t>
  </si>
  <si>
    <t xml:space="preserve">SIRAJGONJ </t>
  </si>
  <si>
    <t>BGA16</t>
  </si>
  <si>
    <t>OLIUL ISLAM</t>
  </si>
  <si>
    <t>OLIUL ISLAM, RAJ</t>
  </si>
  <si>
    <t>BG16</t>
  </si>
  <si>
    <t>RAJSHAHIBG16</t>
  </si>
  <si>
    <t>BOG.A2</t>
  </si>
  <si>
    <t>BOG.A2B017</t>
  </si>
  <si>
    <t>MAINUL HAQUE</t>
  </si>
  <si>
    <t>BG50</t>
  </si>
  <si>
    <t>MARUF HOSSAIN</t>
  </si>
  <si>
    <t>RJ20</t>
  </si>
  <si>
    <t>KAZIPUR</t>
  </si>
  <si>
    <t>Mr. Pijush Saha</t>
  </si>
  <si>
    <t>BGA19</t>
  </si>
  <si>
    <t>Faridpur-4(+Kanaipur)</t>
  </si>
  <si>
    <t>BG19</t>
  </si>
  <si>
    <t>RAJSHAHIBG19</t>
  </si>
  <si>
    <t>BOG.A2B020</t>
  </si>
  <si>
    <t>BG51</t>
  </si>
  <si>
    <t>RJ21</t>
  </si>
  <si>
    <t xml:space="preserve">TARASH </t>
  </si>
  <si>
    <t>BGA20</t>
  </si>
  <si>
    <t>BG20</t>
  </si>
  <si>
    <t>Faridpur-5+FMCH</t>
  </si>
  <si>
    <t>RAJSHAHIBG20</t>
  </si>
  <si>
    <t>B021</t>
  </si>
  <si>
    <t>BOG.A2B021</t>
  </si>
  <si>
    <t>BG52</t>
  </si>
  <si>
    <t>RJ22</t>
  </si>
  <si>
    <t>ULLAPARA</t>
  </si>
  <si>
    <t>BGA21</t>
  </si>
  <si>
    <t>BG21</t>
  </si>
  <si>
    <t>RAJSHAHIBG21</t>
  </si>
  <si>
    <t>BOG.A2B023</t>
  </si>
  <si>
    <t>Boalmari</t>
  </si>
  <si>
    <t>BG53</t>
  </si>
  <si>
    <t>SAKIB HOSSAIN</t>
  </si>
  <si>
    <t>RJ23</t>
  </si>
  <si>
    <t>SHAZADPUR</t>
  </si>
  <si>
    <t>BGA23</t>
  </si>
  <si>
    <t>BG22</t>
  </si>
  <si>
    <t>RAJSHAHIBG22</t>
  </si>
  <si>
    <t>BOG.A2B024</t>
  </si>
  <si>
    <t>BG54</t>
  </si>
  <si>
    <t>SAKIB ISLAM</t>
  </si>
  <si>
    <t>Madhukhali</t>
  </si>
  <si>
    <t>RJ24</t>
  </si>
  <si>
    <t>KASHINATHPUR+ SUZANAGOR</t>
  </si>
  <si>
    <t>RB13</t>
  </si>
  <si>
    <t>K001</t>
  </si>
  <si>
    <t>RAJSHAHIK001</t>
  </si>
  <si>
    <t>RAJ.BK002</t>
  </si>
  <si>
    <t>ABUL FAZOL BISWAS</t>
  </si>
  <si>
    <t>K003</t>
  </si>
  <si>
    <t>BERA+SHATIYA</t>
  </si>
  <si>
    <t>Faridpur-B</t>
  </si>
  <si>
    <t>NAOGAON-1+NAOGAON-2</t>
  </si>
  <si>
    <t>BGB1</t>
  </si>
  <si>
    <t>RSM, NAZIPUR</t>
  </si>
  <si>
    <t>RSM, NAZIPUR, RAJ</t>
  </si>
  <si>
    <t>BG24</t>
  </si>
  <si>
    <t>RAJSHAHIBG24</t>
  </si>
  <si>
    <t>BOG.B</t>
  </si>
  <si>
    <t>BOG.BB026</t>
  </si>
  <si>
    <t>Magura -1</t>
  </si>
  <si>
    <t>BG56</t>
  </si>
  <si>
    <t>LUTFOR RAHMAN</t>
  </si>
  <si>
    <t>ATRAI</t>
  </si>
  <si>
    <t>BGB3</t>
  </si>
  <si>
    <t>BG26</t>
  </si>
  <si>
    <t>RAJSHAHIBG26</t>
  </si>
  <si>
    <t>BOG.BB028</t>
  </si>
  <si>
    <t xml:space="preserve">BELAL HOSSAIN </t>
  </si>
  <si>
    <t>BG58</t>
  </si>
  <si>
    <t>Mr. Shajib Hossain</t>
  </si>
  <si>
    <t>SHAHIN KH</t>
  </si>
  <si>
    <t>Magura -2</t>
  </si>
  <si>
    <t>BG23</t>
  </si>
  <si>
    <t>RANINAGOR</t>
  </si>
  <si>
    <t>BGB4</t>
  </si>
  <si>
    <t>BG27</t>
  </si>
  <si>
    <t>RAJSHAHIBG27</t>
  </si>
  <si>
    <t>B029</t>
  </si>
  <si>
    <t>BOG.BB029</t>
  </si>
  <si>
    <t>BG59</t>
  </si>
  <si>
    <t>SANTAHAR</t>
  </si>
  <si>
    <t>BGB5</t>
  </si>
  <si>
    <t>Mr. Md. Tarikul Islam Tazu</t>
  </si>
  <si>
    <t>Magura-3</t>
  </si>
  <si>
    <t>BG28</t>
  </si>
  <si>
    <t>RAJSHAHIBG28</t>
  </si>
  <si>
    <t>B030</t>
  </si>
  <si>
    <t>BOG.BB030</t>
  </si>
  <si>
    <t>BG60</t>
  </si>
  <si>
    <t>NADIM ISLAM</t>
  </si>
  <si>
    <t>BG30</t>
  </si>
  <si>
    <t>NAZIPUR</t>
  </si>
  <si>
    <t>BGB16</t>
  </si>
  <si>
    <t>BG31</t>
  </si>
  <si>
    <t>RAJSHAHIBG31</t>
  </si>
  <si>
    <t>Mohammadpur</t>
  </si>
  <si>
    <t>BOG.BB041</t>
  </si>
  <si>
    <t>BG62</t>
  </si>
  <si>
    <t>SHAPAHER</t>
  </si>
  <si>
    <t>BGB15</t>
  </si>
  <si>
    <t>BG32</t>
  </si>
  <si>
    <t>RAJSHAHIBG32</t>
  </si>
  <si>
    <t>BOG.BB040</t>
  </si>
  <si>
    <t>Mr. Md. Selim Rana</t>
  </si>
  <si>
    <t>BG63</t>
  </si>
  <si>
    <t>Shalika</t>
  </si>
  <si>
    <t>MOHADEVPUR</t>
  </si>
  <si>
    <t>BGB6</t>
  </si>
  <si>
    <t>BG33</t>
  </si>
  <si>
    <t>RAJSHAHIBG33</t>
  </si>
  <si>
    <t>BOG.BB031</t>
  </si>
  <si>
    <t>KAWSER ALI</t>
  </si>
  <si>
    <t>BG64</t>
  </si>
  <si>
    <t>Mr. Md. Amirul Islam</t>
  </si>
  <si>
    <t>Magura</t>
  </si>
  <si>
    <t>NIAMATPUR</t>
  </si>
  <si>
    <t>BGB7</t>
  </si>
  <si>
    <t>BG34</t>
  </si>
  <si>
    <t>RAJSHAHIBG34</t>
  </si>
  <si>
    <t>BOG.BB032</t>
  </si>
  <si>
    <t>APPLE MAHMUD</t>
  </si>
  <si>
    <t>BG65</t>
  </si>
  <si>
    <t>PORSHA + AKKELPUR</t>
  </si>
  <si>
    <t>BGB17</t>
  </si>
  <si>
    <t>BG35</t>
  </si>
  <si>
    <t>Madaripur -1</t>
  </si>
  <si>
    <t>RAJSHAHIBG35</t>
  </si>
  <si>
    <t>BOG.BB042</t>
  </si>
  <si>
    <t>SAMAUN ALI</t>
  </si>
  <si>
    <t>BG66</t>
  </si>
  <si>
    <t>RJ25</t>
  </si>
  <si>
    <t>PABNA</t>
  </si>
  <si>
    <t>RB9</t>
  </si>
  <si>
    <t>SH, RAJ</t>
  </si>
  <si>
    <t>RAJSHAHIP001</t>
  </si>
  <si>
    <t>RAJ.BP001</t>
  </si>
  <si>
    <t xml:space="preserve">AZIM UDDIN </t>
  </si>
  <si>
    <t>P005</t>
  </si>
  <si>
    <t>Mr. Samaresh Mallik</t>
  </si>
  <si>
    <t>Madaripur-2</t>
  </si>
  <si>
    <t>RJ26</t>
  </si>
  <si>
    <t xml:space="preserve">ISWARDI </t>
  </si>
  <si>
    <t>RB16</t>
  </si>
  <si>
    <t>I002</t>
  </si>
  <si>
    <t>RAJSHAHII002</t>
  </si>
  <si>
    <t>RAJ.BI002</t>
  </si>
  <si>
    <t>I006</t>
  </si>
  <si>
    <t>Kalkini</t>
  </si>
  <si>
    <t>RJ28</t>
  </si>
  <si>
    <t>CHATMOHORE+BHANGURA</t>
  </si>
  <si>
    <t>RB18</t>
  </si>
  <si>
    <t>I004</t>
  </si>
  <si>
    <t>RAJSHAHII004</t>
  </si>
  <si>
    <t>RAJ.BI004</t>
  </si>
  <si>
    <t>ERSHAD ALI</t>
  </si>
  <si>
    <t>I007</t>
  </si>
  <si>
    <t>G40</t>
  </si>
  <si>
    <t>SHERPUR (BOG.)</t>
  </si>
  <si>
    <t>Mr. Lab Mondal</t>
  </si>
  <si>
    <t>Rajoir</t>
  </si>
  <si>
    <t>BG13</t>
  </si>
  <si>
    <t>RAJSHAHIBG13</t>
  </si>
  <si>
    <t>BOG.A1B009</t>
  </si>
  <si>
    <t>SHAH ALAM SARKAR-FM</t>
  </si>
  <si>
    <t>BG12</t>
  </si>
  <si>
    <t>GAIB</t>
  </si>
  <si>
    <t>G14</t>
  </si>
  <si>
    <t>MITHAPUKUR</t>
  </si>
  <si>
    <t>Mr. Islamul Haque</t>
  </si>
  <si>
    <t>SOHEL RANA</t>
  </si>
  <si>
    <t>SOHEL RANA, GAIB</t>
  </si>
  <si>
    <t>Madaripur</t>
  </si>
  <si>
    <t>RNG+GAIB, GAIB</t>
  </si>
  <si>
    <t>R039</t>
  </si>
  <si>
    <t>RANGPURR039</t>
  </si>
  <si>
    <t>GAIBR039</t>
  </si>
  <si>
    <t>R146</t>
  </si>
  <si>
    <t>PARVEJ MIAH</t>
  </si>
  <si>
    <t>G5</t>
  </si>
  <si>
    <t>GOBINDAGONJ (GOBINDAGONJ-1)</t>
  </si>
  <si>
    <t>R034</t>
  </si>
  <si>
    <t>RANGPURR034</t>
  </si>
  <si>
    <t>GAIBR034</t>
  </si>
  <si>
    <t>ASHRAFUL ALAM</t>
  </si>
  <si>
    <t>Mr. Monjurul Alam Shohel</t>
  </si>
  <si>
    <t>Shariatpur (+Shariatpur-1) (Shariatpur-2)</t>
  </si>
  <si>
    <t>R148</t>
  </si>
  <si>
    <t>SAIDUL ISLAM</t>
  </si>
  <si>
    <t>G7</t>
  </si>
  <si>
    <t>PALASHBARI</t>
  </si>
  <si>
    <t>R037</t>
  </si>
  <si>
    <t>RANGPURR037</t>
  </si>
  <si>
    <t>GAIBR037</t>
  </si>
  <si>
    <t>R150</t>
  </si>
  <si>
    <t>Mr. Mahbubur Rahman</t>
  </si>
  <si>
    <t>G8</t>
  </si>
  <si>
    <t>PIRGONJ (GAIB)</t>
  </si>
  <si>
    <t>Bhedorgonj</t>
  </si>
  <si>
    <t>G9</t>
  </si>
  <si>
    <t>SATHIBARI</t>
  </si>
  <si>
    <t>R038</t>
  </si>
  <si>
    <t>RANGPURR038</t>
  </si>
  <si>
    <t>GAIBR038</t>
  </si>
  <si>
    <t>SUMON MIA</t>
  </si>
  <si>
    <t>Damuddya+Goshairhat</t>
  </si>
  <si>
    <t>G1</t>
  </si>
  <si>
    <t xml:space="preserve">GAIBANDHA-1 </t>
  </si>
  <si>
    <t>VACANT, GAIBANDHA</t>
  </si>
  <si>
    <t>VACANT, GAIBANDHA, GAIB</t>
  </si>
  <si>
    <t>R030</t>
  </si>
  <si>
    <t>RANGPURR030</t>
  </si>
  <si>
    <t>GAIBR030</t>
  </si>
  <si>
    <t>SABBIR HOSSAIN</t>
  </si>
  <si>
    <t>R141</t>
  </si>
  <si>
    <t>SHADHIN MIAH</t>
  </si>
  <si>
    <t>Mr. Sugit Kumar Das</t>
  </si>
  <si>
    <t>Mulfatgonj</t>
  </si>
  <si>
    <t>G15</t>
  </si>
  <si>
    <t>GAIBANDHA-2</t>
  </si>
  <si>
    <t>R049</t>
  </si>
  <si>
    <t>RANGPURR049</t>
  </si>
  <si>
    <t>GAIBR049</t>
  </si>
  <si>
    <t>RAKIBUL HASAN</t>
  </si>
  <si>
    <t>R142</t>
  </si>
  <si>
    <t>MONJU MAIH</t>
  </si>
  <si>
    <t>Mr. Arup Kumar Podder</t>
  </si>
  <si>
    <t>Shariatpur</t>
  </si>
  <si>
    <t>G2</t>
  </si>
  <si>
    <t>GAIBANDHA-3</t>
  </si>
  <si>
    <t>R031</t>
  </si>
  <si>
    <t>RANGPURR031</t>
  </si>
  <si>
    <t>GAIBR031</t>
  </si>
  <si>
    <t>R143</t>
  </si>
  <si>
    <t>MOJNU MAIH</t>
  </si>
  <si>
    <t>G3</t>
  </si>
  <si>
    <t>BONARPARA-1</t>
  </si>
  <si>
    <t>Mr. Md. Ayub Ali -AM</t>
  </si>
  <si>
    <t>Gopalgonj-1</t>
  </si>
  <si>
    <t>R032</t>
  </si>
  <si>
    <t>RANGPURR032</t>
  </si>
  <si>
    <t>GAIBR032</t>
  </si>
  <si>
    <t>R144</t>
  </si>
  <si>
    <t>HASANUL KARIM</t>
  </si>
  <si>
    <t>G4</t>
  </si>
  <si>
    <t xml:space="preserve">BONARPARA-2 </t>
  </si>
  <si>
    <t>R033</t>
  </si>
  <si>
    <t>RANGPURR033</t>
  </si>
  <si>
    <t>GAIBR033</t>
  </si>
  <si>
    <t>R145</t>
  </si>
  <si>
    <t>G10</t>
  </si>
  <si>
    <t>Gopalgonj-2</t>
  </si>
  <si>
    <t>SUNDARGONJ-1</t>
  </si>
  <si>
    <t>VACANT, SUNDARGONJ</t>
  </si>
  <si>
    <t>VACANT, SUNDARGONJ, GAIB</t>
  </si>
  <si>
    <t>R041</t>
  </si>
  <si>
    <t>RANGPURR041</t>
  </si>
  <si>
    <t>GAIBR041</t>
  </si>
  <si>
    <t>R151</t>
  </si>
  <si>
    <t>MAHMUDUL HASAN</t>
  </si>
  <si>
    <t>G11</t>
  </si>
  <si>
    <t>SUNDARGONJ-2</t>
  </si>
  <si>
    <t>Mr. Ruhul Amin</t>
  </si>
  <si>
    <t>R042</t>
  </si>
  <si>
    <t>RANGPURR042</t>
  </si>
  <si>
    <t>Kotalipara</t>
  </si>
  <si>
    <t>GAIBR042</t>
  </si>
  <si>
    <t>R152</t>
  </si>
  <si>
    <t>AHOSAN HABIB</t>
  </si>
  <si>
    <t>G12</t>
  </si>
  <si>
    <t>PIRGACHA-1</t>
  </si>
  <si>
    <t>R043</t>
  </si>
  <si>
    <t>RANGPURR043</t>
  </si>
  <si>
    <t>GAIBR043</t>
  </si>
  <si>
    <t>R153</t>
  </si>
  <si>
    <t>Kashiani</t>
  </si>
  <si>
    <t>G13</t>
  </si>
  <si>
    <t>PIRGACHA-2</t>
  </si>
  <si>
    <t>R044</t>
  </si>
  <si>
    <t>RANGPURR044</t>
  </si>
  <si>
    <t>GAIBR044</t>
  </si>
  <si>
    <t>R154</t>
  </si>
  <si>
    <t>Mr. Md. Ayub Ali</t>
  </si>
  <si>
    <t>AM(AFM)</t>
  </si>
  <si>
    <t>Gopalgonj</t>
  </si>
  <si>
    <t>G16</t>
  </si>
  <si>
    <t>SADULLAHPUR</t>
  </si>
  <si>
    <t>R046</t>
  </si>
  <si>
    <t>RANGPURR046</t>
  </si>
  <si>
    <t>GAIBR046</t>
  </si>
  <si>
    <t xml:space="preserve">ASADUZZAMAN MIA </t>
  </si>
  <si>
    <t>R155</t>
  </si>
  <si>
    <t>HATIB.FM</t>
  </si>
  <si>
    <t>Bhanga-1</t>
  </si>
  <si>
    <t>Mr. Hafizur Rahman</t>
  </si>
  <si>
    <t>Bhanga-2</t>
  </si>
  <si>
    <t>R45</t>
  </si>
  <si>
    <t>HATIBANDHA (HATIB.)</t>
  </si>
  <si>
    <t>R20</t>
  </si>
  <si>
    <t>VACANT, HATIBANDHA</t>
  </si>
  <si>
    <t>VACANT, HATIBANDHA, HATIB.FM</t>
  </si>
  <si>
    <t>Sadarpur</t>
  </si>
  <si>
    <t>R080</t>
  </si>
  <si>
    <t>RANGPURR080</t>
  </si>
  <si>
    <t>RNG.A2</t>
  </si>
  <si>
    <t>R067</t>
  </si>
  <si>
    <t>RNG.A2R067</t>
  </si>
  <si>
    <t>R128</t>
  </si>
  <si>
    <t>GOUTAM RAY</t>
  </si>
  <si>
    <t>Mukshedpur</t>
  </si>
  <si>
    <t>R47</t>
  </si>
  <si>
    <t>KALIGONJ (HATIB.)</t>
  </si>
  <si>
    <t>R17</t>
  </si>
  <si>
    <t>R082</t>
  </si>
  <si>
    <t>RANGPURR082</t>
  </si>
  <si>
    <t>R064</t>
  </si>
  <si>
    <t>RNG.A2R064</t>
  </si>
  <si>
    <t>REZAUL ALAM</t>
  </si>
  <si>
    <t>Mr. Md. Mehedi Hasan</t>
  </si>
  <si>
    <t>Shibchar</t>
  </si>
  <si>
    <t>R130</t>
  </si>
  <si>
    <t>GOUTAM ROY</t>
  </si>
  <si>
    <t>R55</t>
  </si>
  <si>
    <t>PATGRAM-1</t>
  </si>
  <si>
    <t>R18</t>
  </si>
  <si>
    <t>R065</t>
  </si>
  <si>
    <t>RANGPURR065</t>
  </si>
  <si>
    <t>RNG.A2R065</t>
  </si>
  <si>
    <t>Mr. Md. Sazzad Hossain</t>
  </si>
  <si>
    <t>Bhanga</t>
  </si>
  <si>
    <t>R132</t>
  </si>
  <si>
    <t>ABDUR RAZZAK</t>
  </si>
  <si>
    <t>R56</t>
  </si>
  <si>
    <t>PATGRAM-2</t>
  </si>
  <si>
    <t>R19</t>
  </si>
  <si>
    <t>R066</t>
  </si>
  <si>
    <t>RANGPURR066</t>
  </si>
  <si>
    <t>RNG.A2R066</t>
  </si>
  <si>
    <t>SANATAN CHANDRA ROY</t>
  </si>
  <si>
    <t>R133</t>
  </si>
  <si>
    <t>Mr. Md. Nuru Miah</t>
  </si>
  <si>
    <t>Faridpur-1(shishu Hospital)</t>
  </si>
  <si>
    <t>RNG.A1</t>
  </si>
  <si>
    <t>R25</t>
  </si>
  <si>
    <t>JHALDHAKA (RANG)</t>
  </si>
  <si>
    <t>HAMIDUZZAMAN</t>
  </si>
  <si>
    <t>HAMIDUZZAMAN, RNG.A1</t>
  </si>
  <si>
    <t>R100</t>
  </si>
  <si>
    <t>RANGPURR100</t>
  </si>
  <si>
    <t>J003</t>
  </si>
  <si>
    <t>RNG.A1J003</t>
  </si>
  <si>
    <t>ABDUL MOTALEB</t>
  </si>
  <si>
    <t>R118</t>
  </si>
  <si>
    <t>MUNTASIR RAHMAN</t>
  </si>
  <si>
    <t>R26</t>
  </si>
  <si>
    <t>DOMAR</t>
  </si>
  <si>
    <t>Mr. Md. Zakir Hossain Mollah</t>
  </si>
  <si>
    <t>Faridpur-2(G.Host.)</t>
  </si>
  <si>
    <t>R101</t>
  </si>
  <si>
    <t>RANGPURR101</t>
  </si>
  <si>
    <t>J002</t>
  </si>
  <si>
    <t>RNG.A1J002</t>
  </si>
  <si>
    <t>SHAMAL CHANDRA RAY</t>
  </si>
  <si>
    <t>R119</t>
  </si>
  <si>
    <t>A.KAFI</t>
  </si>
  <si>
    <t>R27</t>
  </si>
  <si>
    <t xml:space="preserve">DIMLA </t>
  </si>
  <si>
    <t>R102</t>
  </si>
  <si>
    <t>RANGPURR102</t>
  </si>
  <si>
    <t>J001</t>
  </si>
  <si>
    <t>RNG.A1J001</t>
  </si>
  <si>
    <t>SANTOSH KUMAR RAY</t>
  </si>
  <si>
    <t>Rajbari (+Rajbari-2) (Rajbari-1)</t>
  </si>
  <si>
    <t>R120</t>
  </si>
  <si>
    <t>R28</t>
  </si>
  <si>
    <t>KISHOREGONJ</t>
  </si>
  <si>
    <t>R103</t>
  </si>
  <si>
    <t>RANGPURR103</t>
  </si>
  <si>
    <t>J004</t>
  </si>
  <si>
    <t>RNG.A1J004</t>
  </si>
  <si>
    <t>Mr. Sushanta Kumar Sharma</t>
  </si>
  <si>
    <t>R121</t>
  </si>
  <si>
    <t>Pangsha</t>
  </si>
  <si>
    <t>R11</t>
  </si>
  <si>
    <t>RANGPUR-7</t>
  </si>
  <si>
    <t>R2</t>
  </si>
  <si>
    <t>MOSTAFIZUR RAHMAN, RNG.A1</t>
  </si>
  <si>
    <t>R028</t>
  </si>
  <si>
    <t>RANGPURR028</t>
  </si>
  <si>
    <t>RNG.A1R028</t>
  </si>
  <si>
    <t>UZZAL KUMAR</t>
  </si>
  <si>
    <t>R107</t>
  </si>
  <si>
    <t>JAYNAL ABEDIN</t>
  </si>
  <si>
    <t>Goalanda</t>
  </si>
  <si>
    <t>R13</t>
  </si>
  <si>
    <t>RANGPUR-9</t>
  </si>
  <si>
    <t>R4</t>
  </si>
  <si>
    <t>RANGPURR009</t>
  </si>
  <si>
    <t>RNG.A1R009</t>
  </si>
  <si>
    <t>R109</t>
  </si>
  <si>
    <t>Faridpur-A</t>
  </si>
  <si>
    <t>R14</t>
  </si>
  <si>
    <t>MAHIGONJ</t>
  </si>
  <si>
    <t>R5</t>
  </si>
  <si>
    <t>R025</t>
  </si>
  <si>
    <t>RANGPURR025</t>
  </si>
  <si>
    <t>RNG.A1R025</t>
  </si>
  <si>
    <t>ASHISH KUMAR</t>
  </si>
  <si>
    <t>R110</t>
  </si>
  <si>
    <t>HAMIDUL ISLAM</t>
  </si>
  <si>
    <t>R15</t>
  </si>
  <si>
    <t>HARAGHACH</t>
  </si>
  <si>
    <t>Faridpur</t>
  </si>
  <si>
    <t>R011</t>
  </si>
  <si>
    <t>RANGPURR011</t>
  </si>
  <si>
    <t>R027</t>
  </si>
  <si>
    <t>RNG.A1R027</t>
  </si>
  <si>
    <t>RAMJAN ALI</t>
  </si>
  <si>
    <t>R111</t>
  </si>
  <si>
    <t>MAJDUL ISLAM</t>
  </si>
  <si>
    <t>BADORGONJ</t>
  </si>
  <si>
    <t>R10</t>
  </si>
  <si>
    <t>R012</t>
  </si>
  <si>
    <t>RANGPURR012</t>
  </si>
  <si>
    <t>R059</t>
  </si>
  <si>
    <t>RNG.A1R059</t>
  </si>
  <si>
    <t>MAIDUL ISLAM</t>
  </si>
  <si>
    <t>R112</t>
  </si>
  <si>
    <t>MAJEDUL ISLAM</t>
  </si>
  <si>
    <t>R21</t>
  </si>
  <si>
    <t xml:space="preserve">GONGACHRA </t>
  </si>
  <si>
    <t>R12</t>
  </si>
  <si>
    <t>SH, RNG.A1</t>
  </si>
  <si>
    <t>R026</t>
  </si>
  <si>
    <t>RANGPURR026</t>
  </si>
  <si>
    <t>RNG.A1R026</t>
  </si>
  <si>
    <t>R122</t>
  </si>
  <si>
    <t>R60</t>
  </si>
  <si>
    <t>Zone : Rajshahi</t>
  </si>
  <si>
    <t>BHURUNGAMARI-1</t>
  </si>
  <si>
    <t>G17</t>
  </si>
  <si>
    <t>VACANT, KURIGRAM</t>
  </si>
  <si>
    <t>VACANT, KURIGRAM, RNG.A1</t>
  </si>
  <si>
    <t>R074</t>
  </si>
  <si>
    <t>RANGPURR074</t>
  </si>
  <si>
    <t>RNG.A2R051</t>
  </si>
  <si>
    <t>R134</t>
  </si>
  <si>
    <t>R61</t>
  </si>
  <si>
    <t>BHURUNGAMARI-2</t>
  </si>
  <si>
    <t>G18</t>
  </si>
  <si>
    <t>R075</t>
  </si>
  <si>
    <t>RANGPURR075</t>
  </si>
  <si>
    <t>RNG.A2R052</t>
  </si>
  <si>
    <t>R135</t>
  </si>
  <si>
    <t>R63</t>
  </si>
  <si>
    <t>NAGESWARI</t>
  </si>
  <si>
    <t>G19</t>
  </si>
  <si>
    <t>Mr. Md. Sumon Ali</t>
  </si>
  <si>
    <t>R077</t>
  </si>
  <si>
    <t>RANGPURR077</t>
  </si>
  <si>
    <t>RNG.A2R053</t>
  </si>
  <si>
    <t>R136</t>
  </si>
  <si>
    <t>SETU ROY</t>
  </si>
  <si>
    <t>R70</t>
  </si>
  <si>
    <t>KURIGRAM-1 (+RAJARHAT)</t>
  </si>
  <si>
    <t>R070</t>
  </si>
  <si>
    <t>RANGPURR070</t>
  </si>
  <si>
    <t>R056</t>
  </si>
  <si>
    <t>RNG.A2R056</t>
  </si>
  <si>
    <t>Bagha</t>
  </si>
  <si>
    <t>R137</t>
  </si>
  <si>
    <t>R71</t>
  </si>
  <si>
    <t>KURIGRAM -2</t>
  </si>
  <si>
    <t>R071</t>
  </si>
  <si>
    <t>RANGPURR071</t>
  </si>
  <si>
    <t>RNG.A2R057</t>
  </si>
  <si>
    <t>R138</t>
  </si>
  <si>
    <t>Puthia+Taherpur+Durgapur</t>
  </si>
  <si>
    <t>R72</t>
  </si>
  <si>
    <t>KURIGRAM-3</t>
  </si>
  <si>
    <t>R072</t>
  </si>
  <si>
    <t>RANGPURR072</t>
  </si>
  <si>
    <t>RNG.A2R058</t>
  </si>
  <si>
    <t>R139</t>
  </si>
  <si>
    <t>Mr. Md. Nahid Reaz Karim</t>
  </si>
  <si>
    <t>Rajshahi-A</t>
  </si>
  <si>
    <t>R73</t>
  </si>
  <si>
    <t>ULIPUR</t>
  </si>
  <si>
    <t>R073</t>
  </si>
  <si>
    <t>RANGPURR073</t>
  </si>
  <si>
    <t>RNG.A2R055</t>
  </si>
  <si>
    <t>ZILLUR RAHMAN</t>
  </si>
  <si>
    <t>R140</t>
  </si>
  <si>
    <t>R35</t>
  </si>
  <si>
    <t>LALMONIRHAT-1</t>
  </si>
  <si>
    <t>VACANT, LALMONIRHAT</t>
  </si>
  <si>
    <t>VACANT, LALMONIRHAT, RNG.A1</t>
  </si>
  <si>
    <t>Mr. Md. Bellal Hossain</t>
  </si>
  <si>
    <t>R060</t>
  </si>
  <si>
    <t>RANGPURR060</t>
  </si>
  <si>
    <t>RMCH-2</t>
  </si>
  <si>
    <t>RNG.A2R060</t>
  </si>
  <si>
    <t>SUJAN SARKER</t>
  </si>
  <si>
    <t>R123</t>
  </si>
  <si>
    <t>AKBER HOSSAIN</t>
  </si>
  <si>
    <t>R36</t>
  </si>
  <si>
    <t>LALMONIRHAT-2</t>
  </si>
  <si>
    <t>R061</t>
  </si>
  <si>
    <t>RANGPURR061</t>
  </si>
  <si>
    <t>RNG.A2R061</t>
  </si>
  <si>
    <t>MAHABUBUR RAHMAN</t>
  </si>
  <si>
    <t>Mr. Md. Faisal Kabir</t>
  </si>
  <si>
    <t>R124</t>
  </si>
  <si>
    <t>HASIBUL ISLAM HASIB</t>
  </si>
  <si>
    <t>RMCH-4+Nowhata</t>
  </si>
  <si>
    <t>R37</t>
  </si>
  <si>
    <t>ADITMARI (ADITMARI-1)</t>
  </si>
  <si>
    <t>R16</t>
  </si>
  <si>
    <t>R063</t>
  </si>
  <si>
    <t>RANGPURR063</t>
  </si>
  <si>
    <t>RNG.A2R063</t>
  </si>
  <si>
    <t xml:space="preserve">AKBAR HOSSAIN </t>
  </si>
  <si>
    <t>R125</t>
  </si>
  <si>
    <t>Mohanpur</t>
  </si>
  <si>
    <t>R62</t>
  </si>
  <si>
    <t>FULBARI</t>
  </si>
  <si>
    <t>R076</t>
  </si>
  <si>
    <t>RANGPURR076</t>
  </si>
  <si>
    <t>RNG.A2R054</t>
  </si>
  <si>
    <t>R127</t>
  </si>
  <si>
    <t>Bhabanigonj</t>
  </si>
  <si>
    <t>R1</t>
  </si>
  <si>
    <t xml:space="preserve">RANGPUR-1 </t>
  </si>
  <si>
    <t>R6</t>
  </si>
  <si>
    <t>VACANT, RNG-B</t>
  </si>
  <si>
    <t>VACANT, RNG-B, RNG.A1</t>
  </si>
  <si>
    <t>RANGPURR001</t>
  </si>
  <si>
    <t>RNG.A1R001</t>
  </si>
  <si>
    <t>MOIN UDDIN</t>
  </si>
  <si>
    <t>R113</t>
  </si>
  <si>
    <t>AMIR HOSSAIN</t>
  </si>
  <si>
    <t>R3</t>
  </si>
  <si>
    <t>RANGPUR-3</t>
  </si>
  <si>
    <t>Tanore</t>
  </si>
  <si>
    <t>RANGPURR003</t>
  </si>
  <si>
    <t>R014</t>
  </si>
  <si>
    <t>RNG.A1R014</t>
  </si>
  <si>
    <t>R114</t>
  </si>
  <si>
    <t>RANGPUR-4</t>
  </si>
  <si>
    <t>R7</t>
  </si>
  <si>
    <t>Mr. Md. Baki Billah</t>
  </si>
  <si>
    <t>Rajshahi-B</t>
  </si>
  <si>
    <t>RANGPURR013</t>
  </si>
  <si>
    <t>R013</t>
  </si>
  <si>
    <t>RNG.A1R013</t>
  </si>
  <si>
    <t>AHM SAIFUL ISLAM</t>
  </si>
  <si>
    <t>R115</t>
  </si>
  <si>
    <t>RANGPUR-5</t>
  </si>
  <si>
    <t>R8</t>
  </si>
  <si>
    <t>RANGPURR005</t>
  </si>
  <si>
    <t>RNG.A1R005</t>
  </si>
  <si>
    <t>R116</t>
  </si>
  <si>
    <t>C.N.Gonj-1</t>
  </si>
  <si>
    <t xml:space="preserve">RANGPUR-6 </t>
  </si>
  <si>
    <t>R9</t>
  </si>
  <si>
    <t>Mr. Md. Abdur Rahman</t>
  </si>
  <si>
    <t>Godagari</t>
  </si>
  <si>
    <t>R006</t>
  </si>
  <si>
    <t>RANGPURR006</t>
  </si>
  <si>
    <t>RNG.A1R006</t>
  </si>
  <si>
    <t>R117</t>
  </si>
  <si>
    <t>Mr. Ismail Hossain</t>
  </si>
  <si>
    <t>Rohanpur</t>
  </si>
  <si>
    <t>Mr. Md. Tariqul Islam</t>
  </si>
  <si>
    <t>Shibgonj</t>
  </si>
  <si>
    <t>Mr. Md. Badrul Alam</t>
  </si>
  <si>
    <t>C. N. Gonj</t>
  </si>
  <si>
    <t>Natore-1</t>
  </si>
  <si>
    <t>Mr. Md. Rakibul Islam</t>
  </si>
  <si>
    <t>Natore-2</t>
  </si>
  <si>
    <t>Mr. Md. Sanowar Hossen</t>
  </si>
  <si>
    <t>Singra</t>
  </si>
  <si>
    <t>Mr.Md. Shahinur Rahman</t>
  </si>
  <si>
    <t>Gurudaspur</t>
  </si>
  <si>
    <t>Mr. Md. Moslem Uddin</t>
  </si>
  <si>
    <t>Natore</t>
  </si>
  <si>
    <t>Rajshahi(ARM)</t>
  </si>
  <si>
    <t>Bonpara-1</t>
  </si>
  <si>
    <t>Mr. Md. Hafizur Rahman-(Sr.FM)</t>
  </si>
  <si>
    <t>Bonpara-2</t>
  </si>
  <si>
    <t>Bonpara</t>
  </si>
  <si>
    <t>Mr. Md. Azim Uddin</t>
  </si>
  <si>
    <t>Pabna</t>
  </si>
  <si>
    <t>Mr. Md. Ershad Ali</t>
  </si>
  <si>
    <t>Chatmohore+Bhangura</t>
  </si>
  <si>
    <t>Iswardi</t>
  </si>
  <si>
    <t>ASM</t>
  </si>
  <si>
    <t>Pabna (ASM)</t>
  </si>
  <si>
    <t>Mr. Md. Mainul Haque</t>
  </si>
  <si>
    <t>Sirajgonj</t>
  </si>
  <si>
    <t>Kazipur</t>
  </si>
  <si>
    <t>Tarash</t>
  </si>
  <si>
    <t>Ullapara</t>
  </si>
  <si>
    <t>Shazadpur</t>
  </si>
  <si>
    <t>Mr. Md. Abul Fazol Biswas</t>
  </si>
  <si>
    <t>Kashinathpur+ Suzanagor</t>
  </si>
  <si>
    <t>Bera+Shatiya</t>
  </si>
  <si>
    <t>Mr. Md. Oliul Islam</t>
  </si>
  <si>
    <t>Naogaon-1+Naogaon-2</t>
  </si>
  <si>
    <t>Atrai</t>
  </si>
  <si>
    <t>Raninagor</t>
  </si>
  <si>
    <t>Santahar</t>
  </si>
  <si>
    <t>Nazipur</t>
  </si>
  <si>
    <t>Shapaher</t>
  </si>
  <si>
    <t>Mr. Md. Kawser Ali</t>
  </si>
  <si>
    <t>Mohadevpur</t>
  </si>
  <si>
    <t>Mr. Md. Apple Mahmud</t>
  </si>
  <si>
    <t>Niamatpur</t>
  </si>
  <si>
    <t>Mr. Samaun Ali</t>
  </si>
  <si>
    <t>Porsha + Akkelpur</t>
  </si>
  <si>
    <t>Mr. Md. Mozammal Haque</t>
  </si>
  <si>
    <t>Nazipur (RSM)</t>
  </si>
  <si>
    <t>Mr. Md. Rashed Khan Milon</t>
  </si>
  <si>
    <t>Bogura-1</t>
  </si>
  <si>
    <t>Bogura-3</t>
  </si>
  <si>
    <t>Dupchachia</t>
  </si>
  <si>
    <t>Sonatola</t>
  </si>
  <si>
    <t>Dhunot</t>
  </si>
  <si>
    <t>Bogura-5</t>
  </si>
  <si>
    <t>Mr. Md. Shahi Imran</t>
  </si>
  <si>
    <t>Mr. Azizar Rahman</t>
  </si>
  <si>
    <t>Gabtoli +Shariakandi</t>
  </si>
  <si>
    <t>Mr. Md. Musfiqur Rahman</t>
  </si>
  <si>
    <t>Bogura</t>
  </si>
  <si>
    <t>Mr. Shah Alam Sarkar-FM</t>
  </si>
  <si>
    <t>Sherpur (Bog.)</t>
  </si>
  <si>
    <t>Rajshahi</t>
  </si>
  <si>
    <t>Total =</t>
  </si>
  <si>
    <t>Depot : Barisal</t>
  </si>
  <si>
    <t>Mr. Md. Rafiqul Islam</t>
  </si>
  <si>
    <t>Bshl. Medical-1</t>
  </si>
  <si>
    <t>Barishal-2</t>
  </si>
  <si>
    <t>Barishal-3</t>
  </si>
  <si>
    <t>Miss. Mirzahan Sabina</t>
  </si>
  <si>
    <t>Barishal-Medical-4</t>
  </si>
  <si>
    <t>SBMCH-5</t>
  </si>
  <si>
    <t>Mr. Md. Hamidur Rahman</t>
  </si>
  <si>
    <t>SBMCH-6</t>
  </si>
  <si>
    <t>Shaheber Hat</t>
  </si>
  <si>
    <t>Swarupkathi-1(+Swarupkathi-2)</t>
  </si>
  <si>
    <t>Banaripara</t>
  </si>
  <si>
    <t>Mr. Ripan Kumar Halder</t>
  </si>
  <si>
    <t>Barishal-A</t>
  </si>
  <si>
    <t>Mr. Md. Emran-FM</t>
  </si>
  <si>
    <t>Gournadi-1 (Bsl.)</t>
  </si>
  <si>
    <t>Gournadi-2 (Bsl.)</t>
  </si>
  <si>
    <t>Mr. Md. Kamal Hossain Mia</t>
  </si>
  <si>
    <t>Agailjhara</t>
  </si>
  <si>
    <t>Mr. Md. Shoyiab Hossain</t>
  </si>
  <si>
    <t>Wazirpur-1+Wazirpur-2</t>
  </si>
  <si>
    <t>Barishal-B</t>
  </si>
  <si>
    <t>Muladi-1</t>
  </si>
  <si>
    <t>Mr. Asaduzzaman</t>
  </si>
  <si>
    <t>Muladi-2</t>
  </si>
  <si>
    <t>Mr. Milon Biswas</t>
  </si>
  <si>
    <t>Hizla</t>
  </si>
  <si>
    <t>Basanchor</t>
  </si>
  <si>
    <t>Mr. Md. Alamin</t>
  </si>
  <si>
    <t>Mehendigonj</t>
  </si>
  <si>
    <t>Muladi</t>
  </si>
  <si>
    <t>Bhola (Daulatkhan+Banglabazar+Bhola-1)</t>
  </si>
  <si>
    <t>Borhanuddin</t>
  </si>
  <si>
    <t>Mr. Md. Abul Kalam</t>
  </si>
  <si>
    <t>Charfession-1</t>
  </si>
  <si>
    <t>Mr. Md. Arifur Rahman</t>
  </si>
  <si>
    <t>Charfession-2+Lalmonhon</t>
  </si>
  <si>
    <t>Mr. Khandoker Anowar Hossain</t>
  </si>
  <si>
    <t>Bhola</t>
  </si>
  <si>
    <t>Khepupara</t>
  </si>
  <si>
    <t>Mr. Md. Abu Hanif</t>
  </si>
  <si>
    <t>Mohipur</t>
  </si>
  <si>
    <t>Borguna-1</t>
  </si>
  <si>
    <t>Mr. Sudhir Chandra Datta</t>
  </si>
  <si>
    <t>Borguna-2</t>
  </si>
  <si>
    <t>Amtoli</t>
  </si>
  <si>
    <t>Mr. D.M. Habibur Rahman</t>
  </si>
  <si>
    <t>Mr. Md. Mostofa Kamal</t>
  </si>
  <si>
    <t>Jhalokhati</t>
  </si>
  <si>
    <t>Mr. Md. Sumon Fakir</t>
  </si>
  <si>
    <t>Nolchity</t>
  </si>
  <si>
    <t>Kathalia</t>
  </si>
  <si>
    <t>Rajapur (Bsl)</t>
  </si>
  <si>
    <t>Mr. Al Mahmud Hossain</t>
  </si>
  <si>
    <t>Motbaria (Motbaria-2)</t>
  </si>
  <si>
    <t>Mr. Imam Hossain</t>
  </si>
  <si>
    <t>Bhandaria</t>
  </si>
  <si>
    <t>Mr. Golam Mortuza</t>
  </si>
  <si>
    <t>Mr. Sajal Kanti Howlader</t>
  </si>
  <si>
    <t>Patuakhali-1</t>
  </si>
  <si>
    <t>Patuakhali-2</t>
  </si>
  <si>
    <t>Golachipa</t>
  </si>
  <si>
    <t>Bauphal (Bauphal-2)</t>
  </si>
  <si>
    <t>Doshmina+Dumki</t>
  </si>
  <si>
    <t>Patuakhali</t>
  </si>
  <si>
    <t>Mr. Avijit Kumar Kashyapi</t>
  </si>
  <si>
    <t>Babuganj</t>
  </si>
  <si>
    <t>Barishal</t>
  </si>
  <si>
    <t>DSM</t>
  </si>
  <si>
    <t>Barishal Total</t>
  </si>
  <si>
    <t>Zone : Dhaka-A</t>
  </si>
  <si>
    <t>Mr. Md. Golam Kabir</t>
  </si>
  <si>
    <t>Ashkona (+Partly Abdullahpur)</t>
  </si>
  <si>
    <t>Khilkhet</t>
  </si>
  <si>
    <t>Dakkhinkhan (+Partly Abdullahpur)</t>
  </si>
  <si>
    <t>Badda+Gulshan</t>
  </si>
  <si>
    <t>Mr. Md. Mojaffar Ali</t>
  </si>
  <si>
    <t>Shantinagar</t>
  </si>
  <si>
    <t>Mr. Md. Saiful Islam Khan</t>
  </si>
  <si>
    <t>DDCH+Kazipara+Mirpur-14</t>
  </si>
  <si>
    <t>Mrs. Taposhi Shaha</t>
  </si>
  <si>
    <t>Mohakhali</t>
  </si>
  <si>
    <t>Mrs. Kalpana Khatun</t>
  </si>
  <si>
    <t>BAVS Clinic+IBH , Mipur</t>
  </si>
  <si>
    <t>Mirpur, OGSB , Galaxy Hosp.</t>
  </si>
  <si>
    <t>Mr. Alam Sheikh</t>
  </si>
  <si>
    <t>Uttara</t>
  </si>
  <si>
    <t>Mr. Md. Anwar Faruk Siddique</t>
  </si>
  <si>
    <t>Dhamrai-1</t>
  </si>
  <si>
    <t>Dhamrai-2</t>
  </si>
  <si>
    <t>Dhamrai-A</t>
  </si>
  <si>
    <t>Savar-1</t>
  </si>
  <si>
    <t>Mrs. Fatema Begum</t>
  </si>
  <si>
    <t>Savar</t>
  </si>
  <si>
    <t>Mr. Md. Mamunur Rashid</t>
  </si>
  <si>
    <t>Manikgonj (Manikgonj-2)</t>
  </si>
  <si>
    <t>Horirampur</t>
  </si>
  <si>
    <t>Mr. Md. Abu Sayeed-AM</t>
  </si>
  <si>
    <t>Shivalaya+Saturia</t>
  </si>
  <si>
    <t>Ghior+Daulatpur</t>
  </si>
  <si>
    <t>Mr. Md. Abu Sayeed</t>
  </si>
  <si>
    <t>Manikgonj</t>
  </si>
  <si>
    <t>Dhaka-A (SH)</t>
  </si>
  <si>
    <t>Zone : Dhaka-B</t>
  </si>
  <si>
    <t>Mr. Md. Kabir Hossain</t>
  </si>
  <si>
    <t>Kaligong (Dh.)</t>
  </si>
  <si>
    <t>Mitford+SSMCH</t>
  </si>
  <si>
    <t>Mr. Md. Monirul Islam -FM</t>
  </si>
  <si>
    <t>Nazimuddin Road+Lalbag +DMCH</t>
  </si>
  <si>
    <t>Keranigonj</t>
  </si>
  <si>
    <t>Mr. Abdur Rajjak Limon</t>
  </si>
  <si>
    <t>BSMMU+Karwan</t>
  </si>
  <si>
    <t>Mr. Muhammad Khairul Islam</t>
  </si>
  <si>
    <t>BSMMU+Razabazar</t>
  </si>
  <si>
    <t>Mr. Md. Abul Hasan</t>
  </si>
  <si>
    <t>BSMMU+Nakhalpara</t>
  </si>
  <si>
    <t>BMCH+Rayerbazar</t>
  </si>
  <si>
    <t>Tajmohal+Shekhertake+Shamoli</t>
  </si>
  <si>
    <t>Mr. Md. Asadul Haque</t>
  </si>
  <si>
    <t>Dhaka-A (BSMMU)</t>
  </si>
  <si>
    <t>Munshigonj-1 (+Munshg.-2)</t>
  </si>
  <si>
    <t>Mr. Bashani Mia</t>
  </si>
  <si>
    <t>Sreenagar (+Sirajdikhan)</t>
  </si>
  <si>
    <t>Dohar-1</t>
  </si>
  <si>
    <t>Dohar-2</t>
  </si>
  <si>
    <t>Nowabgonj (Dh)</t>
  </si>
  <si>
    <t>Nowabgonj</t>
  </si>
  <si>
    <t>Mr. Md. Reazul Islam</t>
  </si>
  <si>
    <t>Narayangonj-1 (+N.G.-2)</t>
  </si>
  <si>
    <t>Narayangonj-2 (Bandar) (+N.G.-3)</t>
  </si>
  <si>
    <t>Pagla (N.G.-4)</t>
  </si>
  <si>
    <t>ICMH Demra</t>
  </si>
  <si>
    <t>Narayangonj</t>
  </si>
  <si>
    <t>Araihazar (N.G.)</t>
  </si>
  <si>
    <t>Sonargaon+Gojaria</t>
  </si>
  <si>
    <t>Mr. Md. Delwar Hossain</t>
  </si>
  <si>
    <t>Araihazar</t>
  </si>
  <si>
    <t>Dhaka-B (RSM)</t>
  </si>
  <si>
    <t>Mr. Nemai Chandra</t>
  </si>
  <si>
    <t>Dhonia+Jatrabari</t>
  </si>
  <si>
    <t>Dhaka-B (SH)</t>
  </si>
  <si>
    <t>Zone : Chittagong-"A"</t>
  </si>
  <si>
    <t>Mr. Md. Shahidul Islam</t>
  </si>
  <si>
    <t>CMCH, LalkhanBazar</t>
  </si>
  <si>
    <t>Khulshi</t>
  </si>
  <si>
    <t>Feringe Bz.+Memon Host.</t>
  </si>
  <si>
    <t>Mr. Ripon Dey</t>
  </si>
  <si>
    <t>Bandartila</t>
  </si>
  <si>
    <t>Potenga</t>
  </si>
  <si>
    <t>Mr. Md. Monir Uddin</t>
  </si>
  <si>
    <t>Chattagram-3</t>
  </si>
  <si>
    <t>Mireswarai-1</t>
  </si>
  <si>
    <t>Mireswarai-2</t>
  </si>
  <si>
    <t>Mr. Mosharrof Hossain</t>
  </si>
  <si>
    <t>Baroierhat</t>
  </si>
  <si>
    <t>Sitakundu</t>
  </si>
  <si>
    <t>Mr. Md. Rafiqul Moula</t>
  </si>
  <si>
    <t>Mireswarai</t>
  </si>
  <si>
    <t>Khagrachari+ Matiranga</t>
  </si>
  <si>
    <t>Mr. Md. Selim Reza</t>
  </si>
  <si>
    <t>Manikchari</t>
  </si>
  <si>
    <t>Ramgor</t>
  </si>
  <si>
    <t>Rawjan</t>
  </si>
  <si>
    <t>Mr. Priytosh</t>
  </si>
  <si>
    <t>Hathazari</t>
  </si>
  <si>
    <t>Khagrachari</t>
  </si>
  <si>
    <t>Mr. Md. Adbul Khaleque</t>
  </si>
  <si>
    <t>Dobhashi Bazar (Ctg.)</t>
  </si>
  <si>
    <t>Mr. Bimal Kumar Nath</t>
  </si>
  <si>
    <t>Rangunia</t>
  </si>
  <si>
    <t>Rangamati</t>
  </si>
  <si>
    <t>Dobhashi Bazar</t>
  </si>
  <si>
    <t>Banshkhali-1</t>
  </si>
  <si>
    <t>Banshkhali-2</t>
  </si>
  <si>
    <t>Anowara</t>
  </si>
  <si>
    <t>Mr. Saju Dey</t>
  </si>
  <si>
    <t>Banshkhali</t>
  </si>
  <si>
    <t>Mr. Md. Tafsir Miah</t>
  </si>
  <si>
    <t>Chattagram-"A"</t>
  </si>
  <si>
    <t>Zone : Chittagong-"B"</t>
  </si>
  <si>
    <t>Muradpur +Kalurghat</t>
  </si>
  <si>
    <t>Baizid</t>
  </si>
  <si>
    <t>Halishahar</t>
  </si>
  <si>
    <t>Mr. Dewan Md. Jahangir Alam</t>
  </si>
  <si>
    <t>Chattagram- 1</t>
  </si>
  <si>
    <t>Potiya-1</t>
  </si>
  <si>
    <t>Potiya-2</t>
  </si>
  <si>
    <t>Boalkhali</t>
  </si>
  <si>
    <t>Mr. Md. Nazim Uddin</t>
  </si>
  <si>
    <t>Dohazari</t>
  </si>
  <si>
    <t>Mr. Md. Jainal Abedin Akhand</t>
  </si>
  <si>
    <t>Potiya</t>
  </si>
  <si>
    <t>Cox's Bazar-1</t>
  </si>
  <si>
    <t>Mr. Armanul Haque</t>
  </si>
  <si>
    <t>Cox's Bazar-2</t>
  </si>
  <si>
    <t>Cox's Bazar-3</t>
  </si>
  <si>
    <t>Mr. Tawhidul Islam</t>
  </si>
  <si>
    <t>Eidgaon (+Eidgaon-2) (Eidgaon-1)</t>
  </si>
  <si>
    <t>Nikhongchari</t>
  </si>
  <si>
    <t>Mr. Md. Firoz Ahmed</t>
  </si>
  <si>
    <t>Cox's Bazar</t>
  </si>
  <si>
    <t>Mr. Mohammad Rashed</t>
  </si>
  <si>
    <t>Teknaf (Cox's)</t>
  </si>
  <si>
    <t>Ukhiya</t>
  </si>
  <si>
    <t>Court Bazar</t>
  </si>
  <si>
    <t>Mr. Farhad Hossain Rashed</t>
  </si>
  <si>
    <t>Ramu</t>
  </si>
  <si>
    <t>Mr. Md. Shahjahan</t>
  </si>
  <si>
    <t>Teknaf</t>
  </si>
  <si>
    <t>Mr. Md. Shahabuddin</t>
  </si>
  <si>
    <t>Amirabad (+Amirab.-2) (Amirab.-1)</t>
  </si>
  <si>
    <t>Shatkania</t>
  </si>
  <si>
    <t>Mr. Md. Ariful Islam</t>
  </si>
  <si>
    <t>Bandorban</t>
  </si>
  <si>
    <t>Chokoria+Pekua</t>
  </si>
  <si>
    <t>Mr. Narayan Das</t>
  </si>
  <si>
    <t>Amirabad</t>
  </si>
  <si>
    <t>Chattagram-"B"</t>
  </si>
  <si>
    <t>Vacant (Dhaka-A+B+Ctg.-A+B)</t>
  </si>
  <si>
    <t>Zone : Rangpur-A</t>
  </si>
  <si>
    <t>Mr. Uzzal Kumar</t>
  </si>
  <si>
    <t>Rangpur-7</t>
  </si>
  <si>
    <t>Rangpur-9</t>
  </si>
  <si>
    <t>Mr. Ashish Kumar</t>
  </si>
  <si>
    <t>Mahigonj</t>
  </si>
  <si>
    <t>Mr. Md. Ramjan Ali</t>
  </si>
  <si>
    <t>Haraghach</t>
  </si>
  <si>
    <t>Mr. Maidul Islam</t>
  </si>
  <si>
    <t>Badorgonj</t>
  </si>
  <si>
    <t>Rangpur-A</t>
  </si>
  <si>
    <t>Mr. Md. Moin Uddin</t>
  </si>
  <si>
    <t>Rangpur-1</t>
  </si>
  <si>
    <t>Rangpur-3</t>
  </si>
  <si>
    <t>Mr. AHM Saiful Islam</t>
  </si>
  <si>
    <t>Rangpur-4</t>
  </si>
  <si>
    <t>Rangpur-5</t>
  </si>
  <si>
    <t>Mr. Abdul Mabud</t>
  </si>
  <si>
    <t>Rangpur-6</t>
  </si>
  <si>
    <t>Rangpur-B</t>
  </si>
  <si>
    <t>Mr. Md. Abdul Motaleb</t>
  </si>
  <si>
    <t>Jhaldhaka</t>
  </si>
  <si>
    <t>Mr. Shamal Chandra Ray</t>
  </si>
  <si>
    <t>Domar</t>
  </si>
  <si>
    <t>Mr. Santosh Kumar Ray</t>
  </si>
  <si>
    <t>Dimla</t>
  </si>
  <si>
    <t>Mr. Md. Hamiduzzaman</t>
  </si>
  <si>
    <t>Kishoregonj</t>
  </si>
  <si>
    <t>Jaldhaka</t>
  </si>
  <si>
    <t>Mr. Md. Sujan Sarker</t>
  </si>
  <si>
    <t>Lalmonirhat-1</t>
  </si>
  <si>
    <t>Mr. Md. Mahabubur Rahman</t>
  </si>
  <si>
    <t>Lalmonirhat-2</t>
  </si>
  <si>
    <t>Mr. Md. Akbar Hossain</t>
  </si>
  <si>
    <t>Aditmari (Aditmari-1)</t>
  </si>
  <si>
    <t>Fulbari</t>
  </si>
  <si>
    <t>Lalmonirhat</t>
  </si>
  <si>
    <t>Mr. Md. Masud Rana</t>
  </si>
  <si>
    <t>Bhurungamari-1</t>
  </si>
  <si>
    <t>Bhurungamari-2</t>
  </si>
  <si>
    <t>Nageswari</t>
  </si>
  <si>
    <t>Kurigram-1 (+Rajarhat)</t>
  </si>
  <si>
    <t>Kurigram -2</t>
  </si>
  <si>
    <t>Mr. Setu Roy</t>
  </si>
  <si>
    <t>Kurigram-3</t>
  </si>
  <si>
    <t>Mr. Md. Zillur Rahman</t>
  </si>
  <si>
    <t>Ulipur</t>
  </si>
  <si>
    <t>Kurigram</t>
  </si>
  <si>
    <t>Gongachra</t>
  </si>
  <si>
    <t>Rangpur-A(SH)</t>
  </si>
  <si>
    <t>Zone : Hatiabandha</t>
  </si>
  <si>
    <t>Mr. Abinash Chandro</t>
  </si>
  <si>
    <t>Hatibandha (Hatibandha-1)</t>
  </si>
  <si>
    <t>Mr. Md. Rezaul Alam</t>
  </si>
  <si>
    <t>Kaligonj (Hatib.)</t>
  </si>
  <si>
    <t>Mr. Md. Shahinur Rahman</t>
  </si>
  <si>
    <t>Patgram-1</t>
  </si>
  <si>
    <t>Mr. Sanatan Chandra Roy</t>
  </si>
  <si>
    <t>Patgram-2</t>
  </si>
  <si>
    <t>Hatibandha</t>
  </si>
  <si>
    <t>Depot : Gaibandha</t>
  </si>
  <si>
    <t>Mr. Md. Sabbir Hossain</t>
  </si>
  <si>
    <t>Gaibandha-1</t>
  </si>
  <si>
    <t>Md. Rakibul Hasan</t>
  </si>
  <si>
    <t>Gaibandha-2</t>
  </si>
  <si>
    <t>Gaibandha-3</t>
  </si>
  <si>
    <t>Mr. Md. Jahir Raihan</t>
  </si>
  <si>
    <t>Bonarpara-1</t>
  </si>
  <si>
    <t>Bonarpara-2</t>
  </si>
  <si>
    <t>Gaibandha</t>
  </si>
  <si>
    <t>Mr. Sumon Mia</t>
  </si>
  <si>
    <t>Sathibari</t>
  </si>
  <si>
    <t>Mithapukur</t>
  </si>
  <si>
    <t>Mr. Md. Ashraful Alam</t>
  </si>
  <si>
    <t>Gobindagonj (Gobindagonj-1)</t>
  </si>
  <si>
    <t>Mr. Abdul Hamid</t>
  </si>
  <si>
    <t>Pirgonj (Gaib.)</t>
  </si>
  <si>
    <t>Palashbari</t>
  </si>
  <si>
    <t>Mr. Md. Sohel Rana</t>
  </si>
  <si>
    <t>Gobindogonj</t>
  </si>
  <si>
    <t>Mr. Md. Anamul Haque</t>
  </si>
  <si>
    <t>Sundargonj-1</t>
  </si>
  <si>
    <t>Sundargonj-2</t>
  </si>
  <si>
    <t>Mr. Mamunur Rashid</t>
  </si>
  <si>
    <t>Pirgacha-1</t>
  </si>
  <si>
    <t>Pirgacha-2</t>
  </si>
  <si>
    <t>Mr. Md. Asaduzzaman Mia</t>
  </si>
  <si>
    <t>Sadullahpur</t>
  </si>
  <si>
    <t>Sundargonj</t>
  </si>
  <si>
    <t>Mr. Md. Ashraf Hossain</t>
  </si>
  <si>
    <t>Rang-+A+B+Gaib.</t>
  </si>
  <si>
    <t>FM/AM, ZONE</t>
  </si>
  <si>
    <t>APP ZONEAPP CODE (FINAL)</t>
  </si>
  <si>
    <t>1</t>
  </si>
  <si>
    <t>13</t>
  </si>
  <si>
    <t>4</t>
  </si>
  <si>
    <t>8</t>
  </si>
  <si>
    <t>18</t>
  </si>
  <si>
    <t>19</t>
  </si>
  <si>
    <t>20</t>
  </si>
  <si>
    <t>21</t>
  </si>
  <si>
    <t>10</t>
  </si>
  <si>
    <t>14</t>
  </si>
  <si>
    <t>16</t>
  </si>
  <si>
    <t>2</t>
  </si>
  <si>
    <t>5</t>
  </si>
  <si>
    <t>6</t>
  </si>
  <si>
    <t>7</t>
  </si>
  <si>
    <t>9</t>
  </si>
  <si>
    <t>12</t>
  </si>
  <si>
    <t>15</t>
  </si>
  <si>
    <t>50</t>
  </si>
  <si>
    <t>51</t>
  </si>
  <si>
    <t>52</t>
  </si>
  <si>
    <t>53</t>
  </si>
  <si>
    <t>54</t>
  </si>
  <si>
    <t>60</t>
  </si>
  <si>
    <t>61</t>
  </si>
  <si>
    <t>62</t>
  </si>
  <si>
    <t>63</t>
  </si>
  <si>
    <t>64</t>
  </si>
  <si>
    <t>65</t>
  </si>
  <si>
    <t>22</t>
  </si>
  <si>
    <t>30</t>
  </si>
  <si>
    <t>31</t>
  </si>
  <si>
    <t>40</t>
  </si>
  <si>
    <t>41</t>
  </si>
  <si>
    <t>42</t>
  </si>
  <si>
    <t>43</t>
  </si>
  <si>
    <t>44</t>
  </si>
  <si>
    <t>11</t>
  </si>
  <si>
    <t>3</t>
  </si>
  <si>
    <t>70</t>
  </si>
  <si>
    <t>75</t>
  </si>
  <si>
    <t>76</t>
  </si>
  <si>
    <t>77</t>
  </si>
  <si>
    <t>78</t>
  </si>
  <si>
    <t>79</t>
  </si>
  <si>
    <t>32</t>
  </si>
  <si>
    <t>33</t>
  </si>
  <si>
    <t>23</t>
  </si>
  <si>
    <t>71</t>
  </si>
  <si>
    <t>72</t>
  </si>
  <si>
    <t>73</t>
  </si>
  <si>
    <t>74</t>
  </si>
  <si>
    <t>92</t>
  </si>
  <si>
    <t>90</t>
  </si>
  <si>
    <t>91</t>
  </si>
  <si>
    <t>93</t>
  </si>
  <si>
    <t>80</t>
  </si>
  <si>
    <t>82</t>
  </si>
  <si>
    <t>83</t>
  </si>
  <si>
    <t>84</t>
  </si>
  <si>
    <t>81</t>
  </si>
  <si>
    <t>55</t>
  </si>
  <si>
    <t>56</t>
  </si>
  <si>
    <t>27</t>
  </si>
  <si>
    <t>17</t>
  </si>
  <si>
    <t>26</t>
  </si>
  <si>
    <t>28</t>
  </si>
  <si>
    <t>29</t>
  </si>
  <si>
    <t>24</t>
  </si>
  <si>
    <t>25</t>
  </si>
  <si>
    <t>37</t>
  </si>
  <si>
    <t>35</t>
  </si>
  <si>
    <t>36</t>
  </si>
  <si>
    <t>38</t>
  </si>
  <si>
    <t>39</t>
  </si>
  <si>
    <t>34</t>
  </si>
  <si>
    <t>45</t>
  </si>
  <si>
    <t>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</si>
</sst>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_(* #,##0.0_);_(* \(#,##0.0\);_(* &quot;-&quot;??_);_(@_)"/>
    <numFmt numFmtId="167" formatCode="_(* #,##0.000_);_(* \(#,##0.000\);_(* &quot;-&quot;??_);_(@_)"/>
  </numFmts>
  <fonts count="45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theme="1"/>
      <name val="Arial"/>
    </font>
    <font>
      <b/>
      <sz val="11"/>
      <color rgb="FF000000"/>
      <name val="Cambria"/>
    </font>
    <font>
      <b/>
      <sz val="11"/>
      <color theme="1"/>
      <name val="Cambria"/>
    </font>
    <font>
      <b/>
      <sz val="18"/>
      <color theme="1"/>
      <name val="Arial"/>
    </font>
    <font>
      <sz val="12"/>
      <color theme="1"/>
      <name val="Arial"/>
    </font>
    <font>
      <b/>
      <sz val="12"/>
      <color theme="1"/>
      <name val="Cambria"/>
    </font>
    <font>
      <sz val="11"/>
      <color theme="1"/>
      <name val="Calibri"/>
    </font>
    <font>
      <sz val="11"/>
      <name val="Calibri"/>
    </font>
    <font>
      <b/>
      <sz val="14"/>
      <color theme="1"/>
      <name val="Cambria"/>
    </font>
    <font>
      <b/>
      <sz val="10"/>
      <color theme="1"/>
      <name val="Cambria"/>
    </font>
    <font>
      <sz val="10"/>
      <color theme="1"/>
      <name val="Cambria"/>
    </font>
    <font>
      <sz val="8"/>
      <color theme="0"/>
      <name val="Cambria"/>
    </font>
    <font>
      <sz val="6"/>
      <color theme="1"/>
      <name val="Cambria"/>
    </font>
    <font>
      <sz val="8"/>
      <color theme="1"/>
      <name val="Cambria"/>
    </font>
    <font>
      <sz val="11"/>
      <color rgb="FF000000"/>
      <name val="Cambria"/>
    </font>
    <font>
      <sz val="11"/>
      <color theme="1"/>
      <name val="Cambria"/>
    </font>
    <font>
      <b/>
      <sz val="10"/>
      <color rgb="FFFF00FF"/>
      <name val="Cambria"/>
    </font>
    <font>
      <b/>
      <sz val="10"/>
      <color rgb="FFFF0000"/>
      <name val="Cambria"/>
    </font>
    <font>
      <b/>
      <u/>
      <sz val="10"/>
      <color theme="1"/>
      <name val="Cambria"/>
    </font>
    <font>
      <b/>
      <sz val="10"/>
      <color theme="1"/>
      <name val="Dsy"/>
    </font>
    <font>
      <b/>
      <sz val="10"/>
      <color rgb="FFFF00FF"/>
      <name val="Dsy"/>
    </font>
    <font>
      <b/>
      <sz val="8"/>
      <color theme="1"/>
      <name val="Cambria"/>
    </font>
    <font>
      <sz val="10"/>
      <color rgb="FFFF0000"/>
      <name val="Cambria"/>
    </font>
    <font>
      <b/>
      <sz val="8"/>
      <color rgb="FFFF0000"/>
      <name val="Cambria"/>
    </font>
    <font>
      <sz val="10"/>
      <color rgb="FFFF00FF"/>
      <name val="Cambria"/>
    </font>
    <font>
      <sz val="11"/>
      <color rgb="FF000000"/>
      <name val="Calibri"/>
    </font>
    <font>
      <sz val="10"/>
      <color rgb="FF000000"/>
      <name val="Cambria"/>
    </font>
    <font>
      <sz val="11"/>
      <color rgb="FF000000"/>
      <name val="Arial"/>
    </font>
    <font>
      <sz val="10"/>
      <color theme="1"/>
      <name val="Calibri"/>
    </font>
    <font>
      <b/>
      <sz val="10"/>
      <color rgb="FF000000"/>
      <name val="Cambria"/>
    </font>
    <font>
      <u/>
      <sz val="11"/>
      <color rgb="FF0000FF"/>
      <name val="Cambria"/>
    </font>
    <font>
      <sz val="10"/>
      <color rgb="FF000000"/>
      <name val="Times New Roman"/>
    </font>
    <font>
      <b/>
      <sz val="10"/>
      <color rgb="FF000000"/>
      <name val="Times New Roman"/>
    </font>
    <font>
      <sz val="12"/>
      <color theme="1"/>
      <name val="Cambria"/>
    </font>
    <font>
      <b/>
      <sz val="10"/>
      <color theme="1"/>
      <name val="Arial"/>
    </font>
    <font>
      <u/>
      <sz val="11"/>
      <color rgb="FF0563C1"/>
      <name val="Cambria"/>
    </font>
    <font>
      <sz val="9"/>
      <color rgb="FFFF0000"/>
      <name val="Cambria"/>
    </font>
    <font>
      <b/>
      <sz val="10"/>
      <color rgb="FFFF00FF"/>
      <name val="Arial"/>
    </font>
    <font>
      <sz val="10"/>
      <color theme="1"/>
      <name val="Times New Roman"/>
    </font>
    <font>
      <b/>
      <sz val="9"/>
      <color rgb="FFFF0000"/>
      <name val="Cambria"/>
    </font>
    <font>
      <b/>
      <sz val="9"/>
      <color theme="1"/>
      <name val="Cambria"/>
    </font>
    <font>
      <b/>
      <sz val="7"/>
      <color rgb="FFFF0000"/>
      <name val="Cambria"/>
    </font>
    <font>
      <b/>
      <sz val="10"/>
      <color rgb="FFFF66FF"/>
      <name val="Cambria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1FF99"/>
        <bgColor rgb="FFB1FF99"/>
      </patternFill>
    </fill>
    <fill>
      <patternFill patternType="solid">
        <fgColor rgb="FFFFFF00"/>
        <bgColor rgb="FFFFFF00"/>
      </patternFill>
    </fill>
    <fill>
      <patternFill patternType="solid">
        <fgColor rgb="FFE5B8B7"/>
        <bgColor rgb="FFE5B8B7"/>
      </patternFill>
    </fill>
    <fill>
      <patternFill patternType="solid">
        <fgColor rgb="FFD6E3BC"/>
        <bgColor rgb="FFD6E3BC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B6DDE8"/>
        <bgColor rgb="FFB6DDE8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  <diagonal/>
    </border>
    <border>
      <left style="dotted">
        <color rgb="FFB7B7B7"/>
      </left>
      <right style="thick">
        <color rgb="FF000000"/>
      </right>
      <top style="dotted">
        <color rgb="FFB7B7B7"/>
      </top>
      <bottom style="dotted">
        <color rgb="FFB7B7B7"/>
      </bottom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thick">
        <color rgb="FF000000"/>
      </bottom>
      <diagonal/>
    </border>
    <border>
      <left style="dotted">
        <color rgb="FF999999"/>
      </left>
      <right/>
      <top style="dotted">
        <color rgb="FF999999"/>
      </top>
      <bottom style="thick">
        <color rgb="FF000000"/>
      </bottom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thick">
        <color rgb="FF000000"/>
      </bottom>
      <diagonal/>
    </border>
    <border>
      <left style="dotted">
        <color rgb="FFB7B7B7"/>
      </left>
      <right style="thick">
        <color rgb="FF000000"/>
      </right>
      <top style="dotted">
        <color rgb="FFB7B7B7"/>
      </top>
      <bottom style="thick">
        <color rgb="FF000000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5" fillId="2" borderId="1" xfId="0" applyFont="1" applyFill="1" applyBorder="1"/>
    <xf numFmtId="0" fontId="6" fillId="2" borderId="1" xfId="0" applyFont="1" applyFill="1" applyBorder="1"/>
    <xf numFmtId="0" fontId="8" fillId="4" borderId="1" xfId="0" applyFont="1" applyFill="1" applyBorder="1"/>
    <xf numFmtId="2" fontId="11" fillId="2" borderId="6" xfId="0" applyNumberFormat="1" applyFont="1" applyFill="1" applyBorder="1" applyAlignment="1">
      <alignment horizontal="center" vertical="center" wrapText="1"/>
    </xf>
    <xf numFmtId="164" fontId="11" fillId="2" borderId="6" xfId="0" applyNumberFormat="1" applyFont="1" applyFill="1" applyBorder="1" applyAlignment="1">
      <alignment horizontal="center" vertical="center" wrapText="1"/>
    </xf>
    <xf numFmtId="164" fontId="11" fillId="5" borderId="6" xfId="0" applyNumberFormat="1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textRotation="90"/>
    </xf>
    <xf numFmtId="0" fontId="11" fillId="0" borderId="6" xfId="0" applyFont="1" applyBorder="1" applyAlignment="1">
      <alignment horizontal="center" textRotation="90"/>
    </xf>
    <xf numFmtId="164" fontId="12" fillId="2" borderId="1" xfId="0" applyNumberFormat="1" applyFont="1" applyFill="1" applyBorder="1" applyAlignment="1">
      <alignment horizontal="center" textRotation="90"/>
    </xf>
    <xf numFmtId="0" fontId="11" fillId="0" borderId="6" xfId="0" applyFont="1" applyBorder="1" applyAlignment="1">
      <alignment vertical="center"/>
    </xf>
    <xf numFmtId="0" fontId="3" fillId="3" borderId="2" xfId="0" applyFont="1" applyFill="1" applyBorder="1" applyAlignment="1">
      <alignment horizontal="center"/>
    </xf>
    <xf numFmtId="0" fontId="12" fillId="2" borderId="6" xfId="0" applyFont="1" applyFill="1" applyBorder="1" applyAlignment="1">
      <alignment vertical="center"/>
    </xf>
    <xf numFmtId="165" fontId="12" fillId="2" borderId="6" xfId="0" applyNumberFormat="1" applyFont="1" applyFill="1" applyBorder="1" applyAlignment="1">
      <alignment vertical="center"/>
    </xf>
    <xf numFmtId="164" fontId="13" fillId="2" borderId="6" xfId="0" applyNumberFormat="1" applyFont="1" applyFill="1" applyBorder="1" applyAlignment="1">
      <alignment vertical="center"/>
    </xf>
    <xf numFmtId="166" fontId="14" fillId="6" borderId="1" xfId="0" applyNumberFormat="1" applyFont="1" applyFill="1" applyBorder="1" applyAlignment="1">
      <alignment vertical="center"/>
    </xf>
    <xf numFmtId="164" fontId="15" fillId="6" borderId="1" xfId="0" applyNumberFormat="1" applyFont="1" applyFill="1" applyBorder="1" applyAlignment="1">
      <alignment vertical="center"/>
    </xf>
    <xf numFmtId="164" fontId="15" fillId="2" borderId="1" xfId="0" applyNumberFormat="1" applyFont="1" applyFill="1" applyBorder="1" applyAlignment="1">
      <alignment vertical="center"/>
    </xf>
    <xf numFmtId="164" fontId="12" fillId="6" borderId="7" xfId="0" applyNumberFormat="1" applyFont="1" applyFill="1" applyBorder="1" applyAlignment="1">
      <alignment vertical="center"/>
    </xf>
    <xf numFmtId="164" fontId="12" fillId="2" borderId="7" xfId="0" applyNumberFormat="1" applyFont="1" applyFill="1" applyBorder="1" applyAlignment="1">
      <alignment vertical="center"/>
    </xf>
    <xf numFmtId="164" fontId="12" fillId="2" borderId="1" xfId="0" applyNumberFormat="1" applyFont="1" applyFill="1" applyBorder="1"/>
    <xf numFmtId="0" fontId="3" fillId="3" borderId="0" xfId="0" applyFont="1" applyFill="1" applyAlignment="1">
      <alignment horizontal="left"/>
    </xf>
    <xf numFmtId="0" fontId="12" fillId="0" borderId="6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2" fillId="0" borderId="6" xfId="0" applyFont="1" applyBorder="1" applyAlignment="1">
      <alignment horizontal="left" vertical="center"/>
    </xf>
    <xf numFmtId="0" fontId="3" fillId="3" borderId="8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left"/>
    </xf>
    <xf numFmtId="164" fontId="12" fillId="2" borderId="6" xfId="0" applyNumberFormat="1" applyFont="1" applyFill="1" applyBorder="1" applyAlignment="1">
      <alignment horizontal="center" vertical="center"/>
    </xf>
    <xf numFmtId="164" fontId="12" fillId="6" borderId="6" xfId="0" applyNumberFormat="1" applyFont="1" applyFill="1" applyBorder="1" applyAlignment="1">
      <alignment vertical="center"/>
    </xf>
    <xf numFmtId="164" fontId="12" fillId="2" borderId="6" xfId="0" applyNumberFormat="1" applyFont="1" applyFill="1" applyBorder="1" applyAlignment="1">
      <alignment vertical="center"/>
    </xf>
    <xf numFmtId="0" fontId="3" fillId="3" borderId="9" xfId="0" applyFont="1" applyFill="1" applyBorder="1" applyAlignment="1">
      <alignment horizontal="left"/>
    </xf>
    <xf numFmtId="0" fontId="16" fillId="7" borderId="10" xfId="0" applyFont="1" applyFill="1" applyBorder="1" applyAlignment="1">
      <alignment horizontal="left"/>
    </xf>
    <xf numFmtId="0" fontId="11" fillId="2" borderId="1" xfId="0" applyFont="1" applyFill="1" applyBorder="1"/>
    <xf numFmtId="0" fontId="17" fillId="7" borderId="10" xfId="0" applyFont="1" applyFill="1" applyBorder="1" applyAlignment="1">
      <alignment horizontal="left"/>
    </xf>
    <xf numFmtId="0" fontId="12" fillId="2" borderId="1" xfId="0" applyFont="1" applyFill="1" applyBorder="1"/>
    <xf numFmtId="0" fontId="16" fillId="7" borderId="10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left" vertical="center"/>
    </xf>
    <xf numFmtId="0" fontId="16" fillId="7" borderId="11" xfId="0" applyFont="1" applyFill="1" applyBorder="1" applyAlignment="1">
      <alignment horizontal="center"/>
    </xf>
    <xf numFmtId="0" fontId="16" fillId="7" borderId="8" xfId="0" applyFont="1" applyFill="1" applyBorder="1" applyAlignment="1">
      <alignment horizontal="center"/>
    </xf>
    <xf numFmtId="0" fontId="16" fillId="7" borderId="8" xfId="0" applyFont="1" applyFill="1" applyBorder="1" applyAlignment="1">
      <alignment horizontal="left"/>
    </xf>
    <xf numFmtId="0" fontId="16" fillId="7" borderId="9" xfId="0" applyFont="1" applyFill="1" applyBorder="1" applyAlignment="1">
      <alignment horizontal="center"/>
    </xf>
    <xf numFmtId="1" fontId="16" fillId="7" borderId="10" xfId="0" applyNumberFormat="1" applyFont="1" applyFill="1" applyBorder="1" applyAlignment="1">
      <alignment horizontal="left"/>
    </xf>
    <xf numFmtId="43" fontId="12" fillId="2" borderId="6" xfId="0" applyNumberFormat="1" applyFont="1" applyFill="1" applyBorder="1" applyAlignment="1">
      <alignment vertical="center"/>
    </xf>
    <xf numFmtId="0" fontId="18" fillId="2" borderId="1" xfId="0" applyFont="1" applyFill="1" applyBorder="1"/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2" borderId="6" xfId="0" applyFont="1" applyFill="1" applyBorder="1" applyAlignment="1">
      <alignment horizontal="center" vertical="center"/>
    </xf>
    <xf numFmtId="164" fontId="11" fillId="2" borderId="6" xfId="0" applyNumberFormat="1" applyFont="1" applyFill="1" applyBorder="1" applyAlignment="1">
      <alignment horizontal="center" vertical="center"/>
    </xf>
    <xf numFmtId="164" fontId="11" fillId="6" borderId="6" xfId="0" applyNumberFormat="1" applyFont="1" applyFill="1" applyBorder="1" applyAlignment="1">
      <alignment vertical="center"/>
    </xf>
    <xf numFmtId="164" fontId="11" fillId="2" borderId="6" xfId="0" applyNumberFormat="1" applyFont="1" applyFill="1" applyBorder="1" applyAlignment="1">
      <alignment vertical="center"/>
    </xf>
    <xf numFmtId="1" fontId="12" fillId="0" borderId="6" xfId="0" applyNumberFormat="1" applyFont="1" applyBorder="1" applyAlignment="1">
      <alignment horizontal="center" vertical="center"/>
    </xf>
    <xf numFmtId="0" fontId="12" fillId="2" borderId="6" xfId="0" applyFont="1" applyFill="1" applyBorder="1" applyAlignment="1">
      <alignment horizontal="left" vertical="center"/>
    </xf>
    <xf numFmtId="0" fontId="17" fillId="7" borderId="10" xfId="0" applyFont="1" applyFill="1" applyBorder="1" applyAlignment="1">
      <alignment horizontal="left" vertical="center"/>
    </xf>
    <xf numFmtId="0" fontId="12" fillId="8" borderId="6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43" fontId="12" fillId="2" borderId="6" xfId="0" applyNumberFormat="1" applyFont="1" applyFill="1" applyBorder="1" applyAlignment="1">
      <alignment horizontal="center" vertical="center"/>
    </xf>
    <xf numFmtId="0" fontId="17" fillId="7" borderId="10" xfId="0" applyFont="1" applyFill="1" applyBorder="1"/>
    <xf numFmtId="1" fontId="11" fillId="0" borderId="6" xfId="0" applyNumberFormat="1" applyFont="1" applyBorder="1" applyAlignment="1">
      <alignment horizontal="center" vertical="center"/>
    </xf>
    <xf numFmtId="0" fontId="11" fillId="2" borderId="6" xfId="0" applyFont="1" applyFill="1" applyBorder="1" applyAlignment="1">
      <alignment horizontal="left" vertical="center"/>
    </xf>
    <xf numFmtId="1" fontId="12" fillId="2" borderId="6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0" fontId="19" fillId="2" borderId="6" xfId="0" applyFont="1" applyFill="1" applyBorder="1" applyAlignment="1">
      <alignment horizontal="center" vertical="center"/>
    </xf>
    <xf numFmtId="164" fontId="19" fillId="2" borderId="6" xfId="0" applyNumberFormat="1" applyFont="1" applyFill="1" applyBorder="1" applyAlignment="1">
      <alignment horizontal="center" vertical="center"/>
    </xf>
    <xf numFmtId="164" fontId="19" fillId="6" borderId="6" xfId="0" applyNumberFormat="1" applyFont="1" applyFill="1" applyBorder="1" applyAlignment="1">
      <alignment vertical="center"/>
    </xf>
    <xf numFmtId="164" fontId="19" fillId="2" borderId="6" xfId="0" applyNumberFormat="1" applyFont="1" applyFill="1" applyBorder="1" applyAlignment="1">
      <alignment vertical="center"/>
    </xf>
    <xf numFmtId="0" fontId="20" fillId="0" borderId="6" xfId="0" applyFont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164" fontId="11" fillId="2" borderId="1" xfId="0" applyNumberFormat="1" applyFont="1" applyFill="1" applyBorder="1"/>
    <xf numFmtId="37" fontId="19" fillId="2" borderId="6" xfId="0" applyNumberFormat="1" applyFont="1" applyFill="1" applyBorder="1" applyAlignment="1">
      <alignment horizontal="center" vertical="center"/>
    </xf>
    <xf numFmtId="164" fontId="19" fillId="2" borderId="6" xfId="0" applyNumberFormat="1" applyFont="1" applyFill="1" applyBorder="1" applyAlignment="1">
      <alignment horizontal="left" vertical="center"/>
    </xf>
    <xf numFmtId="0" fontId="11" fillId="2" borderId="6" xfId="0" applyFont="1" applyFill="1" applyBorder="1" applyAlignment="1">
      <alignment vertical="center"/>
    </xf>
    <xf numFmtId="164" fontId="11" fillId="2" borderId="6" xfId="0" applyNumberFormat="1" applyFont="1" applyFill="1" applyBorder="1" applyAlignment="1">
      <alignment horizontal="left" vertical="center"/>
    </xf>
    <xf numFmtId="0" fontId="12" fillId="2" borderId="6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12" fillId="8" borderId="6" xfId="0" applyFont="1" applyFill="1" applyBorder="1" applyAlignment="1">
      <alignment horizontal="left" vertical="center" wrapText="1"/>
    </xf>
    <xf numFmtId="0" fontId="16" fillId="4" borderId="10" xfId="0" applyFont="1" applyFill="1" applyBorder="1" applyAlignment="1">
      <alignment horizontal="left"/>
    </xf>
    <xf numFmtId="1" fontId="11" fillId="2" borderId="6" xfId="0" applyNumberFormat="1" applyFont="1" applyFill="1" applyBorder="1" applyAlignment="1">
      <alignment horizontal="center" vertical="center"/>
    </xf>
    <xf numFmtId="164" fontId="21" fillId="2" borderId="6" xfId="0" applyNumberFormat="1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vertical="center"/>
    </xf>
    <xf numFmtId="0" fontId="18" fillId="2" borderId="6" xfId="0" applyFont="1" applyFill="1" applyBorder="1" applyAlignment="1">
      <alignment horizontal="left" vertical="center"/>
    </xf>
    <xf numFmtId="164" fontId="22" fillId="2" borderId="6" xfId="0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1" fontId="19" fillId="2" borderId="6" xfId="0" applyNumberFormat="1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left" vertical="center"/>
    </xf>
    <xf numFmtId="164" fontId="23" fillId="6" borderId="6" xfId="0" applyNumberFormat="1" applyFont="1" applyFill="1" applyBorder="1" applyAlignment="1">
      <alignment vertical="center"/>
    </xf>
    <xf numFmtId="164" fontId="23" fillId="2" borderId="6" xfId="0" applyNumberFormat="1" applyFont="1" applyFill="1" applyBorder="1" applyAlignment="1">
      <alignment vertical="center"/>
    </xf>
    <xf numFmtId="164" fontId="15" fillId="2" borderId="6" xfId="0" applyNumberFormat="1" applyFont="1" applyFill="1" applyBorder="1" applyAlignment="1">
      <alignment vertical="center"/>
    </xf>
    <xf numFmtId="0" fontId="24" fillId="2" borderId="1" xfId="0" applyFont="1" applyFill="1" applyBorder="1"/>
    <xf numFmtId="0" fontId="11" fillId="0" borderId="6" xfId="0" applyFont="1" applyBorder="1" applyAlignment="1">
      <alignment horizontal="left" vertical="center" shrinkToFit="1"/>
    </xf>
    <xf numFmtId="0" fontId="12" fillId="7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vertical="center"/>
    </xf>
    <xf numFmtId="0" fontId="12" fillId="7" borderId="6" xfId="0" applyFont="1" applyFill="1" applyBorder="1" applyAlignment="1">
      <alignment horizontal="left" vertical="center"/>
    </xf>
    <xf numFmtId="0" fontId="12" fillId="7" borderId="6" xfId="0" applyFont="1" applyFill="1" applyBorder="1" applyAlignment="1">
      <alignment vertical="center"/>
    </xf>
    <xf numFmtId="0" fontId="12" fillId="8" borderId="6" xfId="0" applyFont="1" applyFill="1" applyBorder="1" applyAlignment="1">
      <alignment horizontal="center" vertical="center" wrapText="1"/>
    </xf>
    <xf numFmtId="2" fontId="11" fillId="2" borderId="6" xfId="0" applyNumberFormat="1" applyFont="1" applyFill="1" applyBorder="1" applyAlignment="1">
      <alignment horizontal="left" vertical="center" wrapText="1"/>
    </xf>
    <xf numFmtId="0" fontId="12" fillId="7" borderId="6" xfId="0" applyFont="1" applyFill="1" applyBorder="1" applyAlignment="1">
      <alignment horizontal="left" vertical="center" wrapText="1"/>
    </xf>
    <xf numFmtId="0" fontId="12" fillId="8" borderId="6" xfId="0" applyFont="1" applyFill="1" applyBorder="1" applyAlignment="1">
      <alignment vertical="center" wrapText="1"/>
    </xf>
    <xf numFmtId="0" fontId="11" fillId="7" borderId="6" xfId="0" applyFont="1" applyFill="1" applyBorder="1" applyAlignment="1">
      <alignment horizontal="left" vertical="center" wrapText="1"/>
    </xf>
    <xf numFmtId="1" fontId="12" fillId="0" borderId="6" xfId="0" applyNumberFormat="1" applyFont="1" applyBorder="1" applyAlignment="1">
      <alignment horizontal="center" vertical="center" wrapText="1"/>
    </xf>
    <xf numFmtId="0" fontId="12" fillId="2" borderId="6" xfId="0" applyFont="1" applyFill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2" borderId="6" xfId="0" applyFont="1" applyFill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left" vertical="center" wrapText="1"/>
    </xf>
    <xf numFmtId="1" fontId="19" fillId="0" borderId="6" xfId="0" applyNumberFormat="1" applyFont="1" applyBorder="1" applyAlignment="1">
      <alignment horizontal="center" vertical="center"/>
    </xf>
    <xf numFmtId="0" fontId="19" fillId="2" borderId="6" xfId="0" applyFont="1" applyFill="1" applyBorder="1" applyAlignment="1">
      <alignment vertical="center"/>
    </xf>
    <xf numFmtId="164" fontId="25" fillId="6" borderId="6" xfId="0" applyNumberFormat="1" applyFont="1" applyFill="1" applyBorder="1" applyAlignment="1">
      <alignment vertical="center"/>
    </xf>
    <xf numFmtId="164" fontId="25" fillId="2" borderId="6" xfId="0" applyNumberFormat="1" applyFont="1" applyFill="1" applyBorder="1" applyAlignment="1">
      <alignment vertical="center"/>
    </xf>
    <xf numFmtId="0" fontId="19" fillId="2" borderId="1" xfId="0" applyFont="1" applyFill="1" applyBorder="1"/>
    <xf numFmtId="0" fontId="18" fillId="7" borderId="6" xfId="0" applyFont="1" applyFill="1" applyBorder="1" applyAlignment="1">
      <alignment horizontal="left" vertical="center"/>
    </xf>
    <xf numFmtId="0" fontId="18" fillId="7" borderId="6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shrinkToFit="1"/>
    </xf>
    <xf numFmtId="0" fontId="19" fillId="0" borderId="6" xfId="0" applyFont="1" applyBorder="1" applyAlignment="1">
      <alignment vertical="center"/>
    </xf>
    <xf numFmtId="0" fontId="19" fillId="0" borderId="6" xfId="0" quotePrefix="1" applyFont="1" applyBorder="1" applyAlignment="1">
      <alignment horizontal="left" vertical="center" shrinkToFit="1"/>
    </xf>
    <xf numFmtId="0" fontId="19" fillId="2" borderId="6" xfId="0" applyFont="1" applyFill="1" applyBorder="1" applyAlignment="1">
      <alignment horizontal="center" vertical="center" shrinkToFit="1"/>
    </xf>
    <xf numFmtId="164" fontId="19" fillId="2" borderId="6" xfId="0" applyNumberFormat="1" applyFont="1" applyFill="1" applyBorder="1" applyAlignment="1">
      <alignment horizontal="center" vertical="center" shrinkToFit="1"/>
    </xf>
    <xf numFmtId="0" fontId="12" fillId="8" borderId="6" xfId="0" applyFont="1" applyFill="1" applyBorder="1" applyAlignment="1">
      <alignment vertical="center"/>
    </xf>
    <xf numFmtId="0" fontId="17" fillId="7" borderId="10" xfId="0" applyFont="1" applyFill="1" applyBorder="1" applyAlignment="1">
      <alignment vertical="center"/>
    </xf>
    <xf numFmtId="164" fontId="2" fillId="6" borderId="6" xfId="0" applyNumberFormat="1" applyFont="1" applyFill="1" applyBorder="1" applyAlignment="1">
      <alignment vertical="center"/>
    </xf>
    <xf numFmtId="164" fontId="2" fillId="2" borderId="6" xfId="0" applyNumberFormat="1" applyFont="1" applyFill="1" applyBorder="1" applyAlignment="1">
      <alignment vertical="center"/>
    </xf>
    <xf numFmtId="164" fontId="26" fillId="2" borderId="6" xfId="0" applyNumberFormat="1" applyFont="1" applyFill="1" applyBorder="1" applyAlignment="1">
      <alignment vertical="center"/>
    </xf>
    <xf numFmtId="0" fontId="26" fillId="2" borderId="1" xfId="0" applyFont="1" applyFill="1" applyBorder="1"/>
    <xf numFmtId="0" fontId="27" fillId="0" borderId="0" xfId="0" applyFont="1" applyAlignment="1">
      <alignment horizontal="left"/>
    </xf>
    <xf numFmtId="0" fontId="12" fillId="0" borderId="6" xfId="0" quotePrefix="1" applyFont="1" applyBorder="1" applyAlignment="1">
      <alignment horizontal="left" vertical="center"/>
    </xf>
    <xf numFmtId="0" fontId="11" fillId="7" borderId="6" xfId="0" applyFont="1" applyFill="1" applyBorder="1" applyAlignment="1">
      <alignment horizontal="left" vertical="center"/>
    </xf>
    <xf numFmtId="164" fontId="18" fillId="6" borderId="6" xfId="0" applyNumberFormat="1" applyFont="1" applyFill="1" applyBorder="1" applyAlignment="1">
      <alignment vertical="center"/>
    </xf>
    <xf numFmtId="164" fontId="18" fillId="2" borderId="6" xfId="0" applyNumberFormat="1" applyFont="1" applyFill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 wrapText="1"/>
    </xf>
    <xf numFmtId="0" fontId="18" fillId="2" borderId="6" xfId="0" applyFont="1" applyFill="1" applyBorder="1" applyAlignment="1">
      <alignment horizontal="center" vertical="center" wrapText="1"/>
    </xf>
    <xf numFmtId="164" fontId="18" fillId="2" borderId="6" xfId="0" applyNumberFormat="1" applyFont="1" applyFill="1" applyBorder="1" applyAlignment="1">
      <alignment horizontal="center" vertical="center"/>
    </xf>
    <xf numFmtId="164" fontId="12" fillId="4" borderId="6" xfId="0" applyNumberFormat="1" applyFont="1" applyFill="1" applyBorder="1" applyAlignment="1">
      <alignment vertical="center"/>
    </xf>
    <xf numFmtId="164" fontId="11" fillId="4" borderId="6" xfId="0" applyNumberFormat="1" applyFont="1" applyFill="1" applyBorder="1" applyAlignment="1">
      <alignment vertical="center"/>
    </xf>
    <xf numFmtId="0" fontId="19" fillId="0" borderId="6" xfId="0" applyFont="1" applyBorder="1" applyAlignment="1">
      <alignment horizontal="left" vertical="center" wrapText="1"/>
    </xf>
    <xf numFmtId="164" fontId="24" fillId="6" borderId="6" xfId="0" applyNumberFormat="1" applyFont="1" applyFill="1" applyBorder="1" applyAlignment="1">
      <alignment vertical="center"/>
    </xf>
    <xf numFmtId="164" fontId="24" fillId="2" borderId="6" xfId="0" applyNumberFormat="1" applyFont="1" applyFill="1" applyBorder="1" applyAlignment="1">
      <alignment vertical="center"/>
    </xf>
    <xf numFmtId="164" fontId="15" fillId="6" borderId="6" xfId="0" applyNumberFormat="1" applyFont="1" applyFill="1" applyBorder="1" applyAlignment="1">
      <alignment vertical="center"/>
    </xf>
    <xf numFmtId="164" fontId="12" fillId="2" borderId="6" xfId="0" applyNumberFormat="1" applyFont="1" applyFill="1" applyBorder="1" applyAlignment="1">
      <alignment horizontal="left" vertical="center"/>
    </xf>
    <xf numFmtId="2" fontId="11" fillId="2" borderId="6" xfId="0" applyNumberFormat="1" applyFont="1" applyFill="1" applyBorder="1" applyAlignment="1">
      <alignment horizontal="left" vertical="center"/>
    </xf>
    <xf numFmtId="2" fontId="11" fillId="2" borderId="6" xfId="0" applyNumberFormat="1" applyFont="1" applyFill="1" applyBorder="1" applyAlignment="1">
      <alignment horizontal="center" vertical="center"/>
    </xf>
    <xf numFmtId="1" fontId="28" fillId="2" borderId="6" xfId="0" applyNumberFormat="1" applyFont="1" applyFill="1" applyBorder="1" applyAlignment="1">
      <alignment horizontal="center" vertical="center"/>
    </xf>
    <xf numFmtId="1" fontId="28" fillId="8" borderId="6" xfId="0" applyNumberFormat="1" applyFont="1" applyFill="1" applyBorder="1" applyAlignment="1">
      <alignment horizontal="left" vertical="center"/>
    </xf>
    <xf numFmtId="0" fontId="19" fillId="2" borderId="6" xfId="0" quotePrefix="1" applyFont="1" applyFill="1" applyBorder="1" applyAlignment="1">
      <alignment horizontal="left" vertical="center"/>
    </xf>
    <xf numFmtId="0" fontId="16" fillId="7" borderId="10" xfId="0" applyFont="1" applyFill="1" applyBorder="1" applyAlignment="1">
      <alignment horizontal="left" vertical="center"/>
    </xf>
    <xf numFmtId="0" fontId="11" fillId="2" borderId="6" xfId="0" quotePrefix="1" applyFont="1" applyFill="1" applyBorder="1" applyAlignment="1">
      <alignment horizontal="left" vertical="center"/>
    </xf>
    <xf numFmtId="1" fontId="12" fillId="9" borderId="6" xfId="0" applyNumberFormat="1" applyFont="1" applyFill="1" applyBorder="1" applyAlignment="1">
      <alignment horizontal="center" vertical="center"/>
    </xf>
    <xf numFmtId="0" fontId="18" fillId="2" borderId="6" xfId="0" quotePrefix="1" applyFont="1" applyFill="1" applyBorder="1" applyAlignment="1">
      <alignment horizontal="left" vertical="center"/>
    </xf>
    <xf numFmtId="0" fontId="29" fillId="7" borderId="6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left" vertical="center" shrinkToFit="1"/>
    </xf>
    <xf numFmtId="0" fontId="12" fillId="2" borderId="6" xfId="0" applyFont="1" applyFill="1" applyBorder="1" applyAlignment="1">
      <alignment horizontal="left" vertical="center" shrinkToFit="1"/>
    </xf>
    <xf numFmtId="0" fontId="11" fillId="2" borderId="6" xfId="0" applyFont="1" applyFill="1" applyBorder="1" applyAlignment="1">
      <alignment horizontal="center" vertical="center" shrinkToFit="1"/>
    </xf>
    <xf numFmtId="0" fontId="30" fillId="2" borderId="6" xfId="0" applyFont="1" applyFill="1" applyBorder="1" applyAlignment="1">
      <alignment horizontal="left" vertical="center" shrinkToFit="1"/>
    </xf>
    <xf numFmtId="0" fontId="28" fillId="2" borderId="6" xfId="0" applyFont="1" applyFill="1" applyBorder="1" applyAlignment="1">
      <alignment horizontal="center" vertical="center"/>
    </xf>
    <xf numFmtId="1" fontId="28" fillId="2" borderId="6" xfId="0" applyNumberFormat="1" applyFont="1" applyFill="1" applyBorder="1" applyAlignment="1">
      <alignment horizontal="left" vertical="center"/>
    </xf>
    <xf numFmtId="0" fontId="31" fillId="2" borderId="6" xfId="0" applyFont="1" applyFill="1" applyBorder="1" applyAlignment="1">
      <alignment horizontal="center" vertical="center"/>
    </xf>
    <xf numFmtId="1" fontId="31" fillId="2" borderId="6" xfId="0" applyNumberFormat="1" applyFont="1" applyFill="1" applyBorder="1" applyAlignment="1">
      <alignment horizontal="left" vertical="center"/>
    </xf>
    <xf numFmtId="1" fontId="11" fillId="2" borderId="6" xfId="0" applyNumberFormat="1" applyFont="1" applyFill="1" applyBorder="1" applyAlignment="1">
      <alignment horizontal="left" vertical="center"/>
    </xf>
    <xf numFmtId="164" fontId="11" fillId="2" borderId="6" xfId="0" applyNumberFormat="1" applyFont="1" applyFill="1" applyBorder="1" applyAlignment="1">
      <alignment horizontal="center" vertical="center" shrinkToFit="1"/>
    </xf>
    <xf numFmtId="0" fontId="32" fillId="7" borderId="10" xfId="0" applyFont="1" applyFill="1" applyBorder="1" applyAlignment="1">
      <alignment horizontal="left"/>
    </xf>
    <xf numFmtId="1" fontId="33" fillId="2" borderId="6" xfId="0" applyNumberFormat="1" applyFont="1" applyFill="1" applyBorder="1" applyAlignment="1">
      <alignment horizontal="left" vertical="center"/>
    </xf>
    <xf numFmtId="9" fontId="12" fillId="2" borderId="6" xfId="0" applyNumberFormat="1" applyFont="1" applyFill="1" applyBorder="1" applyAlignment="1">
      <alignment horizontal="left" vertical="center"/>
    </xf>
    <xf numFmtId="1" fontId="34" fillId="2" borderId="6" xfId="0" applyNumberFormat="1" applyFont="1" applyFill="1" applyBorder="1" applyAlignment="1">
      <alignment horizontal="left" vertical="center"/>
    </xf>
    <xf numFmtId="1" fontId="34" fillId="2" borderId="6" xfId="0" applyNumberFormat="1" applyFont="1" applyFill="1" applyBorder="1" applyAlignment="1">
      <alignment horizontal="center" vertical="center"/>
    </xf>
    <xf numFmtId="1" fontId="31" fillId="2" borderId="6" xfId="0" applyNumberFormat="1" applyFont="1" applyFill="1" applyBorder="1" applyAlignment="1">
      <alignment horizontal="center" vertical="center"/>
    </xf>
    <xf numFmtId="0" fontId="35" fillId="2" borderId="1" xfId="0" applyFont="1" applyFill="1" applyBorder="1"/>
    <xf numFmtId="1" fontId="19" fillId="2" borderId="6" xfId="0" applyNumberFormat="1" applyFont="1" applyFill="1" applyBorder="1" applyAlignment="1">
      <alignment horizontal="left" vertical="center"/>
    </xf>
    <xf numFmtId="164" fontId="36" fillId="2" borderId="1" xfId="0" applyNumberFormat="1" applyFont="1" applyFill="1" applyBorder="1" applyAlignment="1">
      <alignment vertical="center"/>
    </xf>
    <xf numFmtId="1" fontId="11" fillId="2" borderId="6" xfId="0" applyNumberFormat="1" applyFont="1" applyFill="1" applyBorder="1" applyAlignment="1">
      <alignment vertical="center"/>
    </xf>
    <xf numFmtId="167" fontId="12" fillId="2" borderId="6" xfId="0" applyNumberFormat="1" applyFont="1" applyFill="1" applyBorder="1" applyAlignment="1">
      <alignment horizontal="left" vertical="center"/>
    </xf>
    <xf numFmtId="2" fontId="11" fillId="0" borderId="6" xfId="0" applyNumberFormat="1" applyFont="1" applyBorder="1" applyAlignment="1">
      <alignment horizontal="left" vertical="center" shrinkToFit="1"/>
    </xf>
    <xf numFmtId="0" fontId="11" fillId="7" borderId="6" xfId="0" applyFont="1" applyFill="1" applyBorder="1" applyAlignment="1">
      <alignment vertical="center"/>
    </xf>
    <xf numFmtId="0" fontId="12" fillId="7" borderId="6" xfId="0" applyFont="1" applyFill="1" applyBorder="1" applyAlignment="1">
      <alignment horizontal="center" vertical="center"/>
    </xf>
    <xf numFmtId="1" fontId="12" fillId="8" borderId="6" xfId="0" applyNumberFormat="1" applyFont="1" applyFill="1" applyBorder="1" applyAlignment="1">
      <alignment horizontal="left" vertical="center"/>
    </xf>
    <xf numFmtId="0" fontId="30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 shrinkToFit="1"/>
    </xf>
    <xf numFmtId="0" fontId="37" fillId="7" borderId="10" xfId="0" applyFont="1" applyFill="1" applyBorder="1" applyAlignment="1">
      <alignment horizontal="left"/>
    </xf>
    <xf numFmtId="164" fontId="12" fillId="2" borderId="1" xfId="0" applyNumberFormat="1" applyFont="1" applyFill="1" applyBorder="1" applyAlignment="1">
      <alignment horizontal="center" vertical="center"/>
    </xf>
    <xf numFmtId="164" fontId="11" fillId="0" borderId="6" xfId="0" applyNumberFormat="1" applyFont="1" applyBorder="1" applyAlignment="1">
      <alignment horizontal="left" vertical="center"/>
    </xf>
    <xf numFmtId="0" fontId="16" fillId="7" borderId="12" xfId="0" applyFont="1" applyFill="1" applyBorder="1" applyAlignment="1">
      <alignment horizontal="left"/>
    </xf>
    <xf numFmtId="0" fontId="17" fillId="7" borderId="12" xfId="0" applyFont="1" applyFill="1" applyBorder="1" applyAlignment="1">
      <alignment horizontal="left" vertical="center"/>
    </xf>
    <xf numFmtId="0" fontId="17" fillId="7" borderId="12" xfId="0" applyFont="1" applyFill="1" applyBorder="1" applyAlignment="1">
      <alignment horizontal="left"/>
    </xf>
    <xf numFmtId="0" fontId="16" fillId="7" borderId="12" xfId="0" applyFont="1" applyFill="1" applyBorder="1" applyAlignment="1">
      <alignment horizontal="center"/>
    </xf>
    <xf numFmtId="0" fontId="16" fillId="7" borderId="13" xfId="0" applyFont="1" applyFill="1" applyBorder="1" applyAlignment="1">
      <alignment horizontal="center"/>
    </xf>
    <xf numFmtId="0" fontId="16" fillId="7" borderId="14" xfId="0" applyFont="1" applyFill="1" applyBorder="1" applyAlignment="1">
      <alignment horizontal="center"/>
    </xf>
    <xf numFmtId="0" fontId="16" fillId="7" borderId="14" xfId="0" applyFont="1" applyFill="1" applyBorder="1" applyAlignment="1">
      <alignment horizontal="left"/>
    </xf>
    <xf numFmtId="0" fontId="16" fillId="7" borderId="15" xfId="0" applyFont="1" applyFill="1" applyBorder="1" applyAlignment="1">
      <alignment horizontal="center"/>
    </xf>
    <xf numFmtId="0" fontId="11" fillId="7" borderId="6" xfId="0" applyFont="1" applyFill="1" applyBorder="1" applyAlignment="1">
      <alignment vertical="center" wrapText="1"/>
    </xf>
    <xf numFmtId="1" fontId="18" fillId="0" borderId="6" xfId="0" applyNumberFormat="1" applyFont="1" applyBorder="1" applyAlignment="1">
      <alignment horizontal="center" vertical="center"/>
    </xf>
    <xf numFmtId="164" fontId="36" fillId="6" borderId="6" xfId="0" applyNumberFormat="1" applyFont="1" applyFill="1" applyBorder="1" applyAlignment="1">
      <alignment vertical="center"/>
    </xf>
    <xf numFmtId="164" fontId="36" fillId="2" borderId="6" xfId="0" applyNumberFormat="1" applyFont="1" applyFill="1" applyBorder="1" applyAlignment="1">
      <alignment vertical="center"/>
    </xf>
    <xf numFmtId="0" fontId="12" fillId="9" borderId="6" xfId="0" applyFont="1" applyFill="1" applyBorder="1" applyAlignment="1">
      <alignment horizontal="center" vertical="center"/>
    </xf>
    <xf numFmtId="164" fontId="38" fillId="2" borderId="6" xfId="0" applyNumberFormat="1" applyFont="1" applyFill="1" applyBorder="1" applyAlignment="1">
      <alignment vertical="center"/>
    </xf>
    <xf numFmtId="1" fontId="11" fillId="0" borderId="6" xfId="0" applyNumberFormat="1" applyFont="1" applyBorder="1" applyAlignment="1">
      <alignment horizontal="left" vertical="center"/>
    </xf>
    <xf numFmtId="1" fontId="12" fillId="7" borderId="6" xfId="0" applyNumberFormat="1" applyFont="1" applyFill="1" applyBorder="1" applyAlignment="1">
      <alignment horizontal="center" vertical="center"/>
    </xf>
    <xf numFmtId="0" fontId="36" fillId="2" borderId="6" xfId="0" applyFont="1" applyFill="1" applyBorder="1" applyAlignment="1">
      <alignment horizontal="center" vertical="center"/>
    </xf>
    <xf numFmtId="164" fontId="39" fillId="6" borderId="6" xfId="0" applyNumberFormat="1" applyFont="1" applyFill="1" applyBorder="1" applyAlignment="1">
      <alignment vertical="center"/>
    </xf>
    <xf numFmtId="164" fontId="39" fillId="2" borderId="6" xfId="0" applyNumberFormat="1" applyFont="1" applyFill="1" applyBorder="1" applyAlignment="1">
      <alignment vertical="center"/>
    </xf>
    <xf numFmtId="0" fontId="39" fillId="2" borderId="1" xfId="0" applyFont="1" applyFill="1" applyBorder="1"/>
    <xf numFmtId="1" fontId="12" fillId="7" borderId="6" xfId="0" applyNumberFormat="1" applyFont="1" applyFill="1" applyBorder="1" applyAlignment="1">
      <alignment horizontal="center" vertical="center" wrapText="1"/>
    </xf>
    <xf numFmtId="0" fontId="40" fillId="8" borderId="6" xfId="0" applyFont="1" applyFill="1" applyBorder="1" applyAlignment="1">
      <alignment horizontal="left" vertical="center"/>
    </xf>
    <xf numFmtId="0" fontId="40" fillId="0" borderId="6" xfId="0" applyFont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 wrapText="1"/>
    </xf>
    <xf numFmtId="1" fontId="41" fillId="0" borderId="6" xfId="0" applyNumberFormat="1" applyFont="1" applyBorder="1" applyAlignment="1">
      <alignment horizontal="center" vertical="center"/>
    </xf>
    <xf numFmtId="0" fontId="41" fillId="0" borderId="6" xfId="0" applyFont="1" applyBorder="1" applyAlignment="1">
      <alignment horizontal="left" vertical="center"/>
    </xf>
    <xf numFmtId="0" fontId="41" fillId="0" borderId="6" xfId="0" applyFont="1" applyBorder="1" applyAlignment="1">
      <alignment horizontal="center" vertical="center"/>
    </xf>
    <xf numFmtId="0" fontId="41" fillId="2" borderId="6" xfId="0" applyFont="1" applyFill="1" applyBorder="1" applyAlignment="1">
      <alignment horizontal="center" vertical="center"/>
    </xf>
    <xf numFmtId="164" fontId="41" fillId="2" borderId="6" xfId="0" applyNumberFormat="1" applyFont="1" applyFill="1" applyBorder="1" applyAlignment="1">
      <alignment horizontal="center" vertical="center"/>
    </xf>
    <xf numFmtId="164" fontId="42" fillId="6" borderId="6" xfId="0" applyNumberFormat="1" applyFont="1" applyFill="1" applyBorder="1" applyAlignment="1">
      <alignment vertical="center"/>
    </xf>
    <xf numFmtId="164" fontId="42" fillId="2" borderId="6" xfId="0" applyNumberFormat="1" applyFont="1" applyFill="1" applyBorder="1" applyAlignment="1">
      <alignment vertical="center"/>
    </xf>
    <xf numFmtId="0" fontId="42" fillId="2" borderId="1" xfId="0" applyFont="1" applyFill="1" applyBorder="1"/>
    <xf numFmtId="0" fontId="19" fillId="7" borderId="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2" fontId="11" fillId="2" borderId="6" xfId="0" applyNumberFormat="1" applyFont="1" applyFill="1" applyBorder="1" applyAlignment="1">
      <alignment vertical="center" wrapText="1"/>
    </xf>
    <xf numFmtId="43" fontId="12" fillId="6" borderId="6" xfId="0" applyNumberFormat="1" applyFont="1" applyFill="1" applyBorder="1" applyAlignment="1">
      <alignment vertical="center"/>
    </xf>
    <xf numFmtId="164" fontId="18" fillId="4" borderId="6" xfId="0" applyNumberFormat="1" applyFont="1" applyFill="1" applyBorder="1" applyAlignment="1">
      <alignment vertical="center"/>
    </xf>
    <xf numFmtId="164" fontId="26" fillId="4" borderId="6" xfId="0" applyNumberFormat="1" applyFont="1" applyFill="1" applyBorder="1" applyAlignment="1">
      <alignment vertical="center"/>
    </xf>
    <xf numFmtId="164" fontId="26" fillId="6" borderId="6" xfId="0" applyNumberFormat="1" applyFont="1" applyFill="1" applyBorder="1" applyAlignment="1">
      <alignment vertical="center"/>
    </xf>
    <xf numFmtId="164" fontId="11" fillId="6" borderId="6" xfId="0" applyNumberFormat="1" applyFont="1" applyFill="1" applyBorder="1" applyAlignment="1">
      <alignment horizontal="right" vertical="center"/>
    </xf>
    <xf numFmtId="0" fontId="11" fillId="7" borderId="6" xfId="0" applyFont="1" applyFill="1" applyBorder="1" applyAlignment="1">
      <alignment horizontal="center" vertical="center"/>
    </xf>
    <xf numFmtId="0" fontId="12" fillId="7" borderId="6" xfId="0" quotePrefix="1" applyFont="1" applyFill="1" applyBorder="1" applyAlignment="1">
      <alignment horizontal="left" vertical="center"/>
    </xf>
    <xf numFmtId="0" fontId="19" fillId="7" borderId="6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left" vertical="center" shrinkToFit="1"/>
    </xf>
    <xf numFmtId="1" fontId="11" fillId="7" borderId="6" xfId="0" applyNumberFormat="1" applyFont="1" applyFill="1" applyBorder="1" applyAlignment="1">
      <alignment horizontal="center" vertical="center"/>
    </xf>
    <xf numFmtId="1" fontId="19" fillId="7" borderId="6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vertical="center"/>
    </xf>
    <xf numFmtId="0" fontId="19" fillId="7" borderId="6" xfId="0" applyFont="1" applyFill="1" applyBorder="1" applyAlignment="1">
      <alignment horizontal="left" vertical="center" shrinkToFit="1"/>
    </xf>
    <xf numFmtId="164" fontId="12" fillId="7" borderId="6" xfId="0" applyNumberFormat="1" applyFont="1" applyFill="1" applyBorder="1" applyAlignment="1">
      <alignment horizontal="center" vertical="center"/>
    </xf>
    <xf numFmtId="164" fontId="43" fillId="6" borderId="6" xfId="0" applyNumberFormat="1" applyFont="1" applyFill="1" applyBorder="1" applyAlignment="1">
      <alignment vertical="center"/>
    </xf>
    <xf numFmtId="164" fontId="43" fillId="2" borderId="6" xfId="0" applyNumberFormat="1" applyFont="1" applyFill="1" applyBorder="1" applyAlignment="1">
      <alignment vertical="center"/>
    </xf>
    <xf numFmtId="0" fontId="12" fillId="2" borderId="6" xfId="0" quotePrefix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vertical="center" wrapText="1"/>
    </xf>
    <xf numFmtId="0" fontId="44" fillId="2" borderId="6" xfId="0" applyFont="1" applyFill="1" applyBorder="1" applyAlignment="1">
      <alignment vertical="center"/>
    </xf>
    <xf numFmtId="0" fontId="44" fillId="2" borderId="6" xfId="0" applyFont="1" applyFill="1" applyBorder="1" applyAlignment="1">
      <alignment horizontal="center" vertical="center"/>
    </xf>
    <xf numFmtId="0" fontId="44" fillId="2" borderId="6" xfId="0" applyFont="1" applyFill="1" applyBorder="1" applyAlignment="1">
      <alignment horizontal="left" vertical="center"/>
    </xf>
    <xf numFmtId="164" fontId="12" fillId="2" borderId="6" xfId="0" applyNumberFormat="1" applyFont="1" applyFill="1" applyBorder="1" applyAlignment="1">
      <alignment vertical="center" wrapText="1"/>
    </xf>
    <xf numFmtId="1" fontId="41" fillId="2" borderId="6" xfId="0" applyNumberFormat="1" applyFont="1" applyFill="1" applyBorder="1" applyAlignment="1">
      <alignment horizontal="center" vertical="center"/>
    </xf>
    <xf numFmtId="0" fontId="41" fillId="2" borderId="6" xfId="0" applyFont="1" applyFill="1" applyBorder="1" applyAlignment="1">
      <alignment horizontal="left" vertical="center"/>
    </xf>
    <xf numFmtId="164" fontId="2" fillId="2" borderId="1" xfId="0" applyNumberFormat="1" applyFont="1" applyFill="1" applyBorder="1"/>
    <xf numFmtId="164" fontId="7" fillId="2" borderId="3" xfId="0" applyNumberFormat="1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164" fontId="10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hatib.fm/" TargetMode="External"/><Relationship Id="rId3" Type="http://schemas.openxmlformats.org/officeDocument/2006/relationships/hyperlink" Target="http://mym1.am/" TargetMode="External"/><Relationship Id="rId7" Type="http://schemas.openxmlformats.org/officeDocument/2006/relationships/hyperlink" Target="http://hatib.fm/" TargetMode="External"/><Relationship Id="rId2" Type="http://schemas.openxmlformats.org/officeDocument/2006/relationships/hyperlink" Target="http://mym1.am/" TargetMode="External"/><Relationship Id="rId1" Type="http://schemas.openxmlformats.org/officeDocument/2006/relationships/hyperlink" Target="http://mym1.am/" TargetMode="External"/><Relationship Id="rId6" Type="http://schemas.openxmlformats.org/officeDocument/2006/relationships/hyperlink" Target="http://hatib.fm/" TargetMode="External"/><Relationship Id="rId5" Type="http://schemas.openxmlformats.org/officeDocument/2006/relationships/hyperlink" Target="http://mym1.am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mym1.am/" TargetMode="External"/><Relationship Id="rId9" Type="http://schemas.openxmlformats.org/officeDocument/2006/relationships/hyperlink" Target="http://hatib.f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454"/>
  <sheetViews>
    <sheetView showGridLines="0" tabSelected="1" workbookViewId="0">
      <pane xSplit="4" ySplit="1" topLeftCell="E444" activePane="bottomRight" state="frozen"/>
      <selection pane="topRight" activeCell="E1" sqref="E1"/>
      <selection pane="bottomLeft" activeCell="A2" sqref="A2"/>
      <selection pane="bottomRight" activeCell="G452" sqref="G452"/>
    </sheetView>
  </sheetViews>
  <sheetFormatPr defaultColWidth="14.42578125" defaultRowHeight="15" customHeight="1"/>
  <cols>
    <col min="1" max="1" width="11.7109375" customWidth="1"/>
    <col min="2" max="2" width="11" customWidth="1"/>
    <col min="3" max="3" width="8" customWidth="1"/>
    <col min="4" max="4" width="32.140625" customWidth="1"/>
    <col min="5" max="5" width="11" customWidth="1"/>
    <col min="6" max="6" width="7.42578125" customWidth="1"/>
    <col min="7" max="7" width="30.85546875" customWidth="1"/>
    <col min="8" max="8" width="29.85546875" customWidth="1"/>
    <col min="9" max="9" width="18.7109375" customWidth="1"/>
    <col min="10" max="10" width="15.7109375" customWidth="1"/>
    <col min="11" max="11" width="6.140625" customWidth="1"/>
    <col min="12" max="12" width="12.42578125" customWidth="1"/>
    <col min="13" max="13" width="24.5703125" customWidth="1"/>
    <col min="14" max="14" width="19" customWidth="1"/>
    <col min="15" max="15" width="12.140625" customWidth="1"/>
    <col min="16" max="16" width="18.85546875" customWidth="1"/>
    <col min="17" max="17" width="28.42578125" customWidth="1"/>
    <col min="18" max="18" width="27.85546875" customWidth="1"/>
    <col min="19" max="20" width="16" customWidth="1"/>
    <col min="21" max="21" width="23.7109375" customWidth="1"/>
    <col min="22" max="32" width="9.42578125" customWidth="1"/>
    <col min="33" max="33" width="21.42578125" customWidth="1"/>
    <col min="34" max="36" width="13.28515625" customWidth="1"/>
  </cols>
  <sheetData>
    <row r="1" spans="1:36">
      <c r="A1" s="3" t="s">
        <v>1</v>
      </c>
      <c r="B1" s="3" t="s">
        <v>11</v>
      </c>
      <c r="C1" s="3" t="s">
        <v>13</v>
      </c>
      <c r="D1" s="3" t="s">
        <v>14</v>
      </c>
      <c r="E1" s="4" t="s">
        <v>16</v>
      </c>
      <c r="F1" s="3" t="s">
        <v>17</v>
      </c>
      <c r="G1" s="3" t="s">
        <v>19</v>
      </c>
      <c r="H1" s="3" t="s">
        <v>5066</v>
      </c>
      <c r="I1" s="15" t="s">
        <v>76</v>
      </c>
      <c r="J1" s="3" t="s">
        <v>79</v>
      </c>
      <c r="K1" s="3" t="s">
        <v>80</v>
      </c>
      <c r="L1" s="3" t="s">
        <v>81</v>
      </c>
      <c r="M1" s="3" t="s">
        <v>82</v>
      </c>
      <c r="N1" s="3" t="s">
        <v>83</v>
      </c>
      <c r="O1" s="3" t="s">
        <v>84</v>
      </c>
      <c r="P1" s="3" t="s">
        <v>85</v>
      </c>
      <c r="Q1" s="3" t="s">
        <v>5067</v>
      </c>
      <c r="R1" s="25" t="s">
        <v>90</v>
      </c>
      <c r="S1" s="27" t="s">
        <v>92</v>
      </c>
      <c r="T1" s="29" t="s">
        <v>95</v>
      </c>
      <c r="U1" s="31" t="s">
        <v>97</v>
      </c>
      <c r="V1" s="31" t="s">
        <v>99</v>
      </c>
      <c r="W1" s="31" t="s">
        <v>100</v>
      </c>
      <c r="X1" s="31" t="s">
        <v>101</v>
      </c>
      <c r="Y1" s="31" t="s">
        <v>102</v>
      </c>
      <c r="Z1" s="31" t="s">
        <v>103</v>
      </c>
      <c r="AA1" s="31" t="s">
        <v>105</v>
      </c>
      <c r="AB1" s="31" t="s">
        <v>106</v>
      </c>
      <c r="AC1" s="31" t="s">
        <v>107</v>
      </c>
      <c r="AD1" s="31" t="s">
        <v>108</v>
      </c>
      <c r="AE1" s="31" t="s">
        <v>109</v>
      </c>
      <c r="AF1" s="31" t="s">
        <v>110</v>
      </c>
      <c r="AG1" s="35" t="s">
        <v>113</v>
      </c>
      <c r="AH1" s="1"/>
      <c r="AI1" s="1"/>
      <c r="AJ1" s="1"/>
    </row>
    <row r="2" spans="1:36">
      <c r="A2" s="36" t="s">
        <v>115</v>
      </c>
      <c r="B2" s="36" t="s">
        <v>118</v>
      </c>
      <c r="C2" s="36" t="s">
        <v>120</v>
      </c>
      <c r="D2" s="36" t="s">
        <v>124</v>
      </c>
      <c r="E2" s="38" t="s">
        <v>120</v>
      </c>
      <c r="F2" s="36"/>
      <c r="G2" s="36" t="s">
        <v>126</v>
      </c>
      <c r="H2" s="36" t="s">
        <v>129</v>
      </c>
      <c r="I2" s="40" t="s">
        <v>130</v>
      </c>
      <c r="J2" s="36" t="s">
        <v>132</v>
      </c>
      <c r="K2" s="36" t="s">
        <v>94</v>
      </c>
      <c r="L2" s="36" t="s">
        <v>134</v>
      </c>
      <c r="M2" s="36" t="s">
        <v>135</v>
      </c>
      <c r="N2" s="36" t="s">
        <v>136</v>
      </c>
      <c r="O2" s="36" t="s">
        <v>118</v>
      </c>
      <c r="P2" s="36" t="s">
        <v>135</v>
      </c>
      <c r="Q2" s="36" t="s">
        <v>138</v>
      </c>
      <c r="R2" s="36" t="s">
        <v>139</v>
      </c>
      <c r="S2" s="42" t="s">
        <v>5068</v>
      </c>
      <c r="T2" s="43" t="s">
        <v>135</v>
      </c>
      <c r="U2" s="44" t="s">
        <v>147</v>
      </c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5"/>
      <c r="AH2" s="1"/>
      <c r="AI2" s="1"/>
      <c r="AJ2" s="1"/>
    </row>
    <row r="3" spans="1:36">
      <c r="A3" s="36" t="s">
        <v>115</v>
      </c>
      <c r="B3" s="36" t="s">
        <v>118</v>
      </c>
      <c r="C3" s="36" t="s">
        <v>152</v>
      </c>
      <c r="D3" s="36" t="s">
        <v>154</v>
      </c>
      <c r="E3" s="38" t="s">
        <v>152</v>
      </c>
      <c r="F3" s="36"/>
      <c r="G3" s="36" t="s">
        <v>126</v>
      </c>
      <c r="H3" s="36" t="s">
        <v>129</v>
      </c>
      <c r="I3" s="40" t="s">
        <v>130</v>
      </c>
      <c r="J3" s="46" t="s">
        <v>94</v>
      </c>
      <c r="K3" s="36" t="s">
        <v>94</v>
      </c>
      <c r="L3" s="36" t="s">
        <v>134</v>
      </c>
      <c r="M3" s="36" t="s">
        <v>156</v>
      </c>
      <c r="N3" s="36" t="s">
        <v>157</v>
      </c>
      <c r="O3" s="36" t="s">
        <v>118</v>
      </c>
      <c r="P3" s="36" t="s">
        <v>160</v>
      </c>
      <c r="Q3" s="36" t="s">
        <v>162</v>
      </c>
      <c r="R3" s="36" t="s">
        <v>164</v>
      </c>
      <c r="S3" s="42" t="s">
        <v>5069</v>
      </c>
      <c r="T3" s="43" t="s">
        <v>160</v>
      </c>
      <c r="U3" s="44" t="s">
        <v>147</v>
      </c>
      <c r="V3" s="43" t="s">
        <v>130</v>
      </c>
      <c r="W3" s="43" t="s">
        <v>130</v>
      </c>
      <c r="X3" s="43" t="s">
        <v>130</v>
      </c>
      <c r="Y3" s="43" t="s">
        <v>130</v>
      </c>
      <c r="Z3" s="43" t="s">
        <v>130</v>
      </c>
      <c r="AA3" s="43" t="s">
        <v>130</v>
      </c>
      <c r="AB3" s="43" t="s">
        <v>130</v>
      </c>
      <c r="AC3" s="43"/>
      <c r="AD3" s="43"/>
      <c r="AE3" s="43"/>
      <c r="AF3" s="43"/>
      <c r="AG3" s="45"/>
      <c r="AH3" s="1"/>
      <c r="AI3" s="1"/>
      <c r="AJ3" s="1"/>
    </row>
    <row r="4" spans="1:36">
      <c r="A4" s="36" t="s">
        <v>115</v>
      </c>
      <c r="B4" s="36" t="s">
        <v>118</v>
      </c>
      <c r="C4" s="36" t="s">
        <v>170</v>
      </c>
      <c r="D4" s="36" t="s">
        <v>171</v>
      </c>
      <c r="E4" s="38" t="s">
        <v>170</v>
      </c>
      <c r="F4" s="36"/>
      <c r="G4" s="36" t="s">
        <v>126</v>
      </c>
      <c r="H4" s="36" t="s">
        <v>129</v>
      </c>
      <c r="I4" s="40"/>
      <c r="J4" s="46" t="s">
        <v>94</v>
      </c>
      <c r="K4" s="36" t="s">
        <v>94</v>
      </c>
      <c r="L4" s="36" t="s">
        <v>134</v>
      </c>
      <c r="M4" s="36" t="s">
        <v>173</v>
      </c>
      <c r="N4" s="36" t="s">
        <v>174</v>
      </c>
      <c r="O4" s="36" t="s">
        <v>118</v>
      </c>
      <c r="P4" s="36" t="s">
        <v>176</v>
      </c>
      <c r="Q4" s="36" t="s">
        <v>177</v>
      </c>
      <c r="R4" s="36" t="s">
        <v>178</v>
      </c>
      <c r="S4" s="42" t="s">
        <v>5070</v>
      </c>
      <c r="T4" s="43" t="s">
        <v>176</v>
      </c>
      <c r="U4" s="44" t="s">
        <v>147</v>
      </c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5"/>
      <c r="AH4" s="1"/>
      <c r="AI4" s="1"/>
      <c r="AJ4" s="1"/>
    </row>
    <row r="5" spans="1:36">
      <c r="A5" s="36" t="s">
        <v>115</v>
      </c>
      <c r="B5" s="36" t="s">
        <v>118</v>
      </c>
      <c r="C5" s="36" t="s">
        <v>187</v>
      </c>
      <c r="D5" s="36" t="s">
        <v>189</v>
      </c>
      <c r="E5" s="38" t="s">
        <v>187</v>
      </c>
      <c r="F5" s="36"/>
      <c r="G5" s="36" t="s">
        <v>126</v>
      </c>
      <c r="H5" s="36" t="s">
        <v>129</v>
      </c>
      <c r="I5" s="40" t="s">
        <v>130</v>
      </c>
      <c r="J5" s="36" t="s">
        <v>132</v>
      </c>
      <c r="K5" s="36" t="s">
        <v>94</v>
      </c>
      <c r="L5" s="36" t="s">
        <v>134</v>
      </c>
      <c r="M5" s="36" t="s">
        <v>194</v>
      </c>
      <c r="N5" s="36" t="s">
        <v>195</v>
      </c>
      <c r="O5" s="36" t="s">
        <v>118</v>
      </c>
      <c r="P5" s="36" t="s">
        <v>196</v>
      </c>
      <c r="Q5" s="36" t="s">
        <v>198</v>
      </c>
      <c r="R5" s="36" t="s">
        <v>139</v>
      </c>
      <c r="S5" s="42" t="s">
        <v>5071</v>
      </c>
      <c r="T5" s="43" t="s">
        <v>194</v>
      </c>
      <c r="U5" s="44" t="s">
        <v>147</v>
      </c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5"/>
      <c r="AH5" s="1"/>
      <c r="AI5" s="1"/>
      <c r="AJ5" s="1"/>
    </row>
    <row r="6" spans="1:36">
      <c r="A6" s="36" t="s">
        <v>115</v>
      </c>
      <c r="B6" s="36" t="s">
        <v>118</v>
      </c>
      <c r="C6" s="36" t="s">
        <v>205</v>
      </c>
      <c r="D6" s="36" t="s">
        <v>206</v>
      </c>
      <c r="E6" s="38" t="s">
        <v>205</v>
      </c>
      <c r="F6" s="36"/>
      <c r="G6" s="36" t="s">
        <v>208</v>
      </c>
      <c r="H6" s="36" t="s">
        <v>209</v>
      </c>
      <c r="I6" s="40" t="s">
        <v>130</v>
      </c>
      <c r="J6" s="46" t="s">
        <v>94</v>
      </c>
      <c r="K6" s="36" t="s">
        <v>94</v>
      </c>
      <c r="L6" s="36" t="s">
        <v>134</v>
      </c>
      <c r="M6" s="36" t="s">
        <v>211</v>
      </c>
      <c r="N6" s="36" t="s">
        <v>212</v>
      </c>
      <c r="O6" s="36" t="s">
        <v>118</v>
      </c>
      <c r="P6" s="36" t="s">
        <v>211</v>
      </c>
      <c r="Q6" s="36" t="s">
        <v>214</v>
      </c>
      <c r="R6" s="36" t="s">
        <v>164</v>
      </c>
      <c r="S6" s="42" t="s">
        <v>5072</v>
      </c>
      <c r="T6" s="43" t="s">
        <v>217</v>
      </c>
      <c r="U6" s="44" t="s">
        <v>218</v>
      </c>
      <c r="V6" s="43" t="s">
        <v>130</v>
      </c>
      <c r="W6" s="43" t="s">
        <v>130</v>
      </c>
      <c r="X6" s="43" t="s">
        <v>130</v>
      </c>
      <c r="Y6" s="43" t="s">
        <v>130</v>
      </c>
      <c r="Z6" s="43" t="s">
        <v>130</v>
      </c>
      <c r="AA6" s="43" t="s">
        <v>130</v>
      </c>
      <c r="AB6" s="43" t="s">
        <v>130</v>
      </c>
      <c r="AC6" s="43"/>
      <c r="AD6" s="43"/>
      <c r="AE6" s="43"/>
      <c r="AF6" s="43"/>
      <c r="AG6" s="45"/>
      <c r="AH6" s="1"/>
      <c r="AI6" s="1"/>
      <c r="AJ6" s="1"/>
    </row>
    <row r="7" spans="1:36">
      <c r="A7" s="36" t="s">
        <v>115</v>
      </c>
      <c r="B7" s="36" t="s">
        <v>118</v>
      </c>
      <c r="C7" s="36" t="s">
        <v>221</v>
      </c>
      <c r="D7" s="57" t="s">
        <v>225</v>
      </c>
      <c r="E7" s="38" t="s">
        <v>221</v>
      </c>
      <c r="F7" s="36"/>
      <c r="G7" s="36" t="s">
        <v>208</v>
      </c>
      <c r="H7" s="36" t="s">
        <v>209</v>
      </c>
      <c r="I7" s="40"/>
      <c r="J7" s="36" t="s">
        <v>230</v>
      </c>
      <c r="K7" s="36" t="s">
        <v>94</v>
      </c>
      <c r="L7" s="36" t="s">
        <v>134</v>
      </c>
      <c r="M7" s="36" t="s">
        <v>232</v>
      </c>
      <c r="N7" s="36" t="s">
        <v>233</v>
      </c>
      <c r="O7" s="36" t="s">
        <v>118</v>
      </c>
      <c r="P7" s="36" t="s">
        <v>232</v>
      </c>
      <c r="Q7" s="36" t="s">
        <v>234</v>
      </c>
      <c r="R7" s="36" t="s">
        <v>235</v>
      </c>
      <c r="S7" s="42" t="s">
        <v>5073</v>
      </c>
      <c r="T7" s="43" t="s">
        <v>238</v>
      </c>
      <c r="U7" s="44" t="s">
        <v>218</v>
      </c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5"/>
      <c r="AH7" s="1"/>
      <c r="AI7" s="1"/>
      <c r="AJ7" s="1"/>
    </row>
    <row r="8" spans="1:36">
      <c r="A8" s="36" t="s">
        <v>115</v>
      </c>
      <c r="B8" s="36" t="s">
        <v>118</v>
      </c>
      <c r="C8" s="36" t="s">
        <v>242</v>
      </c>
      <c r="D8" s="57" t="s">
        <v>243</v>
      </c>
      <c r="E8" s="38" t="s">
        <v>242</v>
      </c>
      <c r="F8" s="36"/>
      <c r="G8" s="36" t="s">
        <v>208</v>
      </c>
      <c r="H8" s="36" t="s">
        <v>209</v>
      </c>
      <c r="I8" s="40"/>
      <c r="J8" s="36" t="s">
        <v>159</v>
      </c>
      <c r="K8" s="36" t="s">
        <v>94</v>
      </c>
      <c r="L8" s="36" t="s">
        <v>134</v>
      </c>
      <c r="M8" s="36" t="s">
        <v>245</v>
      </c>
      <c r="N8" s="36" t="s">
        <v>246</v>
      </c>
      <c r="O8" s="36" t="s">
        <v>118</v>
      </c>
      <c r="P8" s="36" t="s">
        <v>245</v>
      </c>
      <c r="Q8" s="36" t="s">
        <v>248</v>
      </c>
      <c r="R8" s="36" t="s">
        <v>250</v>
      </c>
      <c r="S8" s="42" t="s">
        <v>5074</v>
      </c>
      <c r="T8" s="43" t="s">
        <v>251</v>
      </c>
      <c r="U8" s="44" t="s">
        <v>218</v>
      </c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5"/>
      <c r="AH8" s="1"/>
      <c r="AI8" s="1"/>
      <c r="AJ8" s="1"/>
    </row>
    <row r="9" spans="1:36">
      <c r="A9" s="36" t="s">
        <v>115</v>
      </c>
      <c r="B9" s="36" t="s">
        <v>118</v>
      </c>
      <c r="C9" s="36" t="s">
        <v>255</v>
      </c>
      <c r="D9" s="36" t="s">
        <v>257</v>
      </c>
      <c r="E9" s="38" t="s">
        <v>255</v>
      </c>
      <c r="F9" s="36"/>
      <c r="G9" s="36" t="s">
        <v>208</v>
      </c>
      <c r="H9" s="36" t="s">
        <v>209</v>
      </c>
      <c r="I9" s="40" t="s">
        <v>130</v>
      </c>
      <c r="J9" s="36" t="s">
        <v>132</v>
      </c>
      <c r="K9" s="36" t="s">
        <v>94</v>
      </c>
      <c r="L9" s="36" t="s">
        <v>134</v>
      </c>
      <c r="M9" s="36" t="s">
        <v>260</v>
      </c>
      <c r="N9" s="36" t="s">
        <v>261</v>
      </c>
      <c r="O9" s="36" t="s">
        <v>118</v>
      </c>
      <c r="P9" s="36" t="s">
        <v>260</v>
      </c>
      <c r="Q9" s="36" t="s">
        <v>263</v>
      </c>
      <c r="R9" s="36" t="s">
        <v>264</v>
      </c>
      <c r="S9" s="42" t="s">
        <v>5075</v>
      </c>
      <c r="T9" s="43" t="s">
        <v>260</v>
      </c>
      <c r="U9" s="44" t="s">
        <v>218</v>
      </c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5"/>
      <c r="AH9" s="1"/>
      <c r="AI9" s="1"/>
      <c r="AJ9" s="1"/>
    </row>
    <row r="10" spans="1:36">
      <c r="A10" s="36" t="s">
        <v>115</v>
      </c>
      <c r="B10" s="36" t="s">
        <v>118</v>
      </c>
      <c r="C10" s="36" t="s">
        <v>269</v>
      </c>
      <c r="D10" s="36" t="s">
        <v>270</v>
      </c>
      <c r="E10" s="38" t="s">
        <v>269</v>
      </c>
      <c r="F10" s="36"/>
      <c r="G10" s="36" t="s">
        <v>272</v>
      </c>
      <c r="H10" s="36" t="s">
        <v>273</v>
      </c>
      <c r="I10" s="40" t="s">
        <v>130</v>
      </c>
      <c r="J10" s="46" t="s">
        <v>94</v>
      </c>
      <c r="K10" s="36" t="s">
        <v>94</v>
      </c>
      <c r="L10" s="36" t="s">
        <v>134</v>
      </c>
      <c r="M10" s="36" t="s">
        <v>276</v>
      </c>
      <c r="N10" s="36" t="s">
        <v>277</v>
      </c>
      <c r="O10" s="36" t="s">
        <v>118</v>
      </c>
      <c r="P10" s="36" t="s">
        <v>276</v>
      </c>
      <c r="Q10" s="36" t="s">
        <v>279</v>
      </c>
      <c r="R10" s="36" t="s">
        <v>164</v>
      </c>
      <c r="S10" s="42" t="s">
        <v>5076</v>
      </c>
      <c r="T10" s="43" t="s">
        <v>281</v>
      </c>
      <c r="U10" s="44" t="s">
        <v>147</v>
      </c>
      <c r="V10" s="43" t="s">
        <v>130</v>
      </c>
      <c r="W10" s="43" t="s">
        <v>130</v>
      </c>
      <c r="X10" s="43" t="s">
        <v>130</v>
      </c>
      <c r="Y10" s="43" t="s">
        <v>130</v>
      </c>
      <c r="Z10" s="43" t="s">
        <v>130</v>
      </c>
      <c r="AA10" s="43" t="s">
        <v>130</v>
      </c>
      <c r="AB10" s="43" t="s">
        <v>130</v>
      </c>
      <c r="AC10" s="43"/>
      <c r="AD10" s="43"/>
      <c r="AE10" s="43"/>
      <c r="AF10" s="43"/>
      <c r="AG10" s="45"/>
      <c r="AH10" s="1"/>
      <c r="AI10" s="1"/>
      <c r="AJ10" s="1"/>
    </row>
    <row r="11" spans="1:36">
      <c r="A11" s="36" t="s">
        <v>115</v>
      </c>
      <c r="B11" s="36" t="s">
        <v>118</v>
      </c>
      <c r="C11" s="36" t="s">
        <v>285</v>
      </c>
      <c r="D11" s="57" t="s">
        <v>287</v>
      </c>
      <c r="E11" s="38" t="s">
        <v>288</v>
      </c>
      <c r="F11" s="36"/>
      <c r="G11" s="36" t="s">
        <v>272</v>
      </c>
      <c r="H11" s="36" t="s">
        <v>273</v>
      </c>
      <c r="I11" s="40" t="s">
        <v>130</v>
      </c>
      <c r="J11" s="36" t="s">
        <v>290</v>
      </c>
      <c r="K11" s="36" t="s">
        <v>94</v>
      </c>
      <c r="L11" s="36" t="s">
        <v>134</v>
      </c>
      <c r="M11" s="36" t="s">
        <v>291</v>
      </c>
      <c r="N11" s="36" t="s">
        <v>294</v>
      </c>
      <c r="O11" s="36" t="s">
        <v>118</v>
      </c>
      <c r="P11" s="36" t="s">
        <v>295</v>
      </c>
      <c r="Q11" s="36" t="s">
        <v>296</v>
      </c>
      <c r="R11" s="36" t="s">
        <v>297</v>
      </c>
      <c r="S11" s="42" t="s">
        <v>5077</v>
      </c>
      <c r="T11" s="43" t="s">
        <v>291</v>
      </c>
      <c r="U11" s="44" t="s">
        <v>147</v>
      </c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5"/>
      <c r="AH11" s="1"/>
      <c r="AI11" s="1"/>
      <c r="AJ11" s="1"/>
    </row>
    <row r="12" spans="1:36">
      <c r="A12" s="36" t="s">
        <v>115</v>
      </c>
      <c r="B12" s="36" t="s">
        <v>118</v>
      </c>
      <c r="C12" s="36" t="s">
        <v>303</v>
      </c>
      <c r="D12" s="36" t="s">
        <v>305</v>
      </c>
      <c r="E12" s="38" t="s">
        <v>303</v>
      </c>
      <c r="F12" s="36"/>
      <c r="G12" s="36" t="s">
        <v>272</v>
      </c>
      <c r="H12" s="36" t="s">
        <v>273</v>
      </c>
      <c r="I12" s="40"/>
      <c r="J12" s="36" t="s">
        <v>159</v>
      </c>
      <c r="K12" s="36" t="s">
        <v>94</v>
      </c>
      <c r="L12" s="36" t="s">
        <v>134</v>
      </c>
      <c r="M12" s="36" t="s">
        <v>309</v>
      </c>
      <c r="N12" s="36" t="s">
        <v>310</v>
      </c>
      <c r="O12" s="36" t="s">
        <v>118</v>
      </c>
      <c r="P12" s="36" t="s">
        <v>311</v>
      </c>
      <c r="Q12" s="36" t="s">
        <v>312</v>
      </c>
      <c r="R12" s="36" t="s">
        <v>313</v>
      </c>
      <c r="S12" s="42" t="s">
        <v>5078</v>
      </c>
      <c r="T12" s="43" t="s">
        <v>311</v>
      </c>
      <c r="U12" s="44" t="s">
        <v>147</v>
      </c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5"/>
      <c r="AH12" s="1"/>
      <c r="AI12" s="1"/>
      <c r="AJ12" s="1"/>
    </row>
    <row r="13" spans="1:36">
      <c r="A13" s="36" t="s">
        <v>115</v>
      </c>
      <c r="B13" s="36" t="s">
        <v>118</v>
      </c>
      <c r="C13" s="36" t="s">
        <v>322</v>
      </c>
      <c r="D13" s="61" t="s">
        <v>323</v>
      </c>
      <c r="E13" s="38" t="s">
        <v>322</v>
      </c>
      <c r="F13" s="36"/>
      <c r="G13" s="36" t="s">
        <v>272</v>
      </c>
      <c r="H13" s="36" t="s">
        <v>273</v>
      </c>
      <c r="I13" s="40"/>
      <c r="J13" s="36" t="s">
        <v>230</v>
      </c>
      <c r="K13" s="36" t="s">
        <v>94</v>
      </c>
      <c r="L13" s="36" t="s">
        <v>134</v>
      </c>
      <c r="M13" s="36" t="s">
        <v>328</v>
      </c>
      <c r="N13" s="36" t="s">
        <v>329</v>
      </c>
      <c r="O13" s="36" t="s">
        <v>118</v>
      </c>
      <c r="P13" s="36" t="s">
        <v>328</v>
      </c>
      <c r="Q13" s="36" t="s">
        <v>330</v>
      </c>
      <c r="R13" s="36" t="s">
        <v>331</v>
      </c>
      <c r="S13" s="42" t="s">
        <v>5079</v>
      </c>
      <c r="T13" s="43" t="s">
        <v>334</v>
      </c>
      <c r="U13" s="44" t="s">
        <v>336</v>
      </c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5"/>
      <c r="AH13" s="1"/>
      <c r="AI13" s="1"/>
      <c r="AJ13" s="1"/>
    </row>
    <row r="14" spans="1:36">
      <c r="A14" s="36" t="s">
        <v>115</v>
      </c>
      <c r="B14" s="36" t="s">
        <v>340</v>
      </c>
      <c r="C14" s="36" t="s">
        <v>341</v>
      </c>
      <c r="D14" s="57" t="s">
        <v>343</v>
      </c>
      <c r="E14" s="38" t="s">
        <v>344</v>
      </c>
      <c r="F14" s="36"/>
      <c r="G14" s="36" t="s">
        <v>345</v>
      </c>
      <c r="H14" s="36" t="s">
        <v>346</v>
      </c>
      <c r="I14" s="40" t="s">
        <v>130</v>
      </c>
      <c r="J14" s="36" t="s">
        <v>132</v>
      </c>
      <c r="K14" s="36" t="s">
        <v>94</v>
      </c>
      <c r="L14" s="36" t="s">
        <v>134</v>
      </c>
      <c r="M14" s="36" t="s">
        <v>348</v>
      </c>
      <c r="N14" s="36" t="s">
        <v>350</v>
      </c>
      <c r="O14" s="36" t="s">
        <v>340</v>
      </c>
      <c r="P14" s="36" t="s">
        <v>348</v>
      </c>
      <c r="Q14" s="36" t="s">
        <v>351</v>
      </c>
      <c r="R14" s="36" t="s">
        <v>352</v>
      </c>
      <c r="S14" s="42" t="s">
        <v>5068</v>
      </c>
      <c r="T14" s="43" t="s">
        <v>348</v>
      </c>
      <c r="U14" s="44" t="s">
        <v>355</v>
      </c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5"/>
      <c r="AH14" s="1"/>
      <c r="AI14" s="1"/>
      <c r="AJ14" s="1"/>
    </row>
    <row r="15" spans="1:36">
      <c r="A15" s="36" t="s">
        <v>115</v>
      </c>
      <c r="B15" s="36" t="s">
        <v>340</v>
      </c>
      <c r="C15" s="36" t="s">
        <v>344</v>
      </c>
      <c r="D15" s="36" t="s">
        <v>358</v>
      </c>
      <c r="E15" s="38" t="s">
        <v>359</v>
      </c>
      <c r="F15" s="36"/>
      <c r="G15" s="36" t="s">
        <v>345</v>
      </c>
      <c r="H15" s="36" t="s">
        <v>346</v>
      </c>
      <c r="I15" s="40"/>
      <c r="J15" s="36" t="s">
        <v>230</v>
      </c>
      <c r="K15" s="36" t="s">
        <v>94</v>
      </c>
      <c r="L15" s="36" t="s">
        <v>134</v>
      </c>
      <c r="M15" s="36" t="s">
        <v>364</v>
      </c>
      <c r="N15" s="36" t="s">
        <v>365</v>
      </c>
      <c r="O15" s="36" t="s">
        <v>340</v>
      </c>
      <c r="P15" s="36" t="s">
        <v>366</v>
      </c>
      <c r="Q15" s="36" t="s">
        <v>367</v>
      </c>
      <c r="R15" s="36" t="s">
        <v>368</v>
      </c>
      <c r="S15" s="42" t="s">
        <v>5079</v>
      </c>
      <c r="T15" s="43" t="s">
        <v>366</v>
      </c>
      <c r="U15" s="44" t="s">
        <v>371</v>
      </c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5"/>
      <c r="AH15" s="1"/>
      <c r="AI15" s="1"/>
      <c r="AJ15" s="1"/>
    </row>
    <row r="16" spans="1:36">
      <c r="A16" s="36" t="s">
        <v>115</v>
      </c>
      <c r="B16" s="36" t="s">
        <v>340</v>
      </c>
      <c r="C16" s="36" t="s">
        <v>374</v>
      </c>
      <c r="D16" s="36" t="s">
        <v>375</v>
      </c>
      <c r="E16" s="38" t="s">
        <v>376</v>
      </c>
      <c r="F16" s="36"/>
      <c r="G16" s="36" t="s">
        <v>345</v>
      </c>
      <c r="H16" s="36" t="s">
        <v>346</v>
      </c>
      <c r="I16" s="40"/>
      <c r="J16" s="36" t="s">
        <v>159</v>
      </c>
      <c r="K16" s="36" t="s">
        <v>94</v>
      </c>
      <c r="L16" s="36" t="s">
        <v>134</v>
      </c>
      <c r="M16" s="36" t="s">
        <v>377</v>
      </c>
      <c r="N16" s="36" t="s">
        <v>378</v>
      </c>
      <c r="O16" s="36" t="s">
        <v>340</v>
      </c>
      <c r="P16" s="36" t="s">
        <v>379</v>
      </c>
      <c r="Q16" s="36" t="s">
        <v>381</v>
      </c>
      <c r="R16" s="36" t="s">
        <v>383</v>
      </c>
      <c r="S16" s="42" t="s">
        <v>5070</v>
      </c>
      <c r="T16" s="43" t="s">
        <v>385</v>
      </c>
      <c r="U16" s="44" t="s">
        <v>371</v>
      </c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5"/>
      <c r="AH16" s="1"/>
      <c r="AI16" s="1"/>
      <c r="AJ16" s="1"/>
    </row>
    <row r="17" spans="1:36">
      <c r="A17" s="36" t="s">
        <v>115</v>
      </c>
      <c r="B17" s="36" t="s">
        <v>340</v>
      </c>
      <c r="C17" s="36" t="s">
        <v>359</v>
      </c>
      <c r="D17" s="36" t="s">
        <v>393</v>
      </c>
      <c r="E17" s="38" t="s">
        <v>394</v>
      </c>
      <c r="F17" s="36"/>
      <c r="G17" s="36" t="s">
        <v>345</v>
      </c>
      <c r="H17" s="36" t="s">
        <v>346</v>
      </c>
      <c r="I17" s="40" t="s">
        <v>130</v>
      </c>
      <c r="J17" s="36" t="s">
        <v>132</v>
      </c>
      <c r="K17" s="36" t="s">
        <v>94</v>
      </c>
      <c r="L17" s="36" t="s">
        <v>134</v>
      </c>
      <c r="M17" s="36" t="s">
        <v>397</v>
      </c>
      <c r="N17" s="36" t="s">
        <v>398</v>
      </c>
      <c r="O17" s="36" t="s">
        <v>340</v>
      </c>
      <c r="P17" s="36" t="s">
        <v>260</v>
      </c>
      <c r="Q17" s="36" t="s">
        <v>399</v>
      </c>
      <c r="R17" s="36" t="s">
        <v>352</v>
      </c>
      <c r="S17" s="42" t="s">
        <v>5080</v>
      </c>
      <c r="T17" s="43" t="s">
        <v>397</v>
      </c>
      <c r="U17" s="44" t="s">
        <v>355</v>
      </c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5"/>
      <c r="AH17" s="1"/>
      <c r="AI17" s="1"/>
      <c r="AJ17" s="1"/>
    </row>
    <row r="18" spans="1:36">
      <c r="A18" s="36" t="s">
        <v>115</v>
      </c>
      <c r="B18" s="36" t="s">
        <v>340</v>
      </c>
      <c r="C18" s="36" t="s">
        <v>376</v>
      </c>
      <c r="D18" s="36" t="s">
        <v>405</v>
      </c>
      <c r="E18" s="38" t="s">
        <v>406</v>
      </c>
      <c r="F18" s="36"/>
      <c r="G18" s="36" t="s">
        <v>345</v>
      </c>
      <c r="H18" s="36" t="s">
        <v>346</v>
      </c>
      <c r="I18" s="40"/>
      <c r="J18" s="36" t="s">
        <v>159</v>
      </c>
      <c r="K18" s="36" t="s">
        <v>94</v>
      </c>
      <c r="L18" s="36" t="s">
        <v>134</v>
      </c>
      <c r="M18" s="36" t="s">
        <v>409</v>
      </c>
      <c r="N18" s="36" t="s">
        <v>410</v>
      </c>
      <c r="O18" s="36" t="s">
        <v>340</v>
      </c>
      <c r="P18" s="36" t="s">
        <v>411</v>
      </c>
      <c r="Q18" s="36" t="s">
        <v>412</v>
      </c>
      <c r="R18" s="36" t="s">
        <v>413</v>
      </c>
      <c r="S18" s="42" t="s">
        <v>5081</v>
      </c>
      <c r="T18" s="43" t="s">
        <v>416</v>
      </c>
      <c r="U18" s="44" t="s">
        <v>355</v>
      </c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5"/>
      <c r="AH18" s="1"/>
      <c r="AI18" s="1"/>
      <c r="AJ18" s="1"/>
    </row>
    <row r="19" spans="1:36">
      <c r="A19" s="36" t="s">
        <v>115</v>
      </c>
      <c r="B19" s="36" t="s">
        <v>340</v>
      </c>
      <c r="C19" s="36" t="s">
        <v>419</v>
      </c>
      <c r="D19" s="57" t="s">
        <v>420</v>
      </c>
      <c r="E19" s="38" t="s">
        <v>421</v>
      </c>
      <c r="F19" s="36"/>
      <c r="G19" s="36" t="s">
        <v>422</v>
      </c>
      <c r="H19" s="36" t="s">
        <v>423</v>
      </c>
      <c r="I19" s="40" t="s">
        <v>130</v>
      </c>
      <c r="J19" s="36" t="s">
        <v>94</v>
      </c>
      <c r="K19" s="36" t="s">
        <v>94</v>
      </c>
      <c r="L19" s="36" t="s">
        <v>134</v>
      </c>
      <c r="M19" s="36" t="s">
        <v>426</v>
      </c>
      <c r="N19" s="36" t="s">
        <v>427</v>
      </c>
      <c r="O19" s="36" t="s">
        <v>340</v>
      </c>
      <c r="P19" s="36" t="s">
        <v>426</v>
      </c>
      <c r="Q19" s="36" t="s">
        <v>428</v>
      </c>
      <c r="R19" s="36" t="s">
        <v>164</v>
      </c>
      <c r="S19" s="42" t="s">
        <v>5082</v>
      </c>
      <c r="T19" s="43"/>
      <c r="U19" s="44" t="s">
        <v>371</v>
      </c>
      <c r="V19" s="43" t="s">
        <v>130</v>
      </c>
      <c r="W19" s="43" t="s">
        <v>130</v>
      </c>
      <c r="X19" s="43" t="s">
        <v>130</v>
      </c>
      <c r="Y19" s="43" t="s">
        <v>130</v>
      </c>
      <c r="Z19" s="43" t="s">
        <v>130</v>
      </c>
      <c r="AA19" s="43" t="s">
        <v>130</v>
      </c>
      <c r="AB19" s="43" t="s">
        <v>130</v>
      </c>
      <c r="AC19" s="43"/>
      <c r="AD19" s="43"/>
      <c r="AE19" s="43"/>
      <c r="AF19" s="43"/>
      <c r="AG19" s="45"/>
      <c r="AH19" s="1"/>
      <c r="AI19" s="1"/>
      <c r="AJ19" s="1"/>
    </row>
    <row r="20" spans="1:36">
      <c r="A20" s="36" t="s">
        <v>115</v>
      </c>
      <c r="B20" s="36" t="s">
        <v>340</v>
      </c>
      <c r="C20" s="36" t="s">
        <v>394</v>
      </c>
      <c r="D20" s="36" t="s">
        <v>432</v>
      </c>
      <c r="E20" s="38" t="s">
        <v>433</v>
      </c>
      <c r="F20" s="36"/>
      <c r="G20" s="36" t="s">
        <v>422</v>
      </c>
      <c r="H20" s="36" t="s">
        <v>423</v>
      </c>
      <c r="I20" s="40" t="s">
        <v>130</v>
      </c>
      <c r="J20" s="36" t="s">
        <v>94</v>
      </c>
      <c r="K20" s="36" t="s">
        <v>94</v>
      </c>
      <c r="L20" s="36" t="s">
        <v>134</v>
      </c>
      <c r="M20" s="36" t="s">
        <v>438</v>
      </c>
      <c r="N20" s="36" t="s">
        <v>439</v>
      </c>
      <c r="O20" s="36" t="s">
        <v>340</v>
      </c>
      <c r="P20" s="36" t="s">
        <v>438</v>
      </c>
      <c r="Q20" s="36" t="s">
        <v>440</v>
      </c>
      <c r="R20" s="36" t="s">
        <v>164</v>
      </c>
      <c r="S20" s="42" t="s">
        <v>5071</v>
      </c>
      <c r="T20" s="43"/>
      <c r="U20" s="44" t="s">
        <v>371</v>
      </c>
      <c r="V20" s="43" t="s">
        <v>130</v>
      </c>
      <c r="W20" s="43" t="s">
        <v>130</v>
      </c>
      <c r="X20" s="43" t="s">
        <v>130</v>
      </c>
      <c r="Y20" s="43" t="s">
        <v>130</v>
      </c>
      <c r="Z20" s="43" t="s">
        <v>130</v>
      </c>
      <c r="AA20" s="43" t="s">
        <v>130</v>
      </c>
      <c r="AB20" s="43" t="s">
        <v>130</v>
      </c>
      <c r="AC20" s="43"/>
      <c r="AD20" s="43"/>
      <c r="AE20" s="43"/>
      <c r="AF20" s="43"/>
      <c r="AG20" s="45"/>
      <c r="AH20" s="1"/>
      <c r="AI20" s="1"/>
      <c r="AJ20" s="1"/>
    </row>
    <row r="21" spans="1:36">
      <c r="A21" s="36" t="s">
        <v>115</v>
      </c>
      <c r="B21" s="36" t="s">
        <v>340</v>
      </c>
      <c r="C21" s="36" t="s">
        <v>406</v>
      </c>
      <c r="D21" s="36" t="s">
        <v>446</v>
      </c>
      <c r="E21" s="38" t="s">
        <v>448</v>
      </c>
      <c r="F21" s="36"/>
      <c r="G21" s="36" t="s">
        <v>422</v>
      </c>
      <c r="H21" s="36" t="s">
        <v>423</v>
      </c>
      <c r="I21" s="40" t="s">
        <v>130</v>
      </c>
      <c r="J21" s="36" t="s">
        <v>94</v>
      </c>
      <c r="K21" s="36" t="s">
        <v>94</v>
      </c>
      <c r="L21" s="36" t="s">
        <v>134</v>
      </c>
      <c r="M21" s="36" t="s">
        <v>450</v>
      </c>
      <c r="N21" s="36" t="s">
        <v>451</v>
      </c>
      <c r="O21" s="36" t="s">
        <v>340</v>
      </c>
      <c r="P21" s="36" t="s">
        <v>450</v>
      </c>
      <c r="Q21" s="36" t="s">
        <v>452</v>
      </c>
      <c r="R21" s="36" t="s">
        <v>164</v>
      </c>
      <c r="S21" s="42" t="s">
        <v>5083</v>
      </c>
      <c r="T21" s="43"/>
      <c r="U21" s="44" t="s">
        <v>371</v>
      </c>
      <c r="V21" s="43" t="s">
        <v>130</v>
      </c>
      <c r="W21" s="43" t="s">
        <v>130</v>
      </c>
      <c r="X21" s="43" t="s">
        <v>130</v>
      </c>
      <c r="Y21" s="43" t="s">
        <v>130</v>
      </c>
      <c r="Z21" s="43" t="s">
        <v>130</v>
      </c>
      <c r="AA21" s="43" t="s">
        <v>130</v>
      </c>
      <c r="AB21" s="43" t="s">
        <v>130</v>
      </c>
      <c r="AC21" s="43"/>
      <c r="AD21" s="43"/>
      <c r="AE21" s="43"/>
      <c r="AF21" s="43"/>
      <c r="AG21" s="45"/>
      <c r="AH21" s="1"/>
      <c r="AI21" s="1"/>
      <c r="AJ21" s="1"/>
    </row>
    <row r="22" spans="1:36">
      <c r="A22" s="36" t="s">
        <v>115</v>
      </c>
      <c r="B22" s="36" t="s">
        <v>457</v>
      </c>
      <c r="C22" s="36" t="s">
        <v>458</v>
      </c>
      <c r="D22" s="36" t="s">
        <v>459</v>
      </c>
      <c r="E22" s="38" t="s">
        <v>460</v>
      </c>
      <c r="F22" s="36"/>
      <c r="G22" s="36" t="s">
        <v>461</v>
      </c>
      <c r="H22" s="36" t="s">
        <v>462</v>
      </c>
      <c r="I22" s="40" t="s">
        <v>130</v>
      </c>
      <c r="J22" s="36" t="s">
        <v>464</v>
      </c>
      <c r="K22" s="36" t="s">
        <v>94</v>
      </c>
      <c r="L22" s="36" t="s">
        <v>134</v>
      </c>
      <c r="M22" s="36" t="s">
        <v>465</v>
      </c>
      <c r="N22" s="36" t="s">
        <v>466</v>
      </c>
      <c r="O22" s="36" t="s">
        <v>340</v>
      </c>
      <c r="P22" s="36" t="s">
        <v>465</v>
      </c>
      <c r="Q22" s="36" t="s">
        <v>468</v>
      </c>
      <c r="R22" s="36" t="s">
        <v>469</v>
      </c>
      <c r="S22" s="42" t="s">
        <v>5076</v>
      </c>
      <c r="T22" s="43" t="s">
        <v>465</v>
      </c>
      <c r="U22" s="44" t="s">
        <v>470</v>
      </c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5"/>
      <c r="AH22" s="1"/>
      <c r="AI22" s="1"/>
      <c r="AJ22" s="1"/>
    </row>
    <row r="23" spans="1:36">
      <c r="A23" s="36" t="s">
        <v>115</v>
      </c>
      <c r="B23" s="36" t="s">
        <v>457</v>
      </c>
      <c r="C23" s="36" t="s">
        <v>472</v>
      </c>
      <c r="D23" s="36" t="s">
        <v>474</v>
      </c>
      <c r="E23" s="38" t="s">
        <v>475</v>
      </c>
      <c r="F23" s="36"/>
      <c r="G23" s="36" t="s">
        <v>461</v>
      </c>
      <c r="H23" s="36" t="s">
        <v>462</v>
      </c>
      <c r="I23" s="40" t="s">
        <v>130</v>
      </c>
      <c r="J23" s="36" t="s">
        <v>464</v>
      </c>
      <c r="K23" s="36" t="s">
        <v>94</v>
      </c>
      <c r="L23" s="36" t="s">
        <v>134</v>
      </c>
      <c r="M23" s="36" t="s">
        <v>478</v>
      </c>
      <c r="N23" s="36" t="s">
        <v>480</v>
      </c>
      <c r="O23" s="36" t="s">
        <v>457</v>
      </c>
      <c r="P23" s="36" t="s">
        <v>478</v>
      </c>
      <c r="Q23" s="36" t="s">
        <v>481</v>
      </c>
      <c r="R23" s="36" t="s">
        <v>469</v>
      </c>
      <c r="S23" s="42" t="s">
        <v>5084</v>
      </c>
      <c r="T23" s="43" t="s">
        <v>483</v>
      </c>
      <c r="U23" s="44" t="s">
        <v>470</v>
      </c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5"/>
      <c r="AH23" s="1"/>
      <c r="AI23" s="1"/>
      <c r="AJ23" s="1"/>
    </row>
    <row r="24" spans="1:36">
      <c r="A24" s="36" t="s">
        <v>115</v>
      </c>
      <c r="B24" s="36" t="s">
        <v>457</v>
      </c>
      <c r="C24" s="36" t="s">
        <v>487</v>
      </c>
      <c r="D24" s="36" t="s">
        <v>488</v>
      </c>
      <c r="E24" s="38" t="s">
        <v>490</v>
      </c>
      <c r="F24" s="36"/>
      <c r="G24" s="36" t="s">
        <v>461</v>
      </c>
      <c r="H24" s="36" t="s">
        <v>462</v>
      </c>
      <c r="I24" s="40" t="s">
        <v>130</v>
      </c>
      <c r="J24" s="36" t="s">
        <v>94</v>
      </c>
      <c r="K24" s="36" t="s">
        <v>94</v>
      </c>
      <c r="L24" s="36" t="s">
        <v>134</v>
      </c>
      <c r="M24" s="36" t="s">
        <v>493</v>
      </c>
      <c r="N24" s="36" t="s">
        <v>494</v>
      </c>
      <c r="O24" s="36" t="s">
        <v>457</v>
      </c>
      <c r="P24" s="36" t="s">
        <v>493</v>
      </c>
      <c r="Q24" s="36" t="s">
        <v>496</v>
      </c>
      <c r="R24" s="36" t="s">
        <v>164</v>
      </c>
      <c r="S24" s="42" t="s">
        <v>5070</v>
      </c>
      <c r="T24" s="43" t="s">
        <v>500</v>
      </c>
      <c r="U24" s="44" t="s">
        <v>501</v>
      </c>
      <c r="V24" s="43" t="s">
        <v>130</v>
      </c>
      <c r="W24" s="43" t="s">
        <v>130</v>
      </c>
      <c r="X24" s="43" t="s">
        <v>130</v>
      </c>
      <c r="Y24" s="43" t="s">
        <v>130</v>
      </c>
      <c r="Z24" s="43" t="s">
        <v>130</v>
      </c>
      <c r="AA24" s="43" t="s">
        <v>130</v>
      </c>
      <c r="AB24" s="43" t="s">
        <v>130</v>
      </c>
      <c r="AC24" s="43"/>
      <c r="AD24" s="43"/>
      <c r="AE24" s="43"/>
      <c r="AF24" s="43"/>
      <c r="AG24" s="45"/>
      <c r="AH24" s="1"/>
      <c r="AI24" s="1"/>
      <c r="AJ24" s="1"/>
    </row>
    <row r="25" spans="1:36">
      <c r="A25" s="36" t="s">
        <v>115</v>
      </c>
      <c r="B25" s="36" t="s">
        <v>457</v>
      </c>
      <c r="C25" s="36" t="s">
        <v>507</v>
      </c>
      <c r="D25" s="36" t="s">
        <v>508</v>
      </c>
      <c r="E25" s="38" t="s">
        <v>509</v>
      </c>
      <c r="F25" s="36"/>
      <c r="G25" s="36" t="s">
        <v>511</v>
      </c>
      <c r="H25" s="36" t="s">
        <v>512</v>
      </c>
      <c r="I25" s="40"/>
      <c r="J25" s="36" t="s">
        <v>230</v>
      </c>
      <c r="K25" s="36" t="s">
        <v>94</v>
      </c>
      <c r="L25" s="36" t="s">
        <v>134</v>
      </c>
      <c r="M25" s="36" t="s">
        <v>514</v>
      </c>
      <c r="N25" s="36" t="s">
        <v>515</v>
      </c>
      <c r="O25" s="36" t="s">
        <v>457</v>
      </c>
      <c r="P25" s="36" t="s">
        <v>514</v>
      </c>
      <c r="Q25" s="36" t="s">
        <v>516</v>
      </c>
      <c r="R25" s="36" t="s">
        <v>517</v>
      </c>
      <c r="S25" s="42" t="s">
        <v>5080</v>
      </c>
      <c r="T25" s="43" t="s">
        <v>519</v>
      </c>
      <c r="U25" s="44" t="s">
        <v>520</v>
      </c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5"/>
      <c r="AH25" s="1"/>
      <c r="AI25" s="1"/>
      <c r="AJ25" s="1"/>
    </row>
    <row r="26" spans="1:36">
      <c r="A26" s="36" t="s">
        <v>115</v>
      </c>
      <c r="B26" s="36" t="s">
        <v>457</v>
      </c>
      <c r="C26" s="36" t="s">
        <v>525</v>
      </c>
      <c r="D26" s="36" t="s">
        <v>526</v>
      </c>
      <c r="E26" s="38" t="s">
        <v>527</v>
      </c>
      <c r="F26" s="36"/>
      <c r="G26" s="36" t="s">
        <v>511</v>
      </c>
      <c r="H26" s="36" t="s">
        <v>512</v>
      </c>
      <c r="I26" s="40"/>
      <c r="J26" s="36" t="s">
        <v>230</v>
      </c>
      <c r="K26" s="36" t="s">
        <v>94</v>
      </c>
      <c r="L26" s="36" t="s">
        <v>134</v>
      </c>
      <c r="M26" s="36" t="s">
        <v>530</v>
      </c>
      <c r="N26" s="36" t="s">
        <v>531</v>
      </c>
      <c r="O26" s="36" t="s">
        <v>457</v>
      </c>
      <c r="P26" s="36" t="s">
        <v>530</v>
      </c>
      <c r="Q26" s="36" t="s">
        <v>534</v>
      </c>
      <c r="R26" s="36" t="s">
        <v>535</v>
      </c>
      <c r="S26" s="42" t="s">
        <v>5081</v>
      </c>
      <c r="T26" s="43" t="s">
        <v>537</v>
      </c>
      <c r="U26" s="44" t="s">
        <v>520</v>
      </c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5"/>
      <c r="AH26" s="1"/>
      <c r="AI26" s="1"/>
      <c r="AJ26" s="1"/>
    </row>
    <row r="27" spans="1:36">
      <c r="A27" s="36" t="s">
        <v>115</v>
      </c>
      <c r="B27" s="36" t="s">
        <v>457</v>
      </c>
      <c r="C27" s="36" t="s">
        <v>543</v>
      </c>
      <c r="D27" s="36" t="s">
        <v>544</v>
      </c>
      <c r="E27" s="38" t="s">
        <v>545</v>
      </c>
      <c r="F27" s="36"/>
      <c r="G27" s="36" t="s">
        <v>511</v>
      </c>
      <c r="H27" s="36" t="s">
        <v>512</v>
      </c>
      <c r="I27" s="40" t="s">
        <v>130</v>
      </c>
      <c r="J27" s="46" t="s">
        <v>94</v>
      </c>
      <c r="K27" s="36" t="s">
        <v>94</v>
      </c>
      <c r="L27" s="36" t="s">
        <v>134</v>
      </c>
      <c r="M27" s="36" t="s">
        <v>548</v>
      </c>
      <c r="N27" s="36" t="s">
        <v>549</v>
      </c>
      <c r="O27" s="36" t="s">
        <v>457</v>
      </c>
      <c r="P27" s="36" t="s">
        <v>548</v>
      </c>
      <c r="Q27" s="36" t="s">
        <v>550</v>
      </c>
      <c r="R27" s="36" t="s">
        <v>551</v>
      </c>
      <c r="S27" s="42" t="s">
        <v>5082</v>
      </c>
      <c r="T27" s="43" t="s">
        <v>554</v>
      </c>
      <c r="U27" s="44" t="s">
        <v>520</v>
      </c>
      <c r="V27" s="43" t="s">
        <v>130</v>
      </c>
      <c r="W27" s="43" t="s">
        <v>130</v>
      </c>
      <c r="X27" s="43" t="s">
        <v>130</v>
      </c>
      <c r="Y27" s="43" t="s">
        <v>130</v>
      </c>
      <c r="Z27" s="43" t="s">
        <v>130</v>
      </c>
      <c r="AA27" s="43" t="s">
        <v>130</v>
      </c>
      <c r="AB27" s="43" t="s">
        <v>130</v>
      </c>
      <c r="AC27" s="43"/>
      <c r="AD27" s="43"/>
      <c r="AE27" s="43"/>
      <c r="AF27" s="43"/>
      <c r="AG27" s="45"/>
      <c r="AH27" s="1"/>
      <c r="AI27" s="1"/>
      <c r="AJ27" s="1"/>
    </row>
    <row r="28" spans="1:36">
      <c r="A28" s="36" t="s">
        <v>115</v>
      </c>
      <c r="B28" s="36" t="s">
        <v>457</v>
      </c>
      <c r="C28" s="36" t="s">
        <v>558</v>
      </c>
      <c r="D28" s="36" t="s">
        <v>559</v>
      </c>
      <c r="E28" s="38" t="s">
        <v>560</v>
      </c>
      <c r="F28" s="36"/>
      <c r="G28" s="36" t="s">
        <v>511</v>
      </c>
      <c r="H28" s="36" t="s">
        <v>512</v>
      </c>
      <c r="I28" s="40" t="s">
        <v>130</v>
      </c>
      <c r="J28" s="46" t="s">
        <v>94</v>
      </c>
      <c r="K28" s="36" t="s">
        <v>94</v>
      </c>
      <c r="L28" s="36" t="s">
        <v>134</v>
      </c>
      <c r="M28" s="36" t="s">
        <v>562</v>
      </c>
      <c r="N28" s="36" t="s">
        <v>563</v>
      </c>
      <c r="O28" s="36" t="s">
        <v>457</v>
      </c>
      <c r="P28" s="36" t="s">
        <v>562</v>
      </c>
      <c r="Q28" s="36" t="s">
        <v>565</v>
      </c>
      <c r="R28" s="36" t="s">
        <v>551</v>
      </c>
      <c r="S28" s="42" t="s">
        <v>5071</v>
      </c>
      <c r="T28" s="43" t="s">
        <v>566</v>
      </c>
      <c r="U28" s="44" t="s">
        <v>520</v>
      </c>
      <c r="V28" s="43" t="s">
        <v>130</v>
      </c>
      <c r="W28" s="43" t="s">
        <v>130</v>
      </c>
      <c r="X28" s="43" t="s">
        <v>130</v>
      </c>
      <c r="Y28" s="43" t="s">
        <v>130</v>
      </c>
      <c r="Z28" s="43" t="s">
        <v>130</v>
      </c>
      <c r="AA28" s="43" t="s">
        <v>130</v>
      </c>
      <c r="AB28" s="43" t="s">
        <v>130</v>
      </c>
      <c r="AC28" s="43"/>
      <c r="AD28" s="43"/>
      <c r="AE28" s="43"/>
      <c r="AF28" s="43"/>
      <c r="AG28" s="45"/>
      <c r="AH28" s="1"/>
      <c r="AI28" s="1"/>
      <c r="AJ28" s="1"/>
    </row>
    <row r="29" spans="1:36">
      <c r="A29" s="36" t="s">
        <v>115</v>
      </c>
      <c r="B29" s="36" t="s">
        <v>457</v>
      </c>
      <c r="C29" s="36" t="s">
        <v>572</v>
      </c>
      <c r="D29" s="57" t="s">
        <v>573</v>
      </c>
      <c r="E29" s="38" t="s">
        <v>574</v>
      </c>
      <c r="F29" s="36"/>
      <c r="G29" s="36" t="s">
        <v>575</v>
      </c>
      <c r="H29" s="36" t="s">
        <v>576</v>
      </c>
      <c r="I29" s="40"/>
      <c r="J29" s="36" t="s">
        <v>94</v>
      </c>
      <c r="K29" s="36" t="s">
        <v>94</v>
      </c>
      <c r="L29" s="36" t="s">
        <v>134</v>
      </c>
      <c r="M29" s="36" t="s">
        <v>578</v>
      </c>
      <c r="N29" s="36" t="s">
        <v>579</v>
      </c>
      <c r="O29" s="36" t="s">
        <v>580</v>
      </c>
      <c r="P29" s="36" t="s">
        <v>578</v>
      </c>
      <c r="Q29" s="36" t="s">
        <v>583</v>
      </c>
      <c r="R29" s="36" t="s">
        <v>584</v>
      </c>
      <c r="S29" s="42" t="s">
        <v>5069</v>
      </c>
      <c r="T29" s="43" t="s">
        <v>586</v>
      </c>
      <c r="U29" s="44" t="s">
        <v>587</v>
      </c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5"/>
      <c r="AH29" s="1"/>
      <c r="AI29" s="1"/>
      <c r="AJ29" s="1"/>
    </row>
    <row r="30" spans="1:36">
      <c r="A30" s="36" t="s">
        <v>115</v>
      </c>
      <c r="B30" s="36" t="s">
        <v>457</v>
      </c>
      <c r="C30" s="36" t="s">
        <v>591</v>
      </c>
      <c r="D30" s="36" t="s">
        <v>592</v>
      </c>
      <c r="E30" s="38" t="s">
        <v>593</v>
      </c>
      <c r="F30" s="36"/>
      <c r="G30" s="36" t="s">
        <v>575</v>
      </c>
      <c r="H30" s="36" t="s">
        <v>576</v>
      </c>
      <c r="I30" s="40" t="s">
        <v>130</v>
      </c>
      <c r="J30" s="46" t="s">
        <v>94</v>
      </c>
      <c r="K30" s="36" t="s">
        <v>94</v>
      </c>
      <c r="L30" s="36" t="s">
        <v>134</v>
      </c>
      <c r="M30" s="36" t="s">
        <v>595</v>
      </c>
      <c r="N30" s="36" t="s">
        <v>596</v>
      </c>
      <c r="O30" s="36" t="s">
        <v>580</v>
      </c>
      <c r="P30" s="36" t="s">
        <v>595</v>
      </c>
      <c r="Q30" s="36" t="s">
        <v>597</v>
      </c>
      <c r="R30" s="36" t="s">
        <v>551</v>
      </c>
      <c r="S30" s="42" t="s">
        <v>5077</v>
      </c>
      <c r="T30" s="43" t="s">
        <v>599</v>
      </c>
      <c r="U30" s="44" t="s">
        <v>587</v>
      </c>
      <c r="V30" s="43"/>
      <c r="W30" s="43"/>
      <c r="X30" s="43"/>
      <c r="Y30" s="43"/>
      <c r="Z30" s="43"/>
      <c r="AA30" s="43" t="s">
        <v>130</v>
      </c>
      <c r="AB30" s="43" t="s">
        <v>130</v>
      </c>
      <c r="AC30" s="43"/>
      <c r="AD30" s="43"/>
      <c r="AE30" s="43"/>
      <c r="AF30" s="43"/>
      <c r="AG30" s="45"/>
      <c r="AH30" s="1"/>
      <c r="AI30" s="1"/>
      <c r="AJ30" s="1"/>
    </row>
    <row r="31" spans="1:36">
      <c r="A31" s="36" t="s">
        <v>115</v>
      </c>
      <c r="B31" s="36" t="s">
        <v>457</v>
      </c>
      <c r="C31" s="36" t="s">
        <v>509</v>
      </c>
      <c r="D31" s="36" t="s">
        <v>605</v>
      </c>
      <c r="E31" s="38" t="s">
        <v>606</v>
      </c>
      <c r="F31" s="36"/>
      <c r="G31" s="36" t="s">
        <v>575</v>
      </c>
      <c r="H31" s="36" t="s">
        <v>576</v>
      </c>
      <c r="I31" s="40" t="s">
        <v>130</v>
      </c>
      <c r="J31" s="46" t="s">
        <v>94</v>
      </c>
      <c r="K31" s="36" t="s">
        <v>94</v>
      </c>
      <c r="L31" s="36" t="s">
        <v>134</v>
      </c>
      <c r="M31" s="36" t="s">
        <v>610</v>
      </c>
      <c r="N31" s="36" t="s">
        <v>611</v>
      </c>
      <c r="O31" s="36" t="s">
        <v>580</v>
      </c>
      <c r="P31" s="36" t="s">
        <v>610</v>
      </c>
      <c r="Q31" s="36" t="s">
        <v>612</v>
      </c>
      <c r="R31" s="36" t="s">
        <v>551</v>
      </c>
      <c r="S31" s="42" t="s">
        <v>5085</v>
      </c>
      <c r="T31" s="43" t="s">
        <v>614</v>
      </c>
      <c r="U31" s="44" t="s">
        <v>587</v>
      </c>
      <c r="V31" s="43" t="s">
        <v>130</v>
      </c>
      <c r="W31" s="43" t="s">
        <v>130</v>
      </c>
      <c r="X31" s="43" t="s">
        <v>130</v>
      </c>
      <c r="Y31" s="43" t="s">
        <v>130</v>
      </c>
      <c r="Z31" s="43" t="s">
        <v>130</v>
      </c>
      <c r="AA31" s="43" t="s">
        <v>130</v>
      </c>
      <c r="AB31" s="43"/>
      <c r="AC31" s="43"/>
      <c r="AD31" s="43"/>
      <c r="AE31" s="43"/>
      <c r="AF31" s="43"/>
      <c r="AG31" s="45"/>
      <c r="AH31" s="1"/>
      <c r="AI31" s="1"/>
      <c r="AJ31" s="1"/>
    </row>
    <row r="32" spans="1:36">
      <c r="A32" s="36" t="s">
        <v>115</v>
      </c>
      <c r="B32" s="36" t="s">
        <v>457</v>
      </c>
      <c r="C32" s="36" t="s">
        <v>527</v>
      </c>
      <c r="D32" s="36" t="s">
        <v>619</v>
      </c>
      <c r="E32" s="38" t="s">
        <v>620</v>
      </c>
      <c r="F32" s="36"/>
      <c r="G32" s="36" t="s">
        <v>575</v>
      </c>
      <c r="H32" s="36" t="s">
        <v>576</v>
      </c>
      <c r="I32" s="40"/>
      <c r="J32" s="36" t="s">
        <v>159</v>
      </c>
      <c r="K32" s="36" t="s">
        <v>94</v>
      </c>
      <c r="L32" s="36" t="s">
        <v>134</v>
      </c>
      <c r="M32" s="36" t="s">
        <v>621</v>
      </c>
      <c r="N32" s="36" t="s">
        <v>623</v>
      </c>
      <c r="O32" s="36" t="s">
        <v>580</v>
      </c>
      <c r="P32" s="36" t="s">
        <v>621</v>
      </c>
      <c r="Q32" s="36" t="s">
        <v>624</v>
      </c>
      <c r="R32" s="36" t="s">
        <v>625</v>
      </c>
      <c r="S32" s="42" t="s">
        <v>5078</v>
      </c>
      <c r="T32" s="43" t="s">
        <v>628</v>
      </c>
      <c r="U32" s="44" t="s">
        <v>587</v>
      </c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5"/>
      <c r="AH32" s="1"/>
      <c r="AI32" s="1"/>
      <c r="AJ32" s="1"/>
    </row>
    <row r="33" spans="1:36">
      <c r="A33" s="36" t="s">
        <v>115</v>
      </c>
      <c r="B33" s="36" t="s">
        <v>457</v>
      </c>
      <c r="C33" s="36" t="s">
        <v>560</v>
      </c>
      <c r="D33" s="36" t="s">
        <v>629</v>
      </c>
      <c r="E33" s="38" t="s">
        <v>630</v>
      </c>
      <c r="F33" s="36"/>
      <c r="G33" s="36" t="s">
        <v>575</v>
      </c>
      <c r="H33" s="36" t="s">
        <v>576</v>
      </c>
      <c r="I33" s="40" t="s">
        <v>130</v>
      </c>
      <c r="J33" s="36" t="s">
        <v>132</v>
      </c>
      <c r="K33" s="36" t="s">
        <v>94</v>
      </c>
      <c r="L33" s="36" t="s">
        <v>134</v>
      </c>
      <c r="M33" s="36" t="s">
        <v>634</v>
      </c>
      <c r="N33" s="36" t="s">
        <v>635</v>
      </c>
      <c r="O33" s="36" t="s">
        <v>580</v>
      </c>
      <c r="P33" s="36" t="s">
        <v>634</v>
      </c>
      <c r="Q33" s="36" t="s">
        <v>637</v>
      </c>
      <c r="R33" s="36" t="s">
        <v>638</v>
      </c>
      <c r="S33" s="42" t="s">
        <v>5072</v>
      </c>
      <c r="T33" s="43" t="s">
        <v>634</v>
      </c>
      <c r="U33" s="44" t="s">
        <v>587</v>
      </c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5"/>
      <c r="AH33" s="1"/>
      <c r="AI33" s="1"/>
      <c r="AJ33" s="1"/>
    </row>
    <row r="34" spans="1:36">
      <c r="A34" s="36" t="s">
        <v>115</v>
      </c>
      <c r="B34" s="36" t="s">
        <v>457</v>
      </c>
      <c r="C34" s="36" t="s">
        <v>645</v>
      </c>
      <c r="D34" s="57" t="s">
        <v>646</v>
      </c>
      <c r="E34" s="38" t="s">
        <v>458</v>
      </c>
      <c r="F34" s="36"/>
      <c r="G34" s="36" t="s">
        <v>435</v>
      </c>
      <c r="H34" s="36" t="s">
        <v>649</v>
      </c>
      <c r="I34" s="40"/>
      <c r="J34" s="46" t="s">
        <v>650</v>
      </c>
      <c r="K34" s="36" t="s">
        <v>94</v>
      </c>
      <c r="L34" s="36" t="s">
        <v>134</v>
      </c>
      <c r="M34" s="36" t="s">
        <v>652</v>
      </c>
      <c r="N34" s="36" t="s">
        <v>653</v>
      </c>
      <c r="O34" s="36" t="s">
        <v>457</v>
      </c>
      <c r="P34" s="36" t="s">
        <v>656</v>
      </c>
      <c r="Q34" s="36" t="s">
        <v>657</v>
      </c>
      <c r="R34" s="36" t="s">
        <v>658</v>
      </c>
      <c r="S34" s="42" t="s">
        <v>5074</v>
      </c>
      <c r="T34" s="43" t="s">
        <v>652</v>
      </c>
      <c r="U34" s="44" t="s">
        <v>501</v>
      </c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5"/>
      <c r="AH34" s="1"/>
      <c r="AI34" s="1"/>
      <c r="AJ34" s="1"/>
    </row>
    <row r="35" spans="1:36">
      <c r="A35" s="36" t="s">
        <v>115</v>
      </c>
      <c r="B35" s="36" t="s">
        <v>457</v>
      </c>
      <c r="C35" s="36" t="s">
        <v>663</v>
      </c>
      <c r="D35" s="36" t="s">
        <v>664</v>
      </c>
      <c r="E35" s="38" t="s">
        <v>663</v>
      </c>
      <c r="F35" s="36"/>
      <c r="G35" s="36" t="s">
        <v>666</v>
      </c>
      <c r="H35" s="36" t="s">
        <v>667</v>
      </c>
      <c r="I35" s="40" t="s">
        <v>130</v>
      </c>
      <c r="J35" s="46" t="s">
        <v>94</v>
      </c>
      <c r="K35" s="36" t="s">
        <v>94</v>
      </c>
      <c r="L35" s="36" t="s">
        <v>134</v>
      </c>
      <c r="M35" s="36" t="s">
        <v>668</v>
      </c>
      <c r="N35" s="36" t="s">
        <v>669</v>
      </c>
      <c r="O35" s="36" t="s">
        <v>457</v>
      </c>
      <c r="P35" s="36" t="s">
        <v>668</v>
      </c>
      <c r="Q35" s="36" t="s">
        <v>672</v>
      </c>
      <c r="R35" s="36" t="s">
        <v>551</v>
      </c>
      <c r="S35" s="42" t="s">
        <v>5068</v>
      </c>
      <c r="T35" s="43" t="s">
        <v>674</v>
      </c>
      <c r="U35" s="44" t="s">
        <v>501</v>
      </c>
      <c r="V35" s="43" t="s">
        <v>130</v>
      </c>
      <c r="W35" s="43" t="s">
        <v>130</v>
      </c>
      <c r="X35" s="43" t="s">
        <v>130</v>
      </c>
      <c r="Y35" s="43" t="s">
        <v>130</v>
      </c>
      <c r="Z35" s="43" t="s">
        <v>130</v>
      </c>
      <c r="AA35" s="43" t="s">
        <v>130</v>
      </c>
      <c r="AB35" s="43"/>
      <c r="AC35" s="43"/>
      <c r="AD35" s="43"/>
      <c r="AE35" s="43"/>
      <c r="AF35" s="43"/>
      <c r="AG35" s="45"/>
      <c r="AH35" s="1"/>
      <c r="AI35" s="1"/>
      <c r="AJ35" s="1"/>
    </row>
    <row r="36" spans="1:36">
      <c r="A36" s="36" t="s">
        <v>115</v>
      </c>
      <c r="B36" s="36" t="s">
        <v>457</v>
      </c>
      <c r="C36" s="36" t="s">
        <v>679</v>
      </c>
      <c r="D36" s="36" t="s">
        <v>680</v>
      </c>
      <c r="E36" s="38" t="s">
        <v>679</v>
      </c>
      <c r="F36" s="36"/>
      <c r="G36" s="36" t="s">
        <v>666</v>
      </c>
      <c r="H36" s="36" t="s">
        <v>667</v>
      </c>
      <c r="I36" s="40"/>
      <c r="J36" s="36" t="s">
        <v>94</v>
      </c>
      <c r="K36" s="36" t="s">
        <v>94</v>
      </c>
      <c r="L36" s="36" t="s">
        <v>134</v>
      </c>
      <c r="M36" s="36" t="s">
        <v>683</v>
      </c>
      <c r="N36" s="36" t="s">
        <v>684</v>
      </c>
      <c r="O36" s="36" t="s">
        <v>457</v>
      </c>
      <c r="P36" s="36" t="s">
        <v>683</v>
      </c>
      <c r="Q36" s="36" t="s">
        <v>687</v>
      </c>
      <c r="R36" s="36" t="s">
        <v>688</v>
      </c>
      <c r="S36" s="42" t="s">
        <v>5079</v>
      </c>
      <c r="T36" s="43" t="s">
        <v>689</v>
      </c>
      <c r="U36" s="44" t="s">
        <v>470</v>
      </c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5"/>
      <c r="AH36" s="1"/>
      <c r="AI36" s="1"/>
      <c r="AJ36" s="1"/>
    </row>
    <row r="37" spans="1:36">
      <c r="A37" s="36" t="s">
        <v>690</v>
      </c>
      <c r="B37" s="36" t="s">
        <v>691</v>
      </c>
      <c r="C37" s="36" t="s">
        <v>693</v>
      </c>
      <c r="D37" s="61" t="s">
        <v>695</v>
      </c>
      <c r="E37" s="38" t="s">
        <v>696</v>
      </c>
      <c r="F37" s="36" t="s">
        <v>130</v>
      </c>
      <c r="G37" s="36" t="s">
        <v>698</v>
      </c>
      <c r="H37" s="36" t="s">
        <v>699</v>
      </c>
      <c r="I37" s="40" t="s">
        <v>130</v>
      </c>
      <c r="J37" s="36" t="s">
        <v>94</v>
      </c>
      <c r="K37" s="36" t="s">
        <v>94</v>
      </c>
      <c r="L37" s="36" t="s">
        <v>702</v>
      </c>
      <c r="M37" s="36" t="s">
        <v>703</v>
      </c>
      <c r="N37" s="36" t="s">
        <v>704</v>
      </c>
      <c r="O37" s="36" t="s">
        <v>706</v>
      </c>
      <c r="P37" s="36" t="s">
        <v>703</v>
      </c>
      <c r="Q37" s="36" t="s">
        <v>707</v>
      </c>
      <c r="R37" s="36" t="s">
        <v>551</v>
      </c>
      <c r="S37" s="42" t="s">
        <v>5086</v>
      </c>
      <c r="T37" s="43" t="s">
        <v>709</v>
      </c>
      <c r="U37" s="44" t="s">
        <v>710</v>
      </c>
      <c r="V37" s="43" t="s">
        <v>130</v>
      </c>
      <c r="W37" s="43" t="s">
        <v>130</v>
      </c>
      <c r="X37" s="43" t="s">
        <v>130</v>
      </c>
      <c r="Y37" s="43" t="s">
        <v>130</v>
      </c>
      <c r="Z37" s="43" t="s">
        <v>130</v>
      </c>
      <c r="AA37" s="43" t="s">
        <v>130</v>
      </c>
      <c r="AB37" s="43" t="s">
        <v>130</v>
      </c>
      <c r="AC37" s="43"/>
      <c r="AD37" s="43"/>
      <c r="AE37" s="43"/>
      <c r="AF37" s="43"/>
      <c r="AG37" s="45"/>
      <c r="AH37" s="1"/>
      <c r="AI37" s="1"/>
      <c r="AJ37" s="1"/>
    </row>
    <row r="38" spans="1:36">
      <c r="A38" s="36" t="s">
        <v>690</v>
      </c>
      <c r="B38" s="36" t="s">
        <v>691</v>
      </c>
      <c r="C38" s="36" t="s">
        <v>714</v>
      </c>
      <c r="D38" s="36" t="s">
        <v>715</v>
      </c>
      <c r="E38" s="38" t="s">
        <v>716</v>
      </c>
      <c r="F38" s="36" t="s">
        <v>130</v>
      </c>
      <c r="G38" s="36" t="s">
        <v>698</v>
      </c>
      <c r="H38" s="36" t="s">
        <v>699</v>
      </c>
      <c r="I38" s="40"/>
      <c r="J38" s="36" t="s">
        <v>94</v>
      </c>
      <c r="K38" s="36" t="s">
        <v>94</v>
      </c>
      <c r="L38" s="36" t="s">
        <v>702</v>
      </c>
      <c r="M38" s="36" t="s">
        <v>718</v>
      </c>
      <c r="N38" s="36" t="s">
        <v>720</v>
      </c>
      <c r="O38" s="36" t="s">
        <v>706</v>
      </c>
      <c r="P38" s="36" t="s">
        <v>718</v>
      </c>
      <c r="Q38" s="36" t="s">
        <v>722</v>
      </c>
      <c r="R38" s="36" t="s">
        <v>723</v>
      </c>
      <c r="S38" s="42" t="s">
        <v>5087</v>
      </c>
      <c r="T38" s="43" t="s">
        <v>726</v>
      </c>
      <c r="U38" s="44" t="s">
        <v>728</v>
      </c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5"/>
      <c r="AH38" s="1"/>
      <c r="AI38" s="1"/>
      <c r="AJ38" s="1"/>
    </row>
    <row r="39" spans="1:36">
      <c r="A39" s="36" t="s">
        <v>690</v>
      </c>
      <c r="B39" s="36" t="s">
        <v>691</v>
      </c>
      <c r="C39" s="36" t="s">
        <v>733</v>
      </c>
      <c r="D39" s="36" t="s">
        <v>734</v>
      </c>
      <c r="E39" s="38" t="s">
        <v>736</v>
      </c>
      <c r="F39" s="36" t="s">
        <v>130</v>
      </c>
      <c r="G39" s="36" t="s">
        <v>698</v>
      </c>
      <c r="H39" s="36" t="s">
        <v>699</v>
      </c>
      <c r="I39" s="40"/>
      <c r="J39" s="36" t="s">
        <v>94</v>
      </c>
      <c r="K39" s="36" t="s">
        <v>94</v>
      </c>
      <c r="L39" s="36" t="s">
        <v>702</v>
      </c>
      <c r="M39" s="36" t="s">
        <v>739</v>
      </c>
      <c r="N39" s="36" t="s">
        <v>740</v>
      </c>
      <c r="O39" s="36" t="s">
        <v>706</v>
      </c>
      <c r="P39" s="36" t="s">
        <v>739</v>
      </c>
      <c r="Q39" s="36" t="s">
        <v>743</v>
      </c>
      <c r="R39" s="36" t="s">
        <v>744</v>
      </c>
      <c r="S39" s="42" t="s">
        <v>5088</v>
      </c>
      <c r="T39" s="43" t="s">
        <v>746</v>
      </c>
      <c r="U39" s="44" t="s">
        <v>728</v>
      </c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5"/>
      <c r="AH39" s="1"/>
      <c r="AI39" s="1"/>
      <c r="AJ39" s="1"/>
    </row>
    <row r="40" spans="1:36">
      <c r="A40" s="36" t="s">
        <v>690</v>
      </c>
      <c r="B40" s="36" t="s">
        <v>691</v>
      </c>
      <c r="C40" s="36" t="s">
        <v>752</v>
      </c>
      <c r="D40" s="57" t="s">
        <v>754</v>
      </c>
      <c r="E40" s="38" t="s">
        <v>755</v>
      </c>
      <c r="F40" s="36" t="s">
        <v>130</v>
      </c>
      <c r="G40" s="36" t="s">
        <v>698</v>
      </c>
      <c r="H40" s="36" t="s">
        <v>699</v>
      </c>
      <c r="I40" s="40"/>
      <c r="J40" s="36" t="s">
        <v>94</v>
      </c>
      <c r="K40" s="36" t="s">
        <v>94</v>
      </c>
      <c r="L40" s="36" t="s">
        <v>702</v>
      </c>
      <c r="M40" s="36" t="s">
        <v>757</v>
      </c>
      <c r="N40" s="36" t="s">
        <v>758</v>
      </c>
      <c r="O40" s="36" t="s">
        <v>706</v>
      </c>
      <c r="P40" s="36" t="s">
        <v>757</v>
      </c>
      <c r="Q40" s="36" t="s">
        <v>759</v>
      </c>
      <c r="R40" s="36" t="s">
        <v>760</v>
      </c>
      <c r="S40" s="42" t="s">
        <v>5089</v>
      </c>
      <c r="T40" s="43" t="s">
        <v>763</v>
      </c>
      <c r="U40" s="44" t="s">
        <v>728</v>
      </c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5"/>
      <c r="AH40" s="1"/>
      <c r="AI40" s="1"/>
      <c r="AJ40" s="1"/>
    </row>
    <row r="41" spans="1:36">
      <c r="A41" s="36" t="s">
        <v>690</v>
      </c>
      <c r="B41" s="36" t="s">
        <v>691</v>
      </c>
      <c r="C41" s="36" t="s">
        <v>768</v>
      </c>
      <c r="D41" s="36" t="s">
        <v>769</v>
      </c>
      <c r="E41" s="38" t="s">
        <v>770</v>
      </c>
      <c r="F41" s="36" t="s">
        <v>130</v>
      </c>
      <c r="G41" s="36" t="s">
        <v>698</v>
      </c>
      <c r="H41" s="36" t="s">
        <v>699</v>
      </c>
      <c r="I41" s="40" t="s">
        <v>130</v>
      </c>
      <c r="J41" s="36" t="s">
        <v>94</v>
      </c>
      <c r="K41" s="36" t="s">
        <v>94</v>
      </c>
      <c r="L41" s="36" t="s">
        <v>702</v>
      </c>
      <c r="M41" s="36" t="s">
        <v>773</v>
      </c>
      <c r="N41" s="36" t="s">
        <v>774</v>
      </c>
      <c r="O41" s="36" t="s">
        <v>706</v>
      </c>
      <c r="P41" s="36" t="s">
        <v>773</v>
      </c>
      <c r="Q41" s="36" t="s">
        <v>776</v>
      </c>
      <c r="R41" s="36" t="s">
        <v>164</v>
      </c>
      <c r="S41" s="42" t="s">
        <v>5090</v>
      </c>
      <c r="T41" s="43" t="s">
        <v>779</v>
      </c>
      <c r="U41" s="44" t="s">
        <v>728</v>
      </c>
      <c r="V41" s="43" t="s">
        <v>130</v>
      </c>
      <c r="W41" s="43" t="s">
        <v>130</v>
      </c>
      <c r="X41" s="43" t="s">
        <v>130</v>
      </c>
      <c r="Y41" s="43" t="s">
        <v>130</v>
      </c>
      <c r="Z41" s="43" t="s">
        <v>130</v>
      </c>
      <c r="AA41" s="43" t="s">
        <v>130</v>
      </c>
      <c r="AB41" s="43" t="s">
        <v>130</v>
      </c>
      <c r="AC41" s="43"/>
      <c r="AD41" s="43"/>
      <c r="AE41" s="43"/>
      <c r="AF41" s="43"/>
      <c r="AG41" s="45"/>
      <c r="AH41" s="1"/>
      <c r="AI41" s="1"/>
      <c r="AJ41" s="1"/>
    </row>
    <row r="42" spans="1:36">
      <c r="A42" s="36" t="s">
        <v>690</v>
      </c>
      <c r="B42" s="36" t="s">
        <v>691</v>
      </c>
      <c r="C42" s="36" t="s">
        <v>782</v>
      </c>
      <c r="D42" s="36" t="s">
        <v>784</v>
      </c>
      <c r="E42" s="38" t="s">
        <v>786</v>
      </c>
      <c r="F42" s="36" t="s">
        <v>130</v>
      </c>
      <c r="G42" s="36" t="s">
        <v>787</v>
      </c>
      <c r="H42" s="36" t="s">
        <v>789</v>
      </c>
      <c r="I42" s="40"/>
      <c r="J42" s="36" t="s">
        <v>787</v>
      </c>
      <c r="K42" s="36" t="s">
        <v>94</v>
      </c>
      <c r="L42" s="36" t="s">
        <v>702</v>
      </c>
      <c r="M42" s="36" t="s">
        <v>790</v>
      </c>
      <c r="N42" s="36" t="s">
        <v>792</v>
      </c>
      <c r="O42" s="36" t="s">
        <v>706</v>
      </c>
      <c r="P42" s="36" t="s">
        <v>790</v>
      </c>
      <c r="Q42" s="36" t="s">
        <v>794</v>
      </c>
      <c r="R42" s="36" t="s">
        <v>795</v>
      </c>
      <c r="S42" s="42" t="s">
        <v>5084</v>
      </c>
      <c r="T42" s="43" t="s">
        <v>798</v>
      </c>
      <c r="U42" s="44" t="s">
        <v>728</v>
      </c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5"/>
      <c r="AH42" s="1"/>
      <c r="AI42" s="1"/>
      <c r="AJ42" s="1"/>
    </row>
    <row r="43" spans="1:36">
      <c r="A43" s="36" t="s">
        <v>690</v>
      </c>
      <c r="B43" s="36" t="s">
        <v>691</v>
      </c>
      <c r="C43" s="36" t="s">
        <v>802</v>
      </c>
      <c r="D43" s="61" t="s">
        <v>803</v>
      </c>
      <c r="E43" s="38" t="s">
        <v>804</v>
      </c>
      <c r="F43" s="36" t="s">
        <v>130</v>
      </c>
      <c r="G43" s="36" t="s">
        <v>805</v>
      </c>
      <c r="H43" s="36" t="s">
        <v>807</v>
      </c>
      <c r="I43" s="40"/>
      <c r="J43" s="36" t="s">
        <v>159</v>
      </c>
      <c r="K43" s="36" t="s">
        <v>94</v>
      </c>
      <c r="L43" s="36" t="s">
        <v>702</v>
      </c>
      <c r="M43" s="36" t="s">
        <v>808</v>
      </c>
      <c r="N43" s="36" t="s">
        <v>809</v>
      </c>
      <c r="O43" s="36" t="s">
        <v>706</v>
      </c>
      <c r="P43" s="36" t="s">
        <v>808</v>
      </c>
      <c r="Q43" s="36" t="s">
        <v>810</v>
      </c>
      <c r="R43" s="36" t="s">
        <v>811</v>
      </c>
      <c r="S43" s="42" t="s">
        <v>5091</v>
      </c>
      <c r="T43" s="43" t="s">
        <v>816</v>
      </c>
      <c r="U43" s="44" t="s">
        <v>728</v>
      </c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5"/>
      <c r="AH43" s="1"/>
      <c r="AI43" s="1"/>
      <c r="AJ43" s="1"/>
    </row>
    <row r="44" spans="1:36">
      <c r="A44" s="36" t="s">
        <v>690</v>
      </c>
      <c r="B44" s="36" t="s">
        <v>691</v>
      </c>
      <c r="C44" s="36" t="s">
        <v>821</v>
      </c>
      <c r="D44" s="36" t="s">
        <v>822</v>
      </c>
      <c r="E44" s="38" t="s">
        <v>823</v>
      </c>
      <c r="F44" s="36"/>
      <c r="G44" s="36" t="s">
        <v>805</v>
      </c>
      <c r="H44" s="36" t="s">
        <v>807</v>
      </c>
      <c r="I44" s="40"/>
      <c r="J44" s="36" t="s">
        <v>94</v>
      </c>
      <c r="K44" s="36" t="s">
        <v>94</v>
      </c>
      <c r="L44" s="36" t="s">
        <v>702</v>
      </c>
      <c r="M44" s="36" t="s">
        <v>825</v>
      </c>
      <c r="N44" s="36" t="s">
        <v>826</v>
      </c>
      <c r="O44" s="36" t="s">
        <v>706</v>
      </c>
      <c r="P44" s="36" t="s">
        <v>825</v>
      </c>
      <c r="Q44" s="36" t="s">
        <v>827</v>
      </c>
      <c r="R44" s="36" t="s">
        <v>828</v>
      </c>
      <c r="S44" s="42" t="s">
        <v>5092</v>
      </c>
      <c r="T44" s="43" t="s">
        <v>830</v>
      </c>
      <c r="U44" s="44" t="s">
        <v>728</v>
      </c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5"/>
      <c r="AH44" s="1"/>
      <c r="AI44" s="1"/>
      <c r="AJ44" s="1"/>
    </row>
    <row r="45" spans="1:36">
      <c r="A45" s="36" t="s">
        <v>690</v>
      </c>
      <c r="B45" s="36" t="s">
        <v>691</v>
      </c>
      <c r="C45" s="36" t="s">
        <v>837</v>
      </c>
      <c r="D45" s="36" t="s">
        <v>838</v>
      </c>
      <c r="E45" s="38" t="s">
        <v>839</v>
      </c>
      <c r="F45" s="36"/>
      <c r="G45" s="36" t="s">
        <v>805</v>
      </c>
      <c r="H45" s="36" t="s">
        <v>807</v>
      </c>
      <c r="I45" s="40" t="s">
        <v>130</v>
      </c>
      <c r="J45" s="36" t="s">
        <v>94</v>
      </c>
      <c r="K45" s="36" t="s">
        <v>94</v>
      </c>
      <c r="L45" s="36" t="s">
        <v>702</v>
      </c>
      <c r="M45" s="36" t="s">
        <v>841</v>
      </c>
      <c r="N45" s="36" t="s">
        <v>842</v>
      </c>
      <c r="O45" s="36" t="s">
        <v>706</v>
      </c>
      <c r="P45" s="36" t="s">
        <v>841</v>
      </c>
      <c r="Q45" s="36" t="s">
        <v>843</v>
      </c>
      <c r="R45" s="36" t="s">
        <v>164</v>
      </c>
      <c r="S45" s="42" t="s">
        <v>5093</v>
      </c>
      <c r="T45" s="43" t="s">
        <v>845</v>
      </c>
      <c r="U45" s="44" t="s">
        <v>728</v>
      </c>
      <c r="V45" s="43" t="s">
        <v>130</v>
      </c>
      <c r="W45" s="43" t="s">
        <v>130</v>
      </c>
      <c r="X45" s="43" t="s">
        <v>130</v>
      </c>
      <c r="Y45" s="43" t="s">
        <v>130</v>
      </c>
      <c r="Z45" s="43" t="s">
        <v>130</v>
      </c>
      <c r="AA45" s="43" t="s">
        <v>130</v>
      </c>
      <c r="AB45" s="43" t="s">
        <v>130</v>
      </c>
      <c r="AC45" s="43"/>
      <c r="AD45" s="43"/>
      <c r="AE45" s="43"/>
      <c r="AF45" s="43"/>
      <c r="AG45" s="45"/>
      <c r="AH45" s="1"/>
      <c r="AI45" s="1"/>
      <c r="AJ45" s="1"/>
    </row>
    <row r="46" spans="1:36">
      <c r="A46" s="36" t="s">
        <v>690</v>
      </c>
      <c r="B46" s="36" t="s">
        <v>691</v>
      </c>
      <c r="C46" s="36" t="s">
        <v>849</v>
      </c>
      <c r="D46" s="61" t="s">
        <v>850</v>
      </c>
      <c r="E46" s="38" t="s">
        <v>851</v>
      </c>
      <c r="F46" s="36" t="s">
        <v>130</v>
      </c>
      <c r="G46" s="36" t="s">
        <v>805</v>
      </c>
      <c r="H46" s="36" t="s">
        <v>807</v>
      </c>
      <c r="I46" s="40" t="s">
        <v>130</v>
      </c>
      <c r="J46" s="36" t="s">
        <v>94</v>
      </c>
      <c r="K46" s="36" t="s">
        <v>94</v>
      </c>
      <c r="L46" s="36" t="s">
        <v>702</v>
      </c>
      <c r="M46" s="36" t="s">
        <v>854</v>
      </c>
      <c r="N46" s="36" t="s">
        <v>855</v>
      </c>
      <c r="O46" s="36" t="s">
        <v>706</v>
      </c>
      <c r="P46" s="36" t="s">
        <v>854</v>
      </c>
      <c r="Q46" s="36" t="s">
        <v>856</v>
      </c>
      <c r="R46" s="36" t="s">
        <v>164</v>
      </c>
      <c r="S46" s="42" t="s">
        <v>5094</v>
      </c>
      <c r="T46" s="43" t="s">
        <v>858</v>
      </c>
      <c r="U46" s="44" t="s">
        <v>728</v>
      </c>
      <c r="V46" s="43" t="s">
        <v>130</v>
      </c>
      <c r="W46" s="43" t="s">
        <v>130</v>
      </c>
      <c r="X46" s="43" t="s">
        <v>130</v>
      </c>
      <c r="Y46" s="43" t="s">
        <v>130</v>
      </c>
      <c r="Z46" s="43" t="s">
        <v>130</v>
      </c>
      <c r="AA46" s="43" t="s">
        <v>130</v>
      </c>
      <c r="AB46" s="43"/>
      <c r="AC46" s="43"/>
      <c r="AD46" s="43"/>
      <c r="AE46" s="43"/>
      <c r="AF46" s="43"/>
      <c r="AG46" s="45"/>
      <c r="AH46" s="1"/>
      <c r="AI46" s="1"/>
      <c r="AJ46" s="1"/>
    </row>
    <row r="47" spans="1:36">
      <c r="A47" s="36" t="s">
        <v>690</v>
      </c>
      <c r="B47" s="36" t="s">
        <v>691</v>
      </c>
      <c r="C47" s="36" t="s">
        <v>861</v>
      </c>
      <c r="D47" s="36" t="s">
        <v>862</v>
      </c>
      <c r="E47" s="38" t="s">
        <v>863</v>
      </c>
      <c r="F47" s="36"/>
      <c r="G47" s="36" t="s">
        <v>805</v>
      </c>
      <c r="H47" s="36" t="s">
        <v>807</v>
      </c>
      <c r="I47" s="40"/>
      <c r="J47" s="36" t="s">
        <v>94</v>
      </c>
      <c r="K47" s="36" t="s">
        <v>94</v>
      </c>
      <c r="L47" s="36" t="s">
        <v>702</v>
      </c>
      <c r="M47" s="36" t="s">
        <v>865</v>
      </c>
      <c r="N47" s="36" t="s">
        <v>866</v>
      </c>
      <c r="O47" s="36" t="s">
        <v>706</v>
      </c>
      <c r="P47" s="36" t="s">
        <v>868</v>
      </c>
      <c r="Q47" s="36" t="s">
        <v>869</v>
      </c>
      <c r="R47" s="36" t="s">
        <v>870</v>
      </c>
      <c r="S47" s="42" t="s">
        <v>5095</v>
      </c>
      <c r="T47" s="43" t="s">
        <v>872</v>
      </c>
      <c r="U47" s="44" t="s">
        <v>728</v>
      </c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5"/>
      <c r="AH47" s="1"/>
      <c r="AI47" s="1"/>
      <c r="AJ47" s="1"/>
    </row>
    <row r="48" spans="1:36">
      <c r="A48" s="36" t="s">
        <v>690</v>
      </c>
      <c r="B48" s="36" t="s">
        <v>691</v>
      </c>
      <c r="C48" s="36" t="s">
        <v>876</v>
      </c>
      <c r="D48" s="36" t="s">
        <v>877</v>
      </c>
      <c r="E48" s="38" t="s">
        <v>878</v>
      </c>
      <c r="F48" s="36"/>
      <c r="G48" s="36" t="s">
        <v>805</v>
      </c>
      <c r="H48" s="36" t="s">
        <v>807</v>
      </c>
      <c r="I48" s="40"/>
      <c r="J48" s="36" t="s">
        <v>94</v>
      </c>
      <c r="K48" s="36" t="s">
        <v>94</v>
      </c>
      <c r="L48" s="36" t="s">
        <v>702</v>
      </c>
      <c r="M48" s="36" t="s">
        <v>880</v>
      </c>
      <c r="N48" s="36" t="s">
        <v>881</v>
      </c>
      <c r="O48" s="36" t="s">
        <v>706</v>
      </c>
      <c r="P48" s="36" t="s">
        <v>883</v>
      </c>
      <c r="Q48" s="36" t="s">
        <v>884</v>
      </c>
      <c r="R48" s="36" t="s">
        <v>885</v>
      </c>
      <c r="S48" s="42" t="s">
        <v>5096</v>
      </c>
      <c r="T48" s="43" t="s">
        <v>887</v>
      </c>
      <c r="U48" s="44" t="s">
        <v>728</v>
      </c>
      <c r="V48" s="43"/>
      <c r="W48" s="43"/>
      <c r="X48" s="43"/>
      <c r="Y48" s="43"/>
      <c r="Z48" s="43"/>
      <c r="AA48" s="43"/>
      <c r="AB48" s="43" t="s">
        <v>130</v>
      </c>
      <c r="AC48" s="43"/>
      <c r="AD48" s="43"/>
      <c r="AE48" s="43"/>
      <c r="AF48" s="43"/>
      <c r="AG48" s="45"/>
      <c r="AH48" s="1"/>
      <c r="AI48" s="1"/>
      <c r="AJ48" s="1"/>
    </row>
    <row r="49" spans="1:36">
      <c r="A49" s="36" t="s">
        <v>690</v>
      </c>
      <c r="B49" s="36" t="s">
        <v>691</v>
      </c>
      <c r="C49" s="36" t="s">
        <v>890</v>
      </c>
      <c r="D49" s="36" t="s">
        <v>891</v>
      </c>
      <c r="E49" s="38" t="s">
        <v>892</v>
      </c>
      <c r="F49" s="36"/>
      <c r="G49" s="36" t="s">
        <v>893</v>
      </c>
      <c r="H49" s="36" t="s">
        <v>894</v>
      </c>
      <c r="I49" s="40" t="s">
        <v>130</v>
      </c>
      <c r="J49" s="36" t="s">
        <v>94</v>
      </c>
      <c r="K49" s="36" t="s">
        <v>94</v>
      </c>
      <c r="L49" s="36" t="s">
        <v>702</v>
      </c>
      <c r="M49" s="36" t="s">
        <v>895</v>
      </c>
      <c r="N49" s="36" t="s">
        <v>896</v>
      </c>
      <c r="O49" s="36" t="s">
        <v>897</v>
      </c>
      <c r="P49" s="36" t="s">
        <v>895</v>
      </c>
      <c r="Q49" s="36" t="s">
        <v>899</v>
      </c>
      <c r="R49" s="36" t="s">
        <v>164</v>
      </c>
      <c r="S49" s="42" t="s">
        <v>5075</v>
      </c>
      <c r="T49" s="43" t="s">
        <v>901</v>
      </c>
      <c r="U49" s="44" t="s">
        <v>728</v>
      </c>
      <c r="V49" s="43" t="s">
        <v>130</v>
      </c>
      <c r="W49" s="43" t="s">
        <v>130</v>
      </c>
      <c r="X49" s="43" t="s">
        <v>130</v>
      </c>
      <c r="Y49" s="43" t="s">
        <v>130</v>
      </c>
      <c r="Z49" s="43" t="s">
        <v>130</v>
      </c>
      <c r="AA49" s="43" t="s">
        <v>130</v>
      </c>
      <c r="AB49" s="43" t="s">
        <v>130</v>
      </c>
      <c r="AC49" s="43"/>
      <c r="AD49" s="43"/>
      <c r="AE49" s="43"/>
      <c r="AF49" s="43"/>
      <c r="AG49" s="45"/>
      <c r="AH49" s="1"/>
      <c r="AI49" s="1"/>
      <c r="AJ49" s="1"/>
    </row>
    <row r="50" spans="1:36">
      <c r="A50" s="36" t="s">
        <v>690</v>
      </c>
      <c r="B50" s="36" t="s">
        <v>691</v>
      </c>
      <c r="C50" s="36" t="s">
        <v>905</v>
      </c>
      <c r="D50" s="36" t="s">
        <v>906</v>
      </c>
      <c r="E50" s="38" t="s">
        <v>907</v>
      </c>
      <c r="F50" s="36"/>
      <c r="G50" s="36" t="s">
        <v>893</v>
      </c>
      <c r="H50" s="36" t="s">
        <v>894</v>
      </c>
      <c r="I50" s="40" t="s">
        <v>130</v>
      </c>
      <c r="J50" s="36" t="s">
        <v>94</v>
      </c>
      <c r="K50" s="36" t="s">
        <v>94</v>
      </c>
      <c r="L50" s="36" t="s">
        <v>702</v>
      </c>
      <c r="M50" s="36" t="s">
        <v>912</v>
      </c>
      <c r="N50" s="36" t="s">
        <v>913</v>
      </c>
      <c r="O50" s="36" t="s">
        <v>897</v>
      </c>
      <c r="P50" s="36" t="s">
        <v>912</v>
      </c>
      <c r="Q50" s="36" t="s">
        <v>915</v>
      </c>
      <c r="R50" s="36" t="s">
        <v>164</v>
      </c>
      <c r="S50" s="42" t="s">
        <v>5097</v>
      </c>
      <c r="T50" s="43" t="s">
        <v>918</v>
      </c>
      <c r="U50" s="44" t="s">
        <v>728</v>
      </c>
      <c r="V50" s="43" t="s">
        <v>130</v>
      </c>
      <c r="W50" s="43" t="s">
        <v>130</v>
      </c>
      <c r="X50" s="43" t="s">
        <v>130</v>
      </c>
      <c r="Y50" s="43" t="s">
        <v>130</v>
      </c>
      <c r="Z50" s="43" t="s">
        <v>130</v>
      </c>
      <c r="AA50" s="43" t="s">
        <v>130</v>
      </c>
      <c r="AB50" s="43" t="s">
        <v>130</v>
      </c>
      <c r="AC50" s="43"/>
      <c r="AD50" s="43"/>
      <c r="AE50" s="43"/>
      <c r="AF50" s="43"/>
      <c r="AG50" s="45"/>
      <c r="AH50" s="1"/>
      <c r="AI50" s="1"/>
      <c r="AJ50" s="1"/>
    </row>
    <row r="51" spans="1:36">
      <c r="A51" s="36" t="s">
        <v>690</v>
      </c>
      <c r="B51" s="36" t="s">
        <v>691</v>
      </c>
      <c r="C51" s="36" t="s">
        <v>922</v>
      </c>
      <c r="D51" s="36" t="s">
        <v>923</v>
      </c>
      <c r="E51" s="38" t="s">
        <v>924</v>
      </c>
      <c r="F51" s="36" t="s">
        <v>130</v>
      </c>
      <c r="G51" s="36" t="s">
        <v>893</v>
      </c>
      <c r="H51" s="36" t="s">
        <v>894</v>
      </c>
      <c r="I51" s="40"/>
      <c r="J51" s="36" t="s">
        <v>159</v>
      </c>
      <c r="K51" s="36" t="s">
        <v>94</v>
      </c>
      <c r="L51" s="36" t="s">
        <v>702</v>
      </c>
      <c r="M51" s="36" t="s">
        <v>927</v>
      </c>
      <c r="N51" s="36" t="s">
        <v>928</v>
      </c>
      <c r="O51" s="36" t="s">
        <v>897</v>
      </c>
      <c r="P51" s="36" t="s">
        <v>927</v>
      </c>
      <c r="Q51" s="36" t="s">
        <v>931</v>
      </c>
      <c r="R51" s="36" t="s">
        <v>933</v>
      </c>
      <c r="S51" s="42" t="s">
        <v>5098</v>
      </c>
      <c r="T51" s="43" t="s">
        <v>935</v>
      </c>
      <c r="U51" s="44" t="s">
        <v>728</v>
      </c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5"/>
      <c r="AH51" s="1"/>
      <c r="AI51" s="1"/>
      <c r="AJ51" s="1"/>
    </row>
    <row r="52" spans="1:36">
      <c r="A52" s="36" t="s">
        <v>690</v>
      </c>
      <c r="B52" s="36" t="s">
        <v>691</v>
      </c>
      <c r="C52" s="36" t="s">
        <v>940</v>
      </c>
      <c r="D52" s="36" t="s">
        <v>941</v>
      </c>
      <c r="E52" s="38" t="s">
        <v>942</v>
      </c>
      <c r="F52" s="36" t="s">
        <v>130</v>
      </c>
      <c r="G52" s="36" t="s">
        <v>893</v>
      </c>
      <c r="H52" s="36" t="s">
        <v>894</v>
      </c>
      <c r="I52" s="40"/>
      <c r="J52" s="36" t="s">
        <v>159</v>
      </c>
      <c r="K52" s="36" t="s">
        <v>94</v>
      </c>
      <c r="L52" s="36" t="s">
        <v>702</v>
      </c>
      <c r="M52" s="36" t="s">
        <v>944</v>
      </c>
      <c r="N52" s="36" t="s">
        <v>945</v>
      </c>
      <c r="O52" s="36" t="s">
        <v>897</v>
      </c>
      <c r="P52" s="36" t="s">
        <v>946</v>
      </c>
      <c r="Q52" s="36" t="s">
        <v>947</v>
      </c>
      <c r="R52" s="36" t="s">
        <v>948</v>
      </c>
      <c r="S52" s="42" t="s">
        <v>5099</v>
      </c>
      <c r="T52" s="43" t="s">
        <v>950</v>
      </c>
      <c r="U52" s="44" t="s">
        <v>728</v>
      </c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5"/>
      <c r="AH52" s="1"/>
      <c r="AI52" s="1"/>
      <c r="AJ52" s="1"/>
    </row>
    <row r="53" spans="1:36">
      <c r="A53" s="36" t="s">
        <v>690</v>
      </c>
      <c r="B53" s="36" t="s">
        <v>691</v>
      </c>
      <c r="C53" s="36" t="s">
        <v>954</v>
      </c>
      <c r="D53" s="61" t="s">
        <v>955</v>
      </c>
      <c r="E53" s="38" t="s">
        <v>956</v>
      </c>
      <c r="F53" s="36" t="s">
        <v>130</v>
      </c>
      <c r="G53" s="36" t="s">
        <v>957</v>
      </c>
      <c r="H53" s="36" t="s">
        <v>958</v>
      </c>
      <c r="I53" s="40" t="s">
        <v>130</v>
      </c>
      <c r="J53" s="36" t="s">
        <v>94</v>
      </c>
      <c r="K53" s="36" t="s">
        <v>94</v>
      </c>
      <c r="L53" s="36" t="s">
        <v>702</v>
      </c>
      <c r="M53" s="36" t="s">
        <v>959</v>
      </c>
      <c r="N53" s="36" t="s">
        <v>961</v>
      </c>
      <c r="O53" s="36" t="s">
        <v>897</v>
      </c>
      <c r="P53" s="36" t="s">
        <v>959</v>
      </c>
      <c r="Q53" s="36" t="s">
        <v>962</v>
      </c>
      <c r="R53" s="36" t="s">
        <v>164</v>
      </c>
      <c r="S53" s="42" t="s">
        <v>5100</v>
      </c>
      <c r="T53" s="43" t="s">
        <v>964</v>
      </c>
      <c r="U53" s="44" t="s">
        <v>728</v>
      </c>
      <c r="V53" s="43"/>
      <c r="W53" s="43" t="s">
        <v>130</v>
      </c>
      <c r="X53" s="43" t="s">
        <v>130</v>
      </c>
      <c r="Y53" s="43" t="s">
        <v>130</v>
      </c>
      <c r="Z53" s="43" t="s">
        <v>130</v>
      </c>
      <c r="AA53" s="43" t="s">
        <v>130</v>
      </c>
      <c r="AB53" s="43"/>
      <c r="AC53" s="43"/>
      <c r="AD53" s="43"/>
      <c r="AE53" s="43"/>
      <c r="AF53" s="43"/>
      <c r="AG53" s="45"/>
      <c r="AH53" s="1"/>
      <c r="AI53" s="1"/>
      <c r="AJ53" s="1"/>
    </row>
    <row r="54" spans="1:36">
      <c r="A54" s="36" t="s">
        <v>690</v>
      </c>
      <c r="B54" s="36" t="s">
        <v>691</v>
      </c>
      <c r="C54" s="36" t="s">
        <v>968</v>
      </c>
      <c r="D54" s="36" t="s">
        <v>969</v>
      </c>
      <c r="E54" s="38" t="s">
        <v>970</v>
      </c>
      <c r="F54" s="36" t="s">
        <v>130</v>
      </c>
      <c r="G54" s="36" t="s">
        <v>957</v>
      </c>
      <c r="H54" s="36" t="s">
        <v>958</v>
      </c>
      <c r="I54" s="40"/>
      <c r="J54" s="36" t="s">
        <v>94</v>
      </c>
      <c r="K54" s="36" t="s">
        <v>94</v>
      </c>
      <c r="L54" s="36" t="s">
        <v>702</v>
      </c>
      <c r="M54" s="36" t="s">
        <v>972</v>
      </c>
      <c r="N54" s="36" t="s">
        <v>973</v>
      </c>
      <c r="O54" s="36" t="s">
        <v>897</v>
      </c>
      <c r="P54" s="36" t="s">
        <v>972</v>
      </c>
      <c r="Q54" s="36" t="s">
        <v>975</v>
      </c>
      <c r="R54" s="36" t="s">
        <v>976</v>
      </c>
      <c r="S54" s="42" t="s">
        <v>5101</v>
      </c>
      <c r="T54" s="43" t="s">
        <v>978</v>
      </c>
      <c r="U54" s="44" t="s">
        <v>728</v>
      </c>
      <c r="V54" s="43" t="s">
        <v>130</v>
      </c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5"/>
      <c r="AH54" s="1"/>
      <c r="AI54" s="1"/>
      <c r="AJ54" s="1"/>
    </row>
    <row r="55" spans="1:36">
      <c r="A55" s="36" t="s">
        <v>690</v>
      </c>
      <c r="B55" s="36" t="s">
        <v>691</v>
      </c>
      <c r="C55" s="36" t="s">
        <v>981</v>
      </c>
      <c r="D55" s="36" t="s">
        <v>982</v>
      </c>
      <c r="E55" s="38" t="s">
        <v>983</v>
      </c>
      <c r="F55" s="36" t="s">
        <v>130</v>
      </c>
      <c r="G55" s="36" t="s">
        <v>957</v>
      </c>
      <c r="H55" s="36" t="s">
        <v>958</v>
      </c>
      <c r="I55" s="40"/>
      <c r="J55" s="36" t="s">
        <v>230</v>
      </c>
      <c r="K55" s="36" t="s">
        <v>94</v>
      </c>
      <c r="L55" s="36" t="s">
        <v>702</v>
      </c>
      <c r="M55" s="36" t="s">
        <v>985</v>
      </c>
      <c r="N55" s="36" t="s">
        <v>986</v>
      </c>
      <c r="O55" s="36" t="s">
        <v>897</v>
      </c>
      <c r="P55" s="36" t="s">
        <v>985</v>
      </c>
      <c r="Q55" s="36" t="s">
        <v>988</v>
      </c>
      <c r="R55" s="36" t="s">
        <v>989</v>
      </c>
      <c r="S55" s="42" t="s">
        <v>5102</v>
      </c>
      <c r="T55" s="43" t="s">
        <v>990</v>
      </c>
      <c r="U55" s="44" t="s">
        <v>728</v>
      </c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5"/>
      <c r="AH55" s="1"/>
      <c r="AI55" s="1"/>
      <c r="AJ55" s="1"/>
    </row>
    <row r="56" spans="1:36">
      <c r="A56" s="36" t="s">
        <v>690</v>
      </c>
      <c r="B56" s="36" t="s">
        <v>691</v>
      </c>
      <c r="C56" s="36" t="s">
        <v>994</v>
      </c>
      <c r="D56" s="36" t="s">
        <v>995</v>
      </c>
      <c r="E56" s="38" t="s">
        <v>996</v>
      </c>
      <c r="F56" s="36"/>
      <c r="G56" s="36" t="s">
        <v>957</v>
      </c>
      <c r="H56" s="36" t="s">
        <v>958</v>
      </c>
      <c r="I56" s="40" t="s">
        <v>130</v>
      </c>
      <c r="J56" s="36" t="s">
        <v>94</v>
      </c>
      <c r="K56" s="36" t="s">
        <v>94</v>
      </c>
      <c r="L56" s="36" t="s">
        <v>702</v>
      </c>
      <c r="M56" s="36" t="s">
        <v>1001</v>
      </c>
      <c r="N56" s="36" t="s">
        <v>1002</v>
      </c>
      <c r="O56" s="36" t="s">
        <v>897</v>
      </c>
      <c r="P56" s="36" t="s">
        <v>1001</v>
      </c>
      <c r="Q56" s="36" t="s">
        <v>1004</v>
      </c>
      <c r="R56" s="36" t="s">
        <v>164</v>
      </c>
      <c r="S56" s="42" t="s">
        <v>5103</v>
      </c>
      <c r="T56" s="43" t="s">
        <v>1006</v>
      </c>
      <c r="U56" s="44" t="s">
        <v>728</v>
      </c>
      <c r="V56" s="43"/>
      <c r="W56" s="43"/>
      <c r="X56" s="43" t="s">
        <v>130</v>
      </c>
      <c r="Y56" s="43" t="s">
        <v>130</v>
      </c>
      <c r="Z56" s="43" t="s">
        <v>130</v>
      </c>
      <c r="AA56" s="43" t="s">
        <v>130</v>
      </c>
      <c r="AB56" s="43" t="s">
        <v>130</v>
      </c>
      <c r="AC56" s="43"/>
      <c r="AD56" s="43"/>
      <c r="AE56" s="43"/>
      <c r="AF56" s="43"/>
      <c r="AG56" s="45"/>
      <c r="AH56" s="1"/>
      <c r="AI56" s="1"/>
      <c r="AJ56" s="1"/>
    </row>
    <row r="57" spans="1:36">
      <c r="A57" s="36" t="s">
        <v>690</v>
      </c>
      <c r="B57" s="36" t="s">
        <v>691</v>
      </c>
      <c r="C57" s="36" t="s">
        <v>1011</v>
      </c>
      <c r="D57" s="36" t="s">
        <v>1012</v>
      </c>
      <c r="E57" s="38" t="s">
        <v>1013</v>
      </c>
      <c r="F57" s="36" t="s">
        <v>130</v>
      </c>
      <c r="G57" s="36" t="s">
        <v>957</v>
      </c>
      <c r="H57" s="36" t="s">
        <v>958</v>
      </c>
      <c r="I57" s="40"/>
      <c r="J57" s="36" t="s">
        <v>1014</v>
      </c>
      <c r="K57" s="36" t="s">
        <v>94</v>
      </c>
      <c r="L57" s="36" t="s">
        <v>702</v>
      </c>
      <c r="M57" s="36" t="s">
        <v>1018</v>
      </c>
      <c r="N57" s="36" t="s">
        <v>1019</v>
      </c>
      <c r="O57" s="36" t="s">
        <v>897</v>
      </c>
      <c r="P57" s="36" t="s">
        <v>1018</v>
      </c>
      <c r="Q57" s="36" t="s">
        <v>1022</v>
      </c>
      <c r="R57" s="36" t="s">
        <v>1023</v>
      </c>
      <c r="S57" s="42" t="s">
        <v>5104</v>
      </c>
      <c r="T57" s="43" t="s">
        <v>1026</v>
      </c>
      <c r="U57" s="44" t="s">
        <v>728</v>
      </c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5"/>
      <c r="AH57" s="1"/>
      <c r="AI57" s="1"/>
      <c r="AJ57" s="1"/>
    </row>
    <row r="58" spans="1:36">
      <c r="A58" s="36" t="s">
        <v>690</v>
      </c>
      <c r="B58" s="36" t="s">
        <v>691</v>
      </c>
      <c r="C58" s="36" t="s">
        <v>1029</v>
      </c>
      <c r="D58" s="36" t="s">
        <v>1030</v>
      </c>
      <c r="E58" s="38" t="s">
        <v>1031</v>
      </c>
      <c r="F58" s="36"/>
      <c r="G58" s="36" t="s">
        <v>1032</v>
      </c>
      <c r="H58" s="36" t="s">
        <v>1033</v>
      </c>
      <c r="I58" s="40"/>
      <c r="J58" s="36" t="s">
        <v>230</v>
      </c>
      <c r="K58" s="36" t="s">
        <v>94</v>
      </c>
      <c r="L58" s="36" t="s">
        <v>702</v>
      </c>
      <c r="M58" s="36" t="s">
        <v>1034</v>
      </c>
      <c r="N58" s="36" t="s">
        <v>1035</v>
      </c>
      <c r="O58" s="36" t="s">
        <v>897</v>
      </c>
      <c r="P58" s="36" t="s">
        <v>1034</v>
      </c>
      <c r="Q58" s="36" t="s">
        <v>1038</v>
      </c>
      <c r="R58" s="36" t="s">
        <v>1039</v>
      </c>
      <c r="S58" s="42" t="s">
        <v>5068</v>
      </c>
      <c r="T58" s="43" t="s">
        <v>1041</v>
      </c>
      <c r="U58" s="44" t="s">
        <v>728</v>
      </c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5"/>
      <c r="AH58" s="1"/>
      <c r="AI58" s="1"/>
      <c r="AJ58" s="1"/>
    </row>
    <row r="59" spans="1:36">
      <c r="A59" s="36" t="s">
        <v>690</v>
      </c>
      <c r="B59" s="36" t="s">
        <v>691</v>
      </c>
      <c r="C59" s="36" t="s">
        <v>1048</v>
      </c>
      <c r="D59" s="61" t="s">
        <v>1049</v>
      </c>
      <c r="E59" s="38" t="s">
        <v>1050</v>
      </c>
      <c r="F59" s="36"/>
      <c r="G59" s="36" t="s">
        <v>1032</v>
      </c>
      <c r="H59" s="36" t="s">
        <v>1033</v>
      </c>
      <c r="I59" s="40" t="s">
        <v>130</v>
      </c>
      <c r="J59" s="36" t="s">
        <v>94</v>
      </c>
      <c r="K59" s="36" t="s">
        <v>94</v>
      </c>
      <c r="L59" s="36" t="s">
        <v>702</v>
      </c>
      <c r="M59" s="36" t="s">
        <v>1053</v>
      </c>
      <c r="N59" s="36" t="s">
        <v>1054</v>
      </c>
      <c r="O59" s="36" t="s">
        <v>706</v>
      </c>
      <c r="P59" s="36" t="s">
        <v>1053</v>
      </c>
      <c r="Q59" s="36" t="s">
        <v>1057</v>
      </c>
      <c r="R59" s="36" t="s">
        <v>164</v>
      </c>
      <c r="S59" s="42" t="s">
        <v>5076</v>
      </c>
      <c r="T59" s="43" t="s">
        <v>1059</v>
      </c>
      <c r="U59" s="44" t="s">
        <v>728</v>
      </c>
      <c r="V59" s="43" t="s">
        <v>130</v>
      </c>
      <c r="W59" s="43" t="s">
        <v>130</v>
      </c>
      <c r="X59" s="43" t="s">
        <v>130</v>
      </c>
      <c r="Y59" s="43" t="s">
        <v>130</v>
      </c>
      <c r="Z59" s="43" t="s">
        <v>130</v>
      </c>
      <c r="AA59" s="43" t="s">
        <v>130</v>
      </c>
      <c r="AB59" s="43" t="s">
        <v>130</v>
      </c>
      <c r="AC59" s="43"/>
      <c r="AD59" s="43"/>
      <c r="AE59" s="43"/>
      <c r="AF59" s="43"/>
      <c r="AG59" s="45"/>
      <c r="AH59" s="1"/>
      <c r="AI59" s="1"/>
      <c r="AJ59" s="1"/>
    </row>
    <row r="60" spans="1:36">
      <c r="A60" s="36" t="s">
        <v>690</v>
      </c>
      <c r="B60" s="36" t="s">
        <v>691</v>
      </c>
      <c r="C60" s="36" t="s">
        <v>1064</v>
      </c>
      <c r="D60" s="36" t="s">
        <v>1065</v>
      </c>
      <c r="E60" s="38" t="s">
        <v>1066</v>
      </c>
      <c r="F60" s="36"/>
      <c r="G60" s="36" t="s">
        <v>1032</v>
      </c>
      <c r="H60" s="36" t="s">
        <v>1033</v>
      </c>
      <c r="I60" s="40" t="s">
        <v>130</v>
      </c>
      <c r="J60" s="36" t="s">
        <v>94</v>
      </c>
      <c r="K60" s="36" t="s">
        <v>94</v>
      </c>
      <c r="L60" s="36" t="s">
        <v>702</v>
      </c>
      <c r="M60" s="36" t="s">
        <v>1068</v>
      </c>
      <c r="N60" s="36" t="s">
        <v>1070</v>
      </c>
      <c r="O60" s="36" t="s">
        <v>706</v>
      </c>
      <c r="P60" s="36" t="s">
        <v>1068</v>
      </c>
      <c r="Q60" s="36" t="s">
        <v>1071</v>
      </c>
      <c r="R60" s="36" t="s">
        <v>164</v>
      </c>
      <c r="S60" s="42" t="s">
        <v>5105</v>
      </c>
      <c r="T60" s="43" t="s">
        <v>1074</v>
      </c>
      <c r="U60" s="44" t="s">
        <v>728</v>
      </c>
      <c r="V60" s="43" t="s">
        <v>130</v>
      </c>
      <c r="W60" s="43" t="s">
        <v>130</v>
      </c>
      <c r="X60" s="43" t="s">
        <v>130</v>
      </c>
      <c r="Y60" s="43" t="s">
        <v>130</v>
      </c>
      <c r="Z60" s="43" t="s">
        <v>130</v>
      </c>
      <c r="AA60" s="43" t="s">
        <v>130</v>
      </c>
      <c r="AB60" s="43" t="s">
        <v>130</v>
      </c>
      <c r="AC60" s="43"/>
      <c r="AD60" s="43"/>
      <c r="AE60" s="43"/>
      <c r="AF60" s="43"/>
      <c r="AG60" s="45"/>
      <c r="AH60" s="1"/>
      <c r="AI60" s="1"/>
      <c r="AJ60" s="1"/>
    </row>
    <row r="61" spans="1:36">
      <c r="A61" s="36" t="s">
        <v>690</v>
      </c>
      <c r="B61" s="36" t="s">
        <v>691</v>
      </c>
      <c r="C61" s="36" t="s">
        <v>1079</v>
      </c>
      <c r="D61" s="36" t="s">
        <v>1080</v>
      </c>
      <c r="E61" s="38" t="s">
        <v>1081</v>
      </c>
      <c r="F61" s="36"/>
      <c r="G61" s="36" t="s">
        <v>1032</v>
      </c>
      <c r="H61" s="36" t="s">
        <v>1033</v>
      </c>
      <c r="I61" s="40" t="s">
        <v>130</v>
      </c>
      <c r="J61" s="36" t="s">
        <v>94</v>
      </c>
      <c r="K61" s="36" t="s">
        <v>94</v>
      </c>
      <c r="L61" s="36" t="s">
        <v>702</v>
      </c>
      <c r="M61" s="36" t="s">
        <v>1084</v>
      </c>
      <c r="N61" s="36" t="s">
        <v>1085</v>
      </c>
      <c r="O61" s="36" t="s">
        <v>706</v>
      </c>
      <c r="P61" s="36" t="s">
        <v>1084</v>
      </c>
      <c r="Q61" s="36" t="s">
        <v>1087</v>
      </c>
      <c r="R61" s="36" t="s">
        <v>164</v>
      </c>
      <c r="S61" s="42" t="s">
        <v>5069</v>
      </c>
      <c r="T61" s="43" t="s">
        <v>1088</v>
      </c>
      <c r="U61" s="44" t="s">
        <v>728</v>
      </c>
      <c r="V61" s="43" t="s">
        <v>130</v>
      </c>
      <c r="W61" s="43" t="s">
        <v>130</v>
      </c>
      <c r="X61" s="43" t="s">
        <v>130</v>
      </c>
      <c r="Y61" s="43" t="s">
        <v>130</v>
      </c>
      <c r="Z61" s="43" t="s">
        <v>130</v>
      </c>
      <c r="AA61" s="43" t="s">
        <v>130</v>
      </c>
      <c r="AB61" s="43" t="s">
        <v>130</v>
      </c>
      <c r="AC61" s="43"/>
      <c r="AD61" s="43"/>
      <c r="AE61" s="43"/>
      <c r="AF61" s="43"/>
      <c r="AG61" s="45"/>
      <c r="AH61" s="1"/>
      <c r="AI61" s="1"/>
      <c r="AJ61" s="1"/>
    </row>
    <row r="62" spans="1:36">
      <c r="A62" s="36" t="s">
        <v>690</v>
      </c>
      <c r="B62" s="36" t="s">
        <v>691</v>
      </c>
      <c r="C62" s="36" t="s">
        <v>1094</v>
      </c>
      <c r="D62" s="36" t="s">
        <v>1095</v>
      </c>
      <c r="E62" s="38" t="s">
        <v>1096</v>
      </c>
      <c r="F62" s="36"/>
      <c r="G62" s="36" t="s">
        <v>1032</v>
      </c>
      <c r="H62" s="36" t="s">
        <v>1033</v>
      </c>
      <c r="I62" s="40"/>
      <c r="J62" s="36" t="s">
        <v>1098</v>
      </c>
      <c r="K62" s="36" t="s">
        <v>80</v>
      </c>
      <c r="L62" s="36" t="s">
        <v>702</v>
      </c>
      <c r="M62" s="36" t="s">
        <v>1100</v>
      </c>
      <c r="N62" s="36" t="s">
        <v>690</v>
      </c>
      <c r="O62" s="36" t="s">
        <v>706</v>
      </c>
      <c r="P62" s="36" t="s">
        <v>1100</v>
      </c>
      <c r="Q62" s="36" t="s">
        <v>1102</v>
      </c>
      <c r="R62" s="36" t="s">
        <v>1103</v>
      </c>
      <c r="S62" s="42" t="s">
        <v>5079</v>
      </c>
      <c r="T62" s="43">
        <v>0</v>
      </c>
      <c r="U62" s="44" t="s">
        <v>728</v>
      </c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5"/>
      <c r="AH62" s="1"/>
      <c r="AI62" s="1"/>
      <c r="AJ62" s="1"/>
    </row>
    <row r="63" spans="1:36">
      <c r="A63" s="36" t="s">
        <v>690</v>
      </c>
      <c r="B63" s="36" t="s">
        <v>691</v>
      </c>
      <c r="C63" s="36" t="s">
        <v>1109</v>
      </c>
      <c r="D63" s="57" t="s">
        <v>1111</v>
      </c>
      <c r="E63" s="38" t="s">
        <v>1114</v>
      </c>
      <c r="F63" s="36"/>
      <c r="G63" s="36" t="s">
        <v>1032</v>
      </c>
      <c r="H63" s="36" t="s">
        <v>1033</v>
      </c>
      <c r="I63" s="40" t="s">
        <v>130</v>
      </c>
      <c r="J63" s="36" t="s">
        <v>94</v>
      </c>
      <c r="K63" s="36" t="s">
        <v>94</v>
      </c>
      <c r="L63" s="36" t="s">
        <v>702</v>
      </c>
      <c r="M63" s="36" t="s">
        <v>1118</v>
      </c>
      <c r="N63" s="36" t="s">
        <v>1119</v>
      </c>
      <c r="O63" s="36" t="s">
        <v>897</v>
      </c>
      <c r="P63" s="36" t="s">
        <v>1118</v>
      </c>
      <c r="Q63" s="36" t="s">
        <v>1120</v>
      </c>
      <c r="R63" s="36" t="s">
        <v>164</v>
      </c>
      <c r="S63" s="42" t="s">
        <v>5106</v>
      </c>
      <c r="T63" s="43" t="s">
        <v>1123</v>
      </c>
      <c r="U63" s="44" t="s">
        <v>728</v>
      </c>
      <c r="V63" s="43" t="s">
        <v>130</v>
      </c>
      <c r="W63" s="43" t="s">
        <v>130</v>
      </c>
      <c r="X63" s="43" t="s">
        <v>130</v>
      </c>
      <c r="Y63" s="43" t="s">
        <v>130</v>
      </c>
      <c r="Z63" s="43" t="s">
        <v>130</v>
      </c>
      <c r="AA63" s="43" t="s">
        <v>130</v>
      </c>
      <c r="AB63" s="43" t="s">
        <v>130</v>
      </c>
      <c r="AC63" s="43"/>
      <c r="AD63" s="43"/>
      <c r="AE63" s="43"/>
      <c r="AF63" s="43"/>
      <c r="AG63" s="45"/>
      <c r="AH63" s="1"/>
      <c r="AI63" s="1"/>
      <c r="AJ63" s="1"/>
    </row>
    <row r="64" spans="1:36">
      <c r="A64" s="36" t="s">
        <v>690</v>
      </c>
      <c r="B64" s="36" t="s">
        <v>691</v>
      </c>
      <c r="C64" s="36" t="s">
        <v>1128</v>
      </c>
      <c r="D64" s="57" t="s">
        <v>1129</v>
      </c>
      <c r="E64" s="38" t="s">
        <v>1130</v>
      </c>
      <c r="F64" s="36"/>
      <c r="G64" s="36" t="s">
        <v>1032</v>
      </c>
      <c r="H64" s="36" t="s">
        <v>1033</v>
      </c>
      <c r="I64" s="40"/>
      <c r="J64" s="36" t="s">
        <v>230</v>
      </c>
      <c r="K64" s="36" t="s">
        <v>94</v>
      </c>
      <c r="L64" s="36" t="s">
        <v>702</v>
      </c>
      <c r="M64" s="36" t="s">
        <v>1132</v>
      </c>
      <c r="N64" s="36" t="s">
        <v>1133</v>
      </c>
      <c r="O64" s="36" t="s">
        <v>897</v>
      </c>
      <c r="P64" s="36" t="s">
        <v>1132</v>
      </c>
      <c r="Q64" s="36" t="s">
        <v>1134</v>
      </c>
      <c r="R64" s="36" t="s">
        <v>1136</v>
      </c>
      <c r="S64" s="42" t="s">
        <v>5070</v>
      </c>
      <c r="T64" s="43" t="s">
        <v>1139</v>
      </c>
      <c r="U64" s="44" t="s">
        <v>728</v>
      </c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5"/>
      <c r="AH64" s="1"/>
      <c r="AI64" s="1"/>
      <c r="AJ64" s="1"/>
    </row>
    <row r="65" spans="1:36">
      <c r="A65" s="36" t="s">
        <v>690</v>
      </c>
      <c r="B65" s="36" t="s">
        <v>691</v>
      </c>
      <c r="C65" s="36" t="s">
        <v>1142</v>
      </c>
      <c r="D65" s="36" t="s">
        <v>1143</v>
      </c>
      <c r="E65" s="38" t="s">
        <v>1144</v>
      </c>
      <c r="F65" s="36"/>
      <c r="G65" s="36" t="s">
        <v>1032</v>
      </c>
      <c r="H65" s="36" t="s">
        <v>1033</v>
      </c>
      <c r="I65" s="40" t="s">
        <v>130</v>
      </c>
      <c r="J65" s="36" t="s">
        <v>94</v>
      </c>
      <c r="K65" s="36" t="s">
        <v>94</v>
      </c>
      <c r="L65" s="36" t="s">
        <v>702</v>
      </c>
      <c r="M65" s="36" t="s">
        <v>1147</v>
      </c>
      <c r="N65" s="36" t="s">
        <v>1148</v>
      </c>
      <c r="O65" s="36" t="s">
        <v>897</v>
      </c>
      <c r="P65" s="36" t="s">
        <v>1147</v>
      </c>
      <c r="Q65" s="36" t="s">
        <v>1149</v>
      </c>
      <c r="R65" s="36" t="s">
        <v>164</v>
      </c>
      <c r="S65" s="42" t="s">
        <v>5080</v>
      </c>
      <c r="T65" s="43" t="s">
        <v>1152</v>
      </c>
      <c r="U65" s="44" t="s">
        <v>728</v>
      </c>
      <c r="V65" s="43" t="s">
        <v>130</v>
      </c>
      <c r="W65" s="43" t="s">
        <v>130</v>
      </c>
      <c r="X65" s="43" t="s">
        <v>130</v>
      </c>
      <c r="Y65" s="43" t="s">
        <v>130</v>
      </c>
      <c r="Z65" s="43" t="s">
        <v>130</v>
      </c>
      <c r="AA65" s="43" t="s">
        <v>130</v>
      </c>
      <c r="AB65" s="43"/>
      <c r="AC65" s="43"/>
      <c r="AD65" s="43"/>
      <c r="AE65" s="43"/>
      <c r="AF65" s="43"/>
      <c r="AG65" s="45"/>
      <c r="AH65" s="1"/>
      <c r="AI65" s="1"/>
      <c r="AJ65" s="1"/>
    </row>
    <row r="66" spans="1:36">
      <c r="A66" s="36" t="s">
        <v>690</v>
      </c>
      <c r="B66" s="36" t="s">
        <v>691</v>
      </c>
      <c r="C66" s="36" t="s">
        <v>1156</v>
      </c>
      <c r="D66" s="36" t="s">
        <v>1157</v>
      </c>
      <c r="E66" s="38" t="s">
        <v>1158</v>
      </c>
      <c r="F66" s="36"/>
      <c r="G66" s="36" t="s">
        <v>1032</v>
      </c>
      <c r="H66" s="36" t="s">
        <v>1033</v>
      </c>
      <c r="I66" s="40" t="s">
        <v>130</v>
      </c>
      <c r="J66" s="36" t="s">
        <v>94</v>
      </c>
      <c r="K66" s="36" t="s">
        <v>94</v>
      </c>
      <c r="L66" s="36" t="s">
        <v>702</v>
      </c>
      <c r="M66" s="36" t="s">
        <v>1162</v>
      </c>
      <c r="N66" s="36" t="s">
        <v>1163</v>
      </c>
      <c r="O66" s="36" t="s">
        <v>897</v>
      </c>
      <c r="P66" s="36" t="s">
        <v>1162</v>
      </c>
      <c r="Q66" s="36" t="s">
        <v>1165</v>
      </c>
      <c r="R66" s="36" t="s">
        <v>164</v>
      </c>
      <c r="S66" s="42" t="s">
        <v>5081</v>
      </c>
      <c r="T66" s="43" t="s">
        <v>1169</v>
      </c>
      <c r="U66" s="44" t="s">
        <v>728</v>
      </c>
      <c r="V66" s="43" t="s">
        <v>130</v>
      </c>
      <c r="W66" s="43" t="s">
        <v>130</v>
      </c>
      <c r="X66" s="43" t="s">
        <v>130</v>
      </c>
      <c r="Y66" s="43" t="s">
        <v>130</v>
      </c>
      <c r="Z66" s="43" t="s">
        <v>130</v>
      </c>
      <c r="AA66" s="43" t="s">
        <v>130</v>
      </c>
      <c r="AB66" s="43" t="s">
        <v>130</v>
      </c>
      <c r="AC66" s="43"/>
      <c r="AD66" s="43"/>
      <c r="AE66" s="43"/>
      <c r="AF66" s="43"/>
      <c r="AG66" s="45"/>
      <c r="AH66" s="1"/>
      <c r="AI66" s="1"/>
      <c r="AJ66" s="1"/>
    </row>
    <row r="67" spans="1:36">
      <c r="A67" s="36" t="s">
        <v>690</v>
      </c>
      <c r="B67" s="36" t="s">
        <v>691</v>
      </c>
      <c r="C67" s="36" t="s">
        <v>1176</v>
      </c>
      <c r="D67" s="61" t="s">
        <v>1177</v>
      </c>
      <c r="E67" s="38" t="s">
        <v>1178</v>
      </c>
      <c r="F67" s="36"/>
      <c r="G67" s="36" t="s">
        <v>1180</v>
      </c>
      <c r="H67" s="36" t="s">
        <v>1182</v>
      </c>
      <c r="I67" s="40"/>
      <c r="J67" s="46" t="s">
        <v>650</v>
      </c>
      <c r="K67" s="36" t="s">
        <v>94</v>
      </c>
      <c r="L67" s="36" t="s">
        <v>702</v>
      </c>
      <c r="M67" s="36" t="s">
        <v>1183</v>
      </c>
      <c r="N67" s="36" t="s">
        <v>1184</v>
      </c>
      <c r="O67" s="36" t="s">
        <v>706</v>
      </c>
      <c r="P67" s="36" t="s">
        <v>1186</v>
      </c>
      <c r="Q67" s="36" t="s">
        <v>1188</v>
      </c>
      <c r="R67" s="36" t="s">
        <v>1189</v>
      </c>
      <c r="S67" s="42" t="s">
        <v>5085</v>
      </c>
      <c r="T67" s="43" t="s">
        <v>1183</v>
      </c>
      <c r="U67" s="44" t="s">
        <v>728</v>
      </c>
      <c r="V67" s="43"/>
      <c r="W67" s="43"/>
      <c r="X67" s="43"/>
      <c r="Y67" s="43"/>
      <c r="Z67" s="43"/>
      <c r="AA67" s="43"/>
      <c r="AB67" s="43" t="s">
        <v>130</v>
      </c>
      <c r="AC67" s="43"/>
      <c r="AD67" s="43"/>
      <c r="AE67" s="43"/>
      <c r="AF67" s="43"/>
      <c r="AG67" s="45"/>
      <c r="AH67" s="1"/>
      <c r="AI67" s="1"/>
      <c r="AJ67" s="1"/>
    </row>
    <row r="68" spans="1:36">
      <c r="A68" s="36" t="s">
        <v>690</v>
      </c>
      <c r="B68" s="36" t="s">
        <v>691</v>
      </c>
      <c r="C68" s="82" t="s">
        <v>1196</v>
      </c>
      <c r="D68" s="61" t="s">
        <v>1199</v>
      </c>
      <c r="E68" s="38"/>
      <c r="F68" s="36"/>
      <c r="G68" s="36" t="s">
        <v>1180</v>
      </c>
      <c r="H68" s="36" t="s">
        <v>1182</v>
      </c>
      <c r="I68" s="40" t="s">
        <v>130</v>
      </c>
      <c r="J68" s="36" t="s">
        <v>94</v>
      </c>
      <c r="K68" s="36" t="s">
        <v>94</v>
      </c>
      <c r="L68" s="36" t="s">
        <v>702</v>
      </c>
      <c r="M68" s="36" t="s">
        <v>1186</v>
      </c>
      <c r="N68" s="36"/>
      <c r="O68" s="36" t="s">
        <v>706</v>
      </c>
      <c r="P68" s="36"/>
      <c r="Q68" s="36" t="s">
        <v>706</v>
      </c>
      <c r="R68" s="36" t="s">
        <v>164</v>
      </c>
      <c r="S68" s="42"/>
      <c r="T68" s="43" t="s">
        <v>1186</v>
      </c>
      <c r="U68" s="44" t="s">
        <v>728</v>
      </c>
      <c r="V68" s="43"/>
      <c r="W68" s="43"/>
      <c r="X68" s="43" t="s">
        <v>130</v>
      </c>
      <c r="Y68" s="43" t="s">
        <v>130</v>
      </c>
      <c r="Z68" s="43" t="s">
        <v>130</v>
      </c>
      <c r="AA68" s="43" t="s">
        <v>130</v>
      </c>
      <c r="AB68" s="43"/>
      <c r="AC68" s="43"/>
      <c r="AD68" s="43"/>
      <c r="AE68" s="43"/>
      <c r="AF68" s="43"/>
      <c r="AG68" s="45"/>
      <c r="AH68" s="1"/>
      <c r="AI68" s="1"/>
      <c r="AJ68" s="1"/>
    </row>
    <row r="69" spans="1:36">
      <c r="A69" s="36" t="s">
        <v>690</v>
      </c>
      <c r="B69" s="36" t="s">
        <v>691</v>
      </c>
      <c r="C69" s="36" t="s">
        <v>1208</v>
      </c>
      <c r="D69" s="36" t="s">
        <v>1209</v>
      </c>
      <c r="E69" s="38" t="s">
        <v>1210</v>
      </c>
      <c r="F69" s="36"/>
      <c r="G69" s="36" t="s">
        <v>1180</v>
      </c>
      <c r="H69" s="36" t="s">
        <v>1182</v>
      </c>
      <c r="I69" s="40"/>
      <c r="J69" s="36" t="s">
        <v>159</v>
      </c>
      <c r="K69" s="36" t="s">
        <v>94</v>
      </c>
      <c r="L69" s="36" t="s">
        <v>702</v>
      </c>
      <c r="M69" s="36" t="s">
        <v>1213</v>
      </c>
      <c r="N69" s="36" t="s">
        <v>1214</v>
      </c>
      <c r="O69" s="36" t="s">
        <v>706</v>
      </c>
      <c r="P69" s="36" t="s">
        <v>1213</v>
      </c>
      <c r="Q69" s="36" t="s">
        <v>1215</v>
      </c>
      <c r="R69" s="36" t="s">
        <v>1217</v>
      </c>
      <c r="S69" s="42" t="s">
        <v>5078</v>
      </c>
      <c r="T69" s="43" t="s">
        <v>1222</v>
      </c>
      <c r="U69" s="44" t="s">
        <v>728</v>
      </c>
      <c r="V69" s="43" t="s">
        <v>130</v>
      </c>
      <c r="W69" s="43"/>
      <c r="X69" s="43" t="s">
        <v>130</v>
      </c>
      <c r="Y69" s="43" t="s">
        <v>130</v>
      </c>
      <c r="Z69" s="43" t="s">
        <v>130</v>
      </c>
      <c r="AA69" s="43"/>
      <c r="AB69" s="43"/>
      <c r="AC69" s="43"/>
      <c r="AD69" s="43"/>
      <c r="AE69" s="43"/>
      <c r="AF69" s="43"/>
      <c r="AG69" s="45"/>
      <c r="AH69" s="1"/>
      <c r="AI69" s="1"/>
      <c r="AJ69" s="1"/>
    </row>
    <row r="70" spans="1:36">
      <c r="A70" s="36" t="s">
        <v>690</v>
      </c>
      <c r="B70" s="36" t="s">
        <v>691</v>
      </c>
      <c r="C70" s="36" t="s">
        <v>1227</v>
      </c>
      <c r="D70" s="36" t="s">
        <v>1229</v>
      </c>
      <c r="E70" s="38" t="s">
        <v>1230</v>
      </c>
      <c r="F70" s="36"/>
      <c r="G70" s="36" t="s">
        <v>1180</v>
      </c>
      <c r="H70" s="36" t="s">
        <v>1182</v>
      </c>
      <c r="I70" s="40" t="s">
        <v>130</v>
      </c>
      <c r="J70" s="36" t="s">
        <v>94</v>
      </c>
      <c r="K70" s="36" t="s">
        <v>94</v>
      </c>
      <c r="L70" s="36" t="s">
        <v>702</v>
      </c>
      <c r="M70" s="36" t="s">
        <v>1232</v>
      </c>
      <c r="N70" s="36" t="s">
        <v>1233</v>
      </c>
      <c r="O70" s="36" t="s">
        <v>706</v>
      </c>
      <c r="P70" s="36" t="s">
        <v>1232</v>
      </c>
      <c r="Q70" s="36" t="s">
        <v>1234</v>
      </c>
      <c r="R70" s="36" t="s">
        <v>164</v>
      </c>
      <c r="S70" s="42" t="s">
        <v>5107</v>
      </c>
      <c r="T70" s="43" t="s">
        <v>1237</v>
      </c>
      <c r="U70" s="44" t="s">
        <v>728</v>
      </c>
      <c r="V70" s="43"/>
      <c r="W70" s="43"/>
      <c r="X70" s="43"/>
      <c r="Y70" s="43"/>
      <c r="Z70" s="43"/>
      <c r="AA70" s="43" t="s">
        <v>130</v>
      </c>
      <c r="AB70" s="43"/>
      <c r="AC70" s="43"/>
      <c r="AD70" s="43"/>
      <c r="AE70" s="43"/>
      <c r="AF70" s="43"/>
      <c r="AG70" s="45"/>
      <c r="AH70" s="1"/>
      <c r="AI70" s="1"/>
      <c r="AJ70" s="1"/>
    </row>
    <row r="71" spans="1:36">
      <c r="A71" s="36" t="s">
        <v>690</v>
      </c>
      <c r="B71" s="36" t="s">
        <v>691</v>
      </c>
      <c r="C71" s="36" t="s">
        <v>1241</v>
      </c>
      <c r="D71" s="36" t="s">
        <v>1243</v>
      </c>
      <c r="E71" s="38" t="s">
        <v>1244</v>
      </c>
      <c r="F71" s="36" t="s">
        <v>130</v>
      </c>
      <c r="G71" s="36" t="s">
        <v>1247</v>
      </c>
      <c r="H71" s="36" t="s">
        <v>1248</v>
      </c>
      <c r="I71" s="40" t="s">
        <v>130</v>
      </c>
      <c r="J71" s="36" t="s">
        <v>94</v>
      </c>
      <c r="K71" s="36" t="s">
        <v>94</v>
      </c>
      <c r="L71" s="36" t="s">
        <v>702</v>
      </c>
      <c r="M71" s="36" t="s">
        <v>1251</v>
      </c>
      <c r="N71" s="36" t="s">
        <v>1253</v>
      </c>
      <c r="O71" s="36" t="s">
        <v>706</v>
      </c>
      <c r="P71" s="36" t="s">
        <v>1251</v>
      </c>
      <c r="Q71" s="36" t="s">
        <v>1255</v>
      </c>
      <c r="R71" s="36" t="s">
        <v>164</v>
      </c>
      <c r="S71" s="42" t="s">
        <v>5108</v>
      </c>
      <c r="T71" s="43" t="s">
        <v>1251</v>
      </c>
      <c r="U71" s="44" t="s">
        <v>728</v>
      </c>
      <c r="V71" s="43"/>
      <c r="W71" s="43"/>
      <c r="X71" s="43"/>
      <c r="Y71" s="43"/>
      <c r="Z71" s="43" t="s">
        <v>130</v>
      </c>
      <c r="AA71" s="43" t="s">
        <v>130</v>
      </c>
      <c r="AB71" s="43" t="s">
        <v>130</v>
      </c>
      <c r="AC71" s="43"/>
      <c r="AD71" s="43"/>
      <c r="AE71" s="43"/>
      <c r="AF71" s="43"/>
      <c r="AG71" s="45"/>
      <c r="AH71" s="1"/>
      <c r="AI71" s="1"/>
      <c r="AJ71" s="1"/>
    </row>
    <row r="72" spans="1:36">
      <c r="A72" s="36" t="s">
        <v>690</v>
      </c>
      <c r="B72" s="36" t="s">
        <v>691</v>
      </c>
      <c r="C72" s="36" t="s">
        <v>1264</v>
      </c>
      <c r="D72" s="36" t="s">
        <v>1265</v>
      </c>
      <c r="E72" s="38" t="s">
        <v>1266</v>
      </c>
      <c r="F72" s="36" t="s">
        <v>130</v>
      </c>
      <c r="G72" s="36" t="s">
        <v>1247</v>
      </c>
      <c r="H72" s="36" t="s">
        <v>1248</v>
      </c>
      <c r="I72" s="40" t="s">
        <v>130</v>
      </c>
      <c r="J72" s="46" t="s">
        <v>94</v>
      </c>
      <c r="K72" s="36" t="s">
        <v>94</v>
      </c>
      <c r="L72" s="36" t="s">
        <v>702</v>
      </c>
      <c r="M72" s="36" t="s">
        <v>1270</v>
      </c>
      <c r="N72" s="36" t="s">
        <v>1272</v>
      </c>
      <c r="O72" s="36" t="s">
        <v>706</v>
      </c>
      <c r="P72" s="36" t="s">
        <v>1270</v>
      </c>
      <c r="Q72" s="36" t="s">
        <v>1274</v>
      </c>
      <c r="R72" s="36" t="s">
        <v>551</v>
      </c>
      <c r="S72" s="42" t="s">
        <v>5109</v>
      </c>
      <c r="T72" s="43" t="s">
        <v>1270</v>
      </c>
      <c r="U72" s="44" t="s">
        <v>728</v>
      </c>
      <c r="V72" s="43" t="s">
        <v>130</v>
      </c>
      <c r="W72" s="43" t="s">
        <v>130</v>
      </c>
      <c r="X72" s="43" t="s">
        <v>130</v>
      </c>
      <c r="Y72" s="43" t="s">
        <v>130</v>
      </c>
      <c r="Z72" s="43" t="s">
        <v>130</v>
      </c>
      <c r="AA72" s="43" t="s">
        <v>130</v>
      </c>
      <c r="AB72" s="43"/>
      <c r="AC72" s="43"/>
      <c r="AD72" s="43"/>
      <c r="AE72" s="43"/>
      <c r="AF72" s="43"/>
      <c r="AG72" s="45"/>
      <c r="AH72" s="1"/>
      <c r="AI72" s="1"/>
      <c r="AJ72" s="1"/>
    </row>
    <row r="73" spans="1:36">
      <c r="A73" s="36" t="s">
        <v>690</v>
      </c>
      <c r="B73" s="36" t="s">
        <v>691</v>
      </c>
      <c r="C73" s="36" t="s">
        <v>1280</v>
      </c>
      <c r="D73" s="36" t="s">
        <v>1282</v>
      </c>
      <c r="E73" s="38" t="s">
        <v>1283</v>
      </c>
      <c r="F73" s="36" t="s">
        <v>130</v>
      </c>
      <c r="G73" s="36" t="s">
        <v>1247</v>
      </c>
      <c r="H73" s="36" t="s">
        <v>1248</v>
      </c>
      <c r="I73" s="40" t="s">
        <v>130</v>
      </c>
      <c r="J73" s="46" t="s">
        <v>94</v>
      </c>
      <c r="K73" s="36" t="s">
        <v>94</v>
      </c>
      <c r="L73" s="36" t="s">
        <v>702</v>
      </c>
      <c r="M73" s="36" t="s">
        <v>1286</v>
      </c>
      <c r="N73" s="36" t="s">
        <v>1287</v>
      </c>
      <c r="O73" s="36" t="s">
        <v>706</v>
      </c>
      <c r="P73" s="36" t="s">
        <v>1286</v>
      </c>
      <c r="Q73" s="36" t="s">
        <v>1289</v>
      </c>
      <c r="R73" s="36" t="s">
        <v>551</v>
      </c>
      <c r="S73" s="42" t="s">
        <v>5110</v>
      </c>
      <c r="T73" s="43" t="s">
        <v>1286</v>
      </c>
      <c r="U73" s="44" t="s">
        <v>728</v>
      </c>
      <c r="V73" s="43"/>
      <c r="W73" s="43"/>
      <c r="X73" s="43"/>
      <c r="Y73" s="43"/>
      <c r="Z73" s="43"/>
      <c r="AA73" s="43" t="s">
        <v>130</v>
      </c>
      <c r="AB73" s="43" t="s">
        <v>130</v>
      </c>
      <c r="AC73" s="43"/>
      <c r="AD73" s="43"/>
      <c r="AE73" s="43"/>
      <c r="AF73" s="43"/>
      <c r="AG73" s="45"/>
      <c r="AH73" s="1"/>
      <c r="AI73" s="1"/>
      <c r="AJ73" s="1"/>
    </row>
    <row r="74" spans="1:36">
      <c r="A74" s="36" t="s">
        <v>690</v>
      </c>
      <c r="B74" s="36" t="s">
        <v>691</v>
      </c>
      <c r="C74" s="36" t="s">
        <v>1295</v>
      </c>
      <c r="D74" s="36" t="s">
        <v>1296</v>
      </c>
      <c r="E74" s="38" t="s">
        <v>1297</v>
      </c>
      <c r="F74" s="36"/>
      <c r="G74" s="36" t="s">
        <v>1247</v>
      </c>
      <c r="H74" s="36" t="s">
        <v>1248</v>
      </c>
      <c r="I74" s="40" t="s">
        <v>130</v>
      </c>
      <c r="J74" s="46" t="s">
        <v>94</v>
      </c>
      <c r="K74" s="36" t="s">
        <v>94</v>
      </c>
      <c r="L74" s="36" t="s">
        <v>702</v>
      </c>
      <c r="M74" s="36" t="s">
        <v>1300</v>
      </c>
      <c r="N74" s="36" t="s">
        <v>1301</v>
      </c>
      <c r="O74" s="36" t="s">
        <v>706</v>
      </c>
      <c r="P74" s="36" t="s">
        <v>1302</v>
      </c>
      <c r="Q74" s="36" t="s">
        <v>1303</v>
      </c>
      <c r="R74" s="36" t="s">
        <v>551</v>
      </c>
      <c r="S74" s="42" t="s">
        <v>5111</v>
      </c>
      <c r="T74" s="43" t="s">
        <v>1305</v>
      </c>
      <c r="U74" s="44" t="s">
        <v>728</v>
      </c>
      <c r="V74" s="43" t="s">
        <v>130</v>
      </c>
      <c r="W74" s="43" t="s">
        <v>130</v>
      </c>
      <c r="X74" s="43" t="s">
        <v>130</v>
      </c>
      <c r="Y74" s="43" t="s">
        <v>130</v>
      </c>
      <c r="Z74" s="43" t="s">
        <v>130</v>
      </c>
      <c r="AA74" s="43" t="s">
        <v>130</v>
      </c>
      <c r="AB74" s="43" t="s">
        <v>130</v>
      </c>
      <c r="AC74" s="43"/>
      <c r="AD74" s="43"/>
      <c r="AE74" s="43"/>
      <c r="AF74" s="43"/>
      <c r="AG74" s="45"/>
      <c r="AH74" s="1"/>
      <c r="AI74" s="1"/>
      <c r="AJ74" s="1"/>
    </row>
    <row r="75" spans="1:36">
      <c r="A75" s="36" t="s">
        <v>690</v>
      </c>
      <c r="B75" s="36" t="s">
        <v>691</v>
      </c>
      <c r="C75" s="36" t="s">
        <v>1309</v>
      </c>
      <c r="D75" s="36" t="s">
        <v>1311</v>
      </c>
      <c r="E75" s="38" t="s">
        <v>1312</v>
      </c>
      <c r="F75" s="36"/>
      <c r="G75" s="36" t="s">
        <v>1247</v>
      </c>
      <c r="H75" s="36" t="s">
        <v>1248</v>
      </c>
      <c r="I75" s="40" t="s">
        <v>130</v>
      </c>
      <c r="J75" s="36" t="s">
        <v>94</v>
      </c>
      <c r="K75" s="36" t="s">
        <v>94</v>
      </c>
      <c r="L75" s="36" t="s">
        <v>702</v>
      </c>
      <c r="M75" s="36" t="s">
        <v>1315</v>
      </c>
      <c r="N75" s="36" t="s">
        <v>1316</v>
      </c>
      <c r="O75" s="36" t="s">
        <v>706</v>
      </c>
      <c r="P75" s="36" t="s">
        <v>1315</v>
      </c>
      <c r="Q75" s="36" t="s">
        <v>1318</v>
      </c>
      <c r="R75" s="36" t="s">
        <v>164</v>
      </c>
      <c r="S75" s="42" t="s">
        <v>5112</v>
      </c>
      <c r="T75" s="43" t="s">
        <v>1315</v>
      </c>
      <c r="U75" s="44" t="s">
        <v>728</v>
      </c>
      <c r="V75" s="43" t="s">
        <v>130</v>
      </c>
      <c r="W75" s="43" t="s">
        <v>130</v>
      </c>
      <c r="X75" s="43" t="s">
        <v>130</v>
      </c>
      <c r="Y75" s="43" t="s">
        <v>130</v>
      </c>
      <c r="Z75" s="43" t="s">
        <v>130</v>
      </c>
      <c r="AA75" s="43" t="s">
        <v>130</v>
      </c>
      <c r="AB75" s="43" t="s">
        <v>130</v>
      </c>
      <c r="AC75" s="43"/>
      <c r="AD75" s="43"/>
      <c r="AE75" s="43"/>
      <c r="AF75" s="43"/>
      <c r="AG75" s="45"/>
      <c r="AH75" s="1"/>
      <c r="AI75" s="1"/>
      <c r="AJ75" s="1"/>
    </row>
    <row r="76" spans="1:36">
      <c r="A76" s="36" t="s">
        <v>1324</v>
      </c>
      <c r="B76" s="36" t="s">
        <v>1325</v>
      </c>
      <c r="C76" s="36" t="s">
        <v>1327</v>
      </c>
      <c r="D76" s="61" t="s">
        <v>1328</v>
      </c>
      <c r="E76" s="38" t="s">
        <v>1331</v>
      </c>
      <c r="F76" s="36"/>
      <c r="G76" s="36" t="s">
        <v>1333</v>
      </c>
      <c r="H76" s="36" t="s">
        <v>1334</v>
      </c>
      <c r="I76" s="40" t="s">
        <v>130</v>
      </c>
      <c r="J76" s="36" t="s">
        <v>362</v>
      </c>
      <c r="K76" s="36" t="s">
        <v>94</v>
      </c>
      <c r="L76" s="36" t="s">
        <v>1336</v>
      </c>
      <c r="M76" s="36" t="s">
        <v>1338</v>
      </c>
      <c r="N76" s="36" t="s">
        <v>1340</v>
      </c>
      <c r="O76" s="36" t="s">
        <v>1325</v>
      </c>
      <c r="P76" s="36" t="s">
        <v>1341</v>
      </c>
      <c r="Q76" s="36" t="s">
        <v>1342</v>
      </c>
      <c r="R76" s="36" t="s">
        <v>1333</v>
      </c>
      <c r="S76" s="42" t="s">
        <v>5098</v>
      </c>
      <c r="T76" s="43" t="s">
        <v>1344</v>
      </c>
      <c r="U76" s="44" t="s">
        <v>1345</v>
      </c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5"/>
      <c r="AH76" s="1"/>
      <c r="AI76" s="1"/>
      <c r="AJ76" s="1"/>
    </row>
    <row r="77" spans="1:36">
      <c r="A77" s="36" t="s">
        <v>1324</v>
      </c>
      <c r="B77" s="36" t="s">
        <v>1325</v>
      </c>
      <c r="C77" s="36" t="s">
        <v>1346</v>
      </c>
      <c r="D77" s="36" t="s">
        <v>1347</v>
      </c>
      <c r="E77" s="38" t="s">
        <v>1348</v>
      </c>
      <c r="F77" s="36"/>
      <c r="G77" s="36" t="s">
        <v>1333</v>
      </c>
      <c r="H77" s="36" t="s">
        <v>1334</v>
      </c>
      <c r="I77" s="40" t="s">
        <v>130</v>
      </c>
      <c r="J77" s="36" t="s">
        <v>94</v>
      </c>
      <c r="K77" s="36" t="s">
        <v>94</v>
      </c>
      <c r="L77" s="36" t="s">
        <v>1336</v>
      </c>
      <c r="M77" s="36" t="s">
        <v>1351</v>
      </c>
      <c r="N77" s="36" t="s">
        <v>1352</v>
      </c>
      <c r="O77" s="36" t="s">
        <v>1325</v>
      </c>
      <c r="P77" s="36" t="s">
        <v>1353</v>
      </c>
      <c r="Q77" s="36" t="s">
        <v>1354</v>
      </c>
      <c r="R77" s="36" t="s">
        <v>164</v>
      </c>
      <c r="S77" s="42" t="s">
        <v>5113</v>
      </c>
      <c r="T77" s="43" t="s">
        <v>1355</v>
      </c>
      <c r="U77" s="44" t="s">
        <v>1345</v>
      </c>
      <c r="V77" s="43"/>
      <c r="W77" s="43"/>
      <c r="X77" s="43"/>
      <c r="Y77" s="43"/>
      <c r="Z77" s="43"/>
      <c r="AA77" s="43" t="s">
        <v>130</v>
      </c>
      <c r="AB77" s="43" t="s">
        <v>130</v>
      </c>
      <c r="AC77" s="43"/>
      <c r="AD77" s="43"/>
      <c r="AE77" s="43"/>
      <c r="AF77" s="43"/>
      <c r="AG77" s="45"/>
      <c r="AH77" s="1"/>
      <c r="AI77" s="1"/>
      <c r="AJ77" s="1"/>
    </row>
    <row r="78" spans="1:36">
      <c r="A78" s="36" t="s">
        <v>1324</v>
      </c>
      <c r="B78" s="36" t="s">
        <v>1325</v>
      </c>
      <c r="C78" s="36" t="s">
        <v>1356</v>
      </c>
      <c r="D78" s="36" t="s">
        <v>1357</v>
      </c>
      <c r="E78" s="38" t="s">
        <v>1358</v>
      </c>
      <c r="F78" s="36"/>
      <c r="G78" s="36" t="s">
        <v>1333</v>
      </c>
      <c r="H78" s="36" t="s">
        <v>1334</v>
      </c>
      <c r="I78" s="40" t="s">
        <v>130</v>
      </c>
      <c r="J78" s="36" t="s">
        <v>94</v>
      </c>
      <c r="K78" s="36" t="s">
        <v>94</v>
      </c>
      <c r="L78" s="36" t="s">
        <v>1336</v>
      </c>
      <c r="M78" s="36" t="s">
        <v>1360</v>
      </c>
      <c r="N78" s="36" t="s">
        <v>1361</v>
      </c>
      <c r="O78" s="36" t="s">
        <v>1325</v>
      </c>
      <c r="P78" s="36" t="s">
        <v>1362</v>
      </c>
      <c r="Q78" s="36" t="s">
        <v>1363</v>
      </c>
      <c r="R78" s="36" t="s">
        <v>164</v>
      </c>
      <c r="S78" s="42" t="s">
        <v>5114</v>
      </c>
      <c r="T78" s="43" t="s">
        <v>1364</v>
      </c>
      <c r="U78" s="44" t="s">
        <v>551</v>
      </c>
      <c r="V78" s="43"/>
      <c r="W78" s="43"/>
      <c r="X78" s="43"/>
      <c r="Y78" s="43"/>
      <c r="Z78" s="43"/>
      <c r="AA78" s="43" t="s">
        <v>130</v>
      </c>
      <c r="AB78" s="43" t="s">
        <v>130</v>
      </c>
      <c r="AC78" s="43"/>
      <c r="AD78" s="43"/>
      <c r="AE78" s="43"/>
      <c r="AF78" s="43"/>
      <c r="AG78" s="45"/>
      <c r="AH78" s="1"/>
      <c r="AI78" s="1"/>
      <c r="AJ78" s="1"/>
    </row>
    <row r="79" spans="1:36">
      <c r="A79" s="36" t="s">
        <v>1324</v>
      </c>
      <c r="B79" s="36" t="s">
        <v>1325</v>
      </c>
      <c r="C79" s="36" t="s">
        <v>1365</v>
      </c>
      <c r="D79" s="61" t="s">
        <v>1366</v>
      </c>
      <c r="E79" s="38" t="s">
        <v>1367</v>
      </c>
      <c r="F79" s="36" t="s">
        <v>130</v>
      </c>
      <c r="G79" s="36" t="s">
        <v>1370</v>
      </c>
      <c r="H79" s="36" t="s">
        <v>1372</v>
      </c>
      <c r="I79" s="40"/>
      <c r="J79" s="36" t="s">
        <v>230</v>
      </c>
      <c r="K79" s="36" t="s">
        <v>94</v>
      </c>
      <c r="L79" s="36" t="s">
        <v>1336</v>
      </c>
      <c r="M79" s="36" t="s">
        <v>1373</v>
      </c>
      <c r="N79" s="36" t="s">
        <v>1374</v>
      </c>
      <c r="O79" s="36" t="s">
        <v>1325</v>
      </c>
      <c r="P79" s="36" t="s">
        <v>1373</v>
      </c>
      <c r="Q79" s="36" t="s">
        <v>1375</v>
      </c>
      <c r="R79" s="36" t="s">
        <v>1376</v>
      </c>
      <c r="S79" s="42" t="s">
        <v>5076</v>
      </c>
      <c r="T79" s="43" t="s">
        <v>1377</v>
      </c>
      <c r="U79" s="44" t="s">
        <v>1378</v>
      </c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5"/>
      <c r="AH79" s="1"/>
      <c r="AI79" s="1"/>
      <c r="AJ79" s="1"/>
    </row>
    <row r="80" spans="1:36">
      <c r="A80" s="36" t="s">
        <v>1324</v>
      </c>
      <c r="B80" s="36" t="s">
        <v>1325</v>
      </c>
      <c r="C80" s="36" t="s">
        <v>1379</v>
      </c>
      <c r="D80" s="36" t="s">
        <v>1380</v>
      </c>
      <c r="E80" s="38" t="s">
        <v>1381</v>
      </c>
      <c r="F80" s="36" t="s">
        <v>130</v>
      </c>
      <c r="G80" s="36" t="s">
        <v>1370</v>
      </c>
      <c r="H80" s="36" t="s">
        <v>1372</v>
      </c>
      <c r="I80" s="40" t="s">
        <v>130</v>
      </c>
      <c r="J80" s="36" t="s">
        <v>94</v>
      </c>
      <c r="K80" s="36" t="s">
        <v>94</v>
      </c>
      <c r="L80" s="36" t="s">
        <v>1336</v>
      </c>
      <c r="M80" s="36" t="s">
        <v>1384</v>
      </c>
      <c r="N80" s="36" t="s">
        <v>1385</v>
      </c>
      <c r="O80" s="36" t="s">
        <v>1325</v>
      </c>
      <c r="P80" s="36" t="s">
        <v>1384</v>
      </c>
      <c r="Q80" s="36" t="s">
        <v>1386</v>
      </c>
      <c r="R80" s="36" t="s">
        <v>551</v>
      </c>
      <c r="S80" s="42" t="s">
        <v>5105</v>
      </c>
      <c r="T80" s="43" t="s">
        <v>1387</v>
      </c>
      <c r="U80" s="44" t="s">
        <v>1378</v>
      </c>
      <c r="V80" s="43"/>
      <c r="W80" s="43" t="s">
        <v>130</v>
      </c>
      <c r="X80" s="43"/>
      <c r="Y80" s="43"/>
      <c r="Z80" s="43"/>
      <c r="AA80" s="43" t="s">
        <v>130</v>
      </c>
      <c r="AB80" s="43" t="s">
        <v>130</v>
      </c>
      <c r="AC80" s="43"/>
      <c r="AD80" s="43"/>
      <c r="AE80" s="43"/>
      <c r="AF80" s="43"/>
      <c r="AG80" s="45"/>
      <c r="AH80" s="1"/>
      <c r="AI80" s="1"/>
      <c r="AJ80" s="1"/>
    </row>
    <row r="81" spans="1:36">
      <c r="A81" s="36" t="s">
        <v>1324</v>
      </c>
      <c r="B81" s="36" t="s">
        <v>1325</v>
      </c>
      <c r="C81" s="36" t="s">
        <v>1388</v>
      </c>
      <c r="D81" s="36" t="s">
        <v>1389</v>
      </c>
      <c r="E81" s="38" t="s">
        <v>1390</v>
      </c>
      <c r="F81" s="36"/>
      <c r="G81" s="36" t="s">
        <v>1370</v>
      </c>
      <c r="H81" s="36" t="s">
        <v>1372</v>
      </c>
      <c r="I81" s="40" t="s">
        <v>130</v>
      </c>
      <c r="J81" s="36" t="s">
        <v>94</v>
      </c>
      <c r="K81" s="36" t="s">
        <v>94</v>
      </c>
      <c r="L81" s="36" t="s">
        <v>1336</v>
      </c>
      <c r="M81" s="36" t="s">
        <v>1392</v>
      </c>
      <c r="N81" s="36" t="s">
        <v>1393</v>
      </c>
      <c r="O81" s="36" t="s">
        <v>1325</v>
      </c>
      <c r="P81" s="36" t="s">
        <v>1392</v>
      </c>
      <c r="Q81" s="36" t="s">
        <v>1394</v>
      </c>
      <c r="R81" s="36" t="s">
        <v>551</v>
      </c>
      <c r="S81" s="42" t="s">
        <v>5084</v>
      </c>
      <c r="T81" s="43" t="s">
        <v>1395</v>
      </c>
      <c r="U81" s="44" t="s">
        <v>1378</v>
      </c>
      <c r="V81" s="43"/>
      <c r="W81" s="43" t="s">
        <v>130</v>
      </c>
      <c r="X81" s="43"/>
      <c r="Y81" s="43"/>
      <c r="Z81" s="43"/>
      <c r="AA81" s="43" t="s">
        <v>130</v>
      </c>
      <c r="AB81" s="43" t="s">
        <v>130</v>
      </c>
      <c r="AC81" s="43"/>
      <c r="AD81" s="43"/>
      <c r="AE81" s="43"/>
      <c r="AF81" s="43"/>
      <c r="AG81" s="45"/>
      <c r="AH81" s="1"/>
      <c r="AI81" s="1"/>
      <c r="AJ81" s="1"/>
    </row>
    <row r="82" spans="1:36">
      <c r="A82" s="36" t="s">
        <v>1324</v>
      </c>
      <c r="B82" s="36" t="s">
        <v>1325</v>
      </c>
      <c r="C82" s="36" t="s">
        <v>1396</v>
      </c>
      <c r="D82" s="36" t="s">
        <v>1397</v>
      </c>
      <c r="E82" s="38" t="s">
        <v>1398</v>
      </c>
      <c r="F82" s="36"/>
      <c r="G82" s="36" t="s">
        <v>1370</v>
      </c>
      <c r="H82" s="36" t="s">
        <v>1372</v>
      </c>
      <c r="I82" s="40"/>
      <c r="J82" s="36" t="s">
        <v>94</v>
      </c>
      <c r="K82" s="36" t="s">
        <v>94</v>
      </c>
      <c r="L82" s="36" t="s">
        <v>1336</v>
      </c>
      <c r="M82" s="36" t="s">
        <v>1399</v>
      </c>
      <c r="N82" s="36" t="s">
        <v>1400</v>
      </c>
      <c r="O82" s="36" t="s">
        <v>1325</v>
      </c>
      <c r="P82" s="36" t="s">
        <v>1399</v>
      </c>
      <c r="Q82" s="36" t="s">
        <v>1401</v>
      </c>
      <c r="R82" s="36" t="s">
        <v>1402</v>
      </c>
      <c r="S82" s="42" t="s">
        <v>5069</v>
      </c>
      <c r="T82" s="43" t="s">
        <v>1403</v>
      </c>
      <c r="U82" s="44" t="s">
        <v>1404</v>
      </c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5"/>
      <c r="AH82" s="1"/>
      <c r="AI82" s="1"/>
      <c r="AJ82" s="1"/>
    </row>
    <row r="83" spans="1:36">
      <c r="A83" s="36" t="s">
        <v>1324</v>
      </c>
      <c r="B83" s="36" t="s">
        <v>1325</v>
      </c>
      <c r="C83" s="36" t="s">
        <v>1405</v>
      </c>
      <c r="D83" s="36" t="s">
        <v>1406</v>
      </c>
      <c r="E83" s="38" t="s">
        <v>1407</v>
      </c>
      <c r="F83" s="36" t="s">
        <v>130</v>
      </c>
      <c r="G83" s="36" t="s">
        <v>1370</v>
      </c>
      <c r="H83" s="36" t="s">
        <v>1372</v>
      </c>
      <c r="I83" s="40" t="s">
        <v>130</v>
      </c>
      <c r="J83" s="36" t="s">
        <v>94</v>
      </c>
      <c r="K83" s="36" t="s">
        <v>94</v>
      </c>
      <c r="L83" s="36" t="s">
        <v>1336</v>
      </c>
      <c r="M83" s="36" t="s">
        <v>1408</v>
      </c>
      <c r="N83" s="36" t="s">
        <v>1409</v>
      </c>
      <c r="O83" s="36" t="s">
        <v>1325</v>
      </c>
      <c r="P83" s="36" t="s">
        <v>1408</v>
      </c>
      <c r="Q83" s="36" t="s">
        <v>1410</v>
      </c>
      <c r="R83" s="36" t="s">
        <v>551</v>
      </c>
      <c r="S83" s="42" t="s">
        <v>5077</v>
      </c>
      <c r="T83" s="43" t="s">
        <v>1411</v>
      </c>
      <c r="U83" s="44" t="s">
        <v>1404</v>
      </c>
      <c r="V83" s="43"/>
      <c r="W83" s="43" t="s">
        <v>130</v>
      </c>
      <c r="X83" s="43" t="s">
        <v>130</v>
      </c>
      <c r="Y83" s="43" t="s">
        <v>130</v>
      </c>
      <c r="Z83" s="43" t="s">
        <v>130</v>
      </c>
      <c r="AA83" s="43" t="s">
        <v>130</v>
      </c>
      <c r="AB83" s="43" t="s">
        <v>130</v>
      </c>
      <c r="AC83" s="43"/>
      <c r="AD83" s="43"/>
      <c r="AE83" s="43"/>
      <c r="AF83" s="43"/>
      <c r="AG83" s="45"/>
      <c r="AH83" s="1"/>
      <c r="AI83" s="1"/>
      <c r="AJ83" s="1"/>
    </row>
    <row r="84" spans="1:36">
      <c r="A84" s="36" t="s">
        <v>1324</v>
      </c>
      <c r="B84" s="36" t="s">
        <v>1325</v>
      </c>
      <c r="C84" s="36" t="s">
        <v>1412</v>
      </c>
      <c r="D84" s="36" t="s">
        <v>1413</v>
      </c>
      <c r="E84" s="38" t="s">
        <v>1414</v>
      </c>
      <c r="F84" s="36" t="s">
        <v>130</v>
      </c>
      <c r="G84" s="36" t="s">
        <v>1415</v>
      </c>
      <c r="H84" s="36" t="s">
        <v>1416</v>
      </c>
      <c r="I84" s="40"/>
      <c r="J84" s="36" t="s">
        <v>159</v>
      </c>
      <c r="K84" s="36" t="s">
        <v>94</v>
      </c>
      <c r="L84" s="36" t="s">
        <v>1336</v>
      </c>
      <c r="M84" s="36" t="s">
        <v>1417</v>
      </c>
      <c r="N84" s="36" t="s">
        <v>1418</v>
      </c>
      <c r="O84" s="36" t="s">
        <v>1419</v>
      </c>
      <c r="P84" s="36" t="s">
        <v>1420</v>
      </c>
      <c r="Q84" s="36" t="s">
        <v>1421</v>
      </c>
      <c r="R84" s="36" t="s">
        <v>885</v>
      </c>
      <c r="S84" s="42" t="s">
        <v>5100</v>
      </c>
      <c r="T84" s="43" t="s">
        <v>1422</v>
      </c>
      <c r="U84" s="44" t="s">
        <v>1423</v>
      </c>
      <c r="V84" s="43" t="s">
        <v>130</v>
      </c>
      <c r="W84" s="43"/>
      <c r="X84" s="43" t="s">
        <v>130</v>
      </c>
      <c r="Y84" s="43" t="s">
        <v>130</v>
      </c>
      <c r="Z84" s="43" t="s">
        <v>130</v>
      </c>
      <c r="AA84" s="43"/>
      <c r="AB84" s="43" t="s">
        <v>130</v>
      </c>
      <c r="AC84" s="43"/>
      <c r="AD84" s="43"/>
      <c r="AE84" s="43"/>
      <c r="AF84" s="43"/>
      <c r="AG84" s="45"/>
      <c r="AH84" s="1"/>
      <c r="AI84" s="1"/>
      <c r="AJ84" s="1"/>
    </row>
    <row r="85" spans="1:36">
      <c r="A85" s="36" t="s">
        <v>1324</v>
      </c>
      <c r="B85" s="36" t="s">
        <v>1325</v>
      </c>
      <c r="C85" s="36" t="s">
        <v>1426</v>
      </c>
      <c r="D85" s="36" t="s">
        <v>1427</v>
      </c>
      <c r="E85" s="38" t="s">
        <v>1428</v>
      </c>
      <c r="F85" s="36" t="s">
        <v>130</v>
      </c>
      <c r="G85" s="36" t="s">
        <v>1415</v>
      </c>
      <c r="H85" s="36" t="s">
        <v>1416</v>
      </c>
      <c r="I85" s="40" t="s">
        <v>130</v>
      </c>
      <c r="J85" s="36" t="s">
        <v>94</v>
      </c>
      <c r="K85" s="36" t="s">
        <v>94</v>
      </c>
      <c r="L85" s="36" t="s">
        <v>1336</v>
      </c>
      <c r="M85" s="36" t="s">
        <v>1429</v>
      </c>
      <c r="N85" s="36" t="s">
        <v>1430</v>
      </c>
      <c r="O85" s="36" t="s">
        <v>1419</v>
      </c>
      <c r="P85" s="36" t="s">
        <v>1431</v>
      </c>
      <c r="Q85" s="36" t="s">
        <v>1432</v>
      </c>
      <c r="R85" s="36" t="s">
        <v>164</v>
      </c>
      <c r="S85" s="42" t="s">
        <v>5101</v>
      </c>
      <c r="T85" s="43" t="s">
        <v>1433</v>
      </c>
      <c r="U85" s="44" t="s">
        <v>551</v>
      </c>
      <c r="V85" s="43" t="s">
        <v>130</v>
      </c>
      <c r="W85" s="43" t="s">
        <v>130</v>
      </c>
      <c r="X85" s="43" t="s">
        <v>130</v>
      </c>
      <c r="Y85" s="43" t="s">
        <v>130</v>
      </c>
      <c r="Z85" s="43" t="s">
        <v>130</v>
      </c>
      <c r="AA85" s="43" t="s">
        <v>130</v>
      </c>
      <c r="AB85" s="43" t="s">
        <v>130</v>
      </c>
      <c r="AC85" s="43"/>
      <c r="AD85" s="43"/>
      <c r="AE85" s="43"/>
      <c r="AF85" s="43"/>
      <c r="AG85" s="45"/>
      <c r="AH85" s="1"/>
      <c r="AI85" s="1"/>
      <c r="AJ85" s="1"/>
    </row>
    <row r="86" spans="1:36">
      <c r="A86" s="36" t="s">
        <v>1324</v>
      </c>
      <c r="B86" s="36" t="s">
        <v>1325</v>
      </c>
      <c r="C86" s="36" t="s">
        <v>1434</v>
      </c>
      <c r="D86" s="57" t="s">
        <v>1435</v>
      </c>
      <c r="E86" s="38" t="s">
        <v>1436</v>
      </c>
      <c r="F86" s="36" t="s">
        <v>130</v>
      </c>
      <c r="G86" s="36" t="s">
        <v>1415</v>
      </c>
      <c r="H86" s="36" t="s">
        <v>1416</v>
      </c>
      <c r="I86" s="40"/>
      <c r="J86" s="36" t="s">
        <v>94</v>
      </c>
      <c r="K86" s="36" t="s">
        <v>94</v>
      </c>
      <c r="L86" s="36" t="s">
        <v>1336</v>
      </c>
      <c r="M86" s="36" t="s">
        <v>1438</v>
      </c>
      <c r="N86" s="36" t="s">
        <v>1440</v>
      </c>
      <c r="O86" s="36" t="s">
        <v>1419</v>
      </c>
      <c r="P86" s="36" t="s">
        <v>1441</v>
      </c>
      <c r="Q86" s="36" t="s">
        <v>1442</v>
      </c>
      <c r="R86" s="36" t="s">
        <v>1443</v>
      </c>
      <c r="S86" s="42" t="s">
        <v>5102</v>
      </c>
      <c r="T86" s="43" t="s">
        <v>1444</v>
      </c>
      <c r="U86" s="44" t="s">
        <v>1423</v>
      </c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5"/>
      <c r="AH86" s="1"/>
      <c r="AI86" s="1"/>
      <c r="AJ86" s="1"/>
    </row>
    <row r="87" spans="1:36">
      <c r="A87" s="36" t="s">
        <v>1324</v>
      </c>
      <c r="B87" s="36" t="s">
        <v>1325</v>
      </c>
      <c r="C87" s="36" t="s">
        <v>1445</v>
      </c>
      <c r="D87" s="36" t="s">
        <v>1446</v>
      </c>
      <c r="E87" s="38" t="s">
        <v>1447</v>
      </c>
      <c r="F87" s="36" t="s">
        <v>130</v>
      </c>
      <c r="G87" s="36" t="s">
        <v>1415</v>
      </c>
      <c r="H87" s="36" t="s">
        <v>1416</v>
      </c>
      <c r="I87" s="40" t="s">
        <v>130</v>
      </c>
      <c r="J87" s="36" t="s">
        <v>94</v>
      </c>
      <c r="K87" s="36" t="s">
        <v>94</v>
      </c>
      <c r="L87" s="36" t="s">
        <v>1336</v>
      </c>
      <c r="M87" s="36" t="s">
        <v>1448</v>
      </c>
      <c r="N87" s="36" t="s">
        <v>1449</v>
      </c>
      <c r="O87" s="36" t="s">
        <v>1419</v>
      </c>
      <c r="P87" s="36" t="s">
        <v>1450</v>
      </c>
      <c r="Q87" s="36" t="s">
        <v>1451</v>
      </c>
      <c r="R87" s="36" t="s">
        <v>164</v>
      </c>
      <c r="S87" s="42" t="s">
        <v>5103</v>
      </c>
      <c r="T87" s="43" t="s">
        <v>1454</v>
      </c>
      <c r="U87" s="44" t="s">
        <v>551</v>
      </c>
      <c r="V87" s="43"/>
      <c r="W87" s="43" t="s">
        <v>130</v>
      </c>
      <c r="X87" s="43"/>
      <c r="Y87" s="43"/>
      <c r="Z87" s="43"/>
      <c r="AA87" s="43" t="s">
        <v>130</v>
      </c>
      <c r="AB87" s="43" t="s">
        <v>130</v>
      </c>
      <c r="AC87" s="43"/>
      <c r="AD87" s="43"/>
      <c r="AE87" s="43"/>
      <c r="AF87" s="43"/>
      <c r="AG87" s="45"/>
      <c r="AH87" s="1"/>
      <c r="AI87" s="1"/>
      <c r="AJ87" s="1"/>
    </row>
    <row r="88" spans="1:36">
      <c r="A88" s="36" t="s">
        <v>1324</v>
      </c>
      <c r="B88" s="36" t="s">
        <v>1325</v>
      </c>
      <c r="C88" s="36" t="s">
        <v>1455</v>
      </c>
      <c r="D88" s="36" t="s">
        <v>1456</v>
      </c>
      <c r="E88" s="38" t="s">
        <v>1457</v>
      </c>
      <c r="F88" s="36" t="s">
        <v>130</v>
      </c>
      <c r="G88" s="36" t="s">
        <v>1458</v>
      </c>
      <c r="H88" s="36" t="s">
        <v>1459</v>
      </c>
      <c r="I88" s="40" t="s">
        <v>130</v>
      </c>
      <c r="J88" s="36" t="s">
        <v>94</v>
      </c>
      <c r="K88" s="36" t="s">
        <v>94</v>
      </c>
      <c r="L88" s="36" t="s">
        <v>1336</v>
      </c>
      <c r="M88" s="36" t="s">
        <v>1460</v>
      </c>
      <c r="N88" s="36" t="s">
        <v>1461</v>
      </c>
      <c r="O88" s="36" t="s">
        <v>1419</v>
      </c>
      <c r="P88" s="36" t="s">
        <v>1462</v>
      </c>
      <c r="Q88" s="36" t="s">
        <v>1463</v>
      </c>
      <c r="R88" s="36" t="s">
        <v>164</v>
      </c>
      <c r="S88" s="42" t="s">
        <v>5091</v>
      </c>
      <c r="T88" s="43">
        <v>162</v>
      </c>
      <c r="U88" s="44" t="s">
        <v>1465</v>
      </c>
      <c r="V88" s="43" t="s">
        <v>130</v>
      </c>
      <c r="W88" s="43" t="s">
        <v>130</v>
      </c>
      <c r="X88" s="43" t="s">
        <v>130</v>
      </c>
      <c r="Y88" s="43" t="s">
        <v>130</v>
      </c>
      <c r="Z88" s="43" t="s">
        <v>130</v>
      </c>
      <c r="AA88" s="43" t="s">
        <v>130</v>
      </c>
      <c r="AB88" s="43" t="s">
        <v>130</v>
      </c>
      <c r="AC88" s="43"/>
      <c r="AD88" s="43"/>
      <c r="AE88" s="43"/>
      <c r="AF88" s="43"/>
      <c r="AG88" s="45"/>
      <c r="AH88" s="1"/>
      <c r="AI88" s="1"/>
      <c r="AJ88" s="1"/>
    </row>
    <row r="89" spans="1:36">
      <c r="A89" s="36" t="s">
        <v>1324</v>
      </c>
      <c r="B89" s="36" t="s">
        <v>1325</v>
      </c>
      <c r="C89" s="36" t="s">
        <v>1467</v>
      </c>
      <c r="D89" s="36" t="s">
        <v>1468</v>
      </c>
      <c r="E89" s="38" t="s">
        <v>1469</v>
      </c>
      <c r="F89" s="36" t="s">
        <v>130</v>
      </c>
      <c r="G89" s="36" t="s">
        <v>1458</v>
      </c>
      <c r="H89" s="36" t="s">
        <v>1459</v>
      </c>
      <c r="I89" s="40" t="s">
        <v>130</v>
      </c>
      <c r="J89" s="36" t="s">
        <v>94</v>
      </c>
      <c r="K89" s="36" t="s">
        <v>94</v>
      </c>
      <c r="L89" s="36" t="s">
        <v>1336</v>
      </c>
      <c r="M89" s="36" t="s">
        <v>1470</v>
      </c>
      <c r="N89" s="36" t="s">
        <v>1471</v>
      </c>
      <c r="O89" s="36" t="s">
        <v>1419</v>
      </c>
      <c r="P89" s="36" t="s">
        <v>1472</v>
      </c>
      <c r="Q89" s="36" t="s">
        <v>1473</v>
      </c>
      <c r="R89" s="36" t="s">
        <v>164</v>
      </c>
      <c r="S89" s="42" t="s">
        <v>5092</v>
      </c>
      <c r="T89" s="43" t="s">
        <v>1474</v>
      </c>
      <c r="U89" s="44" t="s">
        <v>1465</v>
      </c>
      <c r="V89" s="43" t="s">
        <v>130</v>
      </c>
      <c r="W89" s="43" t="s">
        <v>130</v>
      </c>
      <c r="X89" s="43" t="s">
        <v>130</v>
      </c>
      <c r="Y89" s="43" t="s">
        <v>130</v>
      </c>
      <c r="Z89" s="43" t="s">
        <v>130</v>
      </c>
      <c r="AA89" s="43" t="s">
        <v>130</v>
      </c>
      <c r="AB89" s="43"/>
      <c r="AC89" s="43"/>
      <c r="AD89" s="43"/>
      <c r="AE89" s="43"/>
      <c r="AF89" s="43"/>
      <c r="AG89" s="45"/>
      <c r="AH89" s="1"/>
      <c r="AI89" s="1"/>
      <c r="AJ89" s="1"/>
    </row>
    <row r="90" spans="1:36">
      <c r="A90" s="36" t="s">
        <v>1324</v>
      </c>
      <c r="B90" s="36" t="s">
        <v>1325</v>
      </c>
      <c r="C90" s="36" t="s">
        <v>1477</v>
      </c>
      <c r="D90" s="36" t="s">
        <v>1478</v>
      </c>
      <c r="E90" s="38" t="s">
        <v>1479</v>
      </c>
      <c r="F90" s="36" t="s">
        <v>130</v>
      </c>
      <c r="G90" s="36" t="s">
        <v>1458</v>
      </c>
      <c r="H90" s="36" t="s">
        <v>1459</v>
      </c>
      <c r="I90" s="40" t="s">
        <v>130</v>
      </c>
      <c r="J90" s="36" t="s">
        <v>94</v>
      </c>
      <c r="K90" s="36" t="s">
        <v>94</v>
      </c>
      <c r="L90" s="36" t="s">
        <v>1336</v>
      </c>
      <c r="M90" s="36" t="s">
        <v>1480</v>
      </c>
      <c r="N90" s="36" t="s">
        <v>1481</v>
      </c>
      <c r="O90" s="36" t="s">
        <v>1419</v>
      </c>
      <c r="P90" s="36" t="s">
        <v>1482</v>
      </c>
      <c r="Q90" s="36" t="s">
        <v>1483</v>
      </c>
      <c r="R90" s="36" t="s">
        <v>164</v>
      </c>
      <c r="S90" s="42" t="s">
        <v>5093</v>
      </c>
      <c r="T90" s="43" t="s">
        <v>1484</v>
      </c>
      <c r="U90" s="44" t="s">
        <v>1465</v>
      </c>
      <c r="V90" s="43" t="s">
        <v>130</v>
      </c>
      <c r="W90" s="43" t="s">
        <v>130</v>
      </c>
      <c r="X90" s="43" t="s">
        <v>130</v>
      </c>
      <c r="Y90" s="43" t="s">
        <v>130</v>
      </c>
      <c r="Z90" s="43" t="s">
        <v>130</v>
      </c>
      <c r="AA90" s="43" t="s">
        <v>130</v>
      </c>
      <c r="AB90" s="43" t="s">
        <v>130</v>
      </c>
      <c r="AC90" s="43"/>
      <c r="AD90" s="43"/>
      <c r="AE90" s="43"/>
      <c r="AF90" s="43"/>
      <c r="AG90" s="45"/>
      <c r="AH90" s="1"/>
      <c r="AI90" s="1"/>
      <c r="AJ90" s="1"/>
    </row>
    <row r="91" spans="1:36">
      <c r="A91" s="36" t="s">
        <v>1324</v>
      </c>
      <c r="B91" s="36" t="s">
        <v>1325</v>
      </c>
      <c r="C91" s="36" t="s">
        <v>1485</v>
      </c>
      <c r="D91" s="57" t="s">
        <v>1486</v>
      </c>
      <c r="E91" s="38" t="s">
        <v>1487</v>
      </c>
      <c r="F91" s="36"/>
      <c r="G91" s="36" t="s">
        <v>1488</v>
      </c>
      <c r="H91" s="36" t="s">
        <v>1489</v>
      </c>
      <c r="I91" s="40" t="s">
        <v>130</v>
      </c>
      <c r="J91" s="36" t="s">
        <v>94</v>
      </c>
      <c r="K91" s="36" t="s">
        <v>94</v>
      </c>
      <c r="L91" s="36" t="s">
        <v>1336</v>
      </c>
      <c r="M91" s="36" t="s">
        <v>1490</v>
      </c>
      <c r="N91" s="36" t="s">
        <v>1491</v>
      </c>
      <c r="O91" s="36" t="s">
        <v>1325</v>
      </c>
      <c r="P91" s="36" t="s">
        <v>1492</v>
      </c>
      <c r="Q91" s="36" t="s">
        <v>1494</v>
      </c>
      <c r="R91" s="36" t="s">
        <v>551</v>
      </c>
      <c r="S91" s="42" t="s">
        <v>5074</v>
      </c>
      <c r="T91" s="43" t="s">
        <v>1495</v>
      </c>
      <c r="U91" s="44" t="s">
        <v>551</v>
      </c>
      <c r="V91" s="43" t="s">
        <v>130</v>
      </c>
      <c r="W91" s="43" t="s">
        <v>130</v>
      </c>
      <c r="X91" s="43" t="s">
        <v>130</v>
      </c>
      <c r="Y91" s="43" t="s">
        <v>130</v>
      </c>
      <c r="Z91" s="43" t="s">
        <v>130</v>
      </c>
      <c r="AA91" s="43" t="s">
        <v>130</v>
      </c>
      <c r="AB91" s="43" t="s">
        <v>130</v>
      </c>
      <c r="AC91" s="43"/>
      <c r="AD91" s="43"/>
      <c r="AE91" s="43"/>
      <c r="AF91" s="43"/>
      <c r="AG91" s="45"/>
      <c r="AH91" s="1"/>
      <c r="AI91" s="1"/>
      <c r="AJ91" s="1"/>
    </row>
    <row r="92" spans="1:36">
      <c r="A92" s="36" t="s">
        <v>1324</v>
      </c>
      <c r="B92" s="36" t="s">
        <v>1325</v>
      </c>
      <c r="C92" s="36" t="s">
        <v>1496</v>
      </c>
      <c r="D92" s="36" t="s">
        <v>1497</v>
      </c>
      <c r="E92" s="38" t="s">
        <v>1498</v>
      </c>
      <c r="F92" s="36"/>
      <c r="G92" s="36" t="s">
        <v>1488</v>
      </c>
      <c r="H92" s="36" t="s">
        <v>1489</v>
      </c>
      <c r="I92" s="40"/>
      <c r="J92" s="36" t="s">
        <v>159</v>
      </c>
      <c r="K92" s="36" t="s">
        <v>94</v>
      </c>
      <c r="L92" s="36" t="s">
        <v>1336</v>
      </c>
      <c r="M92" s="36" t="s">
        <v>1499</v>
      </c>
      <c r="N92" s="36" t="s">
        <v>1500</v>
      </c>
      <c r="O92" s="36" t="s">
        <v>1325</v>
      </c>
      <c r="P92" s="36" t="s">
        <v>1499</v>
      </c>
      <c r="Q92" s="36" t="s">
        <v>1501</v>
      </c>
      <c r="R92" s="36" t="s">
        <v>1502</v>
      </c>
      <c r="S92" s="42" t="s">
        <v>5097</v>
      </c>
      <c r="T92" s="43" t="s">
        <v>1503</v>
      </c>
      <c r="U92" s="44" t="s">
        <v>1504</v>
      </c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5"/>
      <c r="AH92" s="1"/>
      <c r="AI92" s="1"/>
      <c r="AJ92" s="1"/>
    </row>
    <row r="93" spans="1:36">
      <c r="A93" s="36" t="s">
        <v>1324</v>
      </c>
      <c r="B93" s="36" t="s">
        <v>1325</v>
      </c>
      <c r="C93" s="36" t="s">
        <v>1507</v>
      </c>
      <c r="D93" s="36" t="s">
        <v>1508</v>
      </c>
      <c r="E93" s="38" t="s">
        <v>1509</v>
      </c>
      <c r="F93" s="36"/>
      <c r="G93" s="36" t="s">
        <v>1488</v>
      </c>
      <c r="H93" s="36" t="s">
        <v>1489</v>
      </c>
      <c r="I93" s="40" t="s">
        <v>130</v>
      </c>
      <c r="J93" s="36" t="s">
        <v>94</v>
      </c>
      <c r="K93" s="36" t="s">
        <v>94</v>
      </c>
      <c r="L93" s="36" t="s">
        <v>1336</v>
      </c>
      <c r="M93" s="36" t="s">
        <v>1511</v>
      </c>
      <c r="N93" s="36" t="s">
        <v>1512</v>
      </c>
      <c r="O93" s="36" t="s">
        <v>1325</v>
      </c>
      <c r="P93" s="36" t="s">
        <v>1511</v>
      </c>
      <c r="Q93" s="36" t="s">
        <v>1513</v>
      </c>
      <c r="R93" s="36" t="s">
        <v>551</v>
      </c>
      <c r="S93" s="42" t="s">
        <v>5115</v>
      </c>
      <c r="T93" s="43" t="s">
        <v>1514</v>
      </c>
      <c r="U93" s="44" t="s">
        <v>551</v>
      </c>
      <c r="V93" s="43"/>
      <c r="W93" s="43"/>
      <c r="X93" s="43" t="s">
        <v>130</v>
      </c>
      <c r="Y93" s="43" t="s">
        <v>130</v>
      </c>
      <c r="Z93" s="43" t="s">
        <v>130</v>
      </c>
      <c r="AA93" s="43" t="s">
        <v>130</v>
      </c>
      <c r="AB93" s="43" t="s">
        <v>130</v>
      </c>
      <c r="AC93" s="43"/>
      <c r="AD93" s="43"/>
      <c r="AE93" s="43"/>
      <c r="AF93" s="43"/>
      <c r="AG93" s="45"/>
      <c r="AH93" s="1"/>
      <c r="AI93" s="1"/>
      <c r="AJ93" s="1"/>
    </row>
    <row r="94" spans="1:36">
      <c r="A94" s="36" t="s">
        <v>1324</v>
      </c>
      <c r="B94" s="36" t="s">
        <v>1325</v>
      </c>
      <c r="C94" s="36" t="s">
        <v>1515</v>
      </c>
      <c r="D94" s="36" t="s">
        <v>1516</v>
      </c>
      <c r="E94" s="38" t="s">
        <v>1517</v>
      </c>
      <c r="F94" s="36"/>
      <c r="G94" s="36" t="s">
        <v>1488</v>
      </c>
      <c r="H94" s="36" t="s">
        <v>1489</v>
      </c>
      <c r="I94" s="40" t="s">
        <v>130</v>
      </c>
      <c r="J94" s="36" t="s">
        <v>94</v>
      </c>
      <c r="K94" s="36" t="s">
        <v>94</v>
      </c>
      <c r="L94" s="36" t="s">
        <v>1336</v>
      </c>
      <c r="M94" s="36" t="s">
        <v>1518</v>
      </c>
      <c r="N94" s="36" t="s">
        <v>1519</v>
      </c>
      <c r="O94" s="36" t="s">
        <v>1325</v>
      </c>
      <c r="P94" s="36" t="s">
        <v>1520</v>
      </c>
      <c r="Q94" s="36" t="s">
        <v>1521</v>
      </c>
      <c r="R94" s="36" t="s">
        <v>551</v>
      </c>
      <c r="S94" s="42" t="s">
        <v>5099</v>
      </c>
      <c r="T94" s="43" t="s">
        <v>1522</v>
      </c>
      <c r="U94" s="44" t="s">
        <v>1504</v>
      </c>
      <c r="V94" s="43" t="s">
        <v>130</v>
      </c>
      <c r="W94" s="43" t="s">
        <v>130</v>
      </c>
      <c r="X94" s="43" t="s">
        <v>130</v>
      </c>
      <c r="Y94" s="43" t="s">
        <v>130</v>
      </c>
      <c r="Z94" s="43" t="s">
        <v>130</v>
      </c>
      <c r="AA94" s="43" t="s">
        <v>130</v>
      </c>
      <c r="AB94" s="43" t="s">
        <v>130</v>
      </c>
      <c r="AC94" s="43"/>
      <c r="AD94" s="43"/>
      <c r="AE94" s="43"/>
      <c r="AF94" s="43"/>
      <c r="AG94" s="45"/>
      <c r="AH94" s="1"/>
      <c r="AI94" s="1"/>
      <c r="AJ94" s="1"/>
    </row>
    <row r="95" spans="1:36">
      <c r="A95" s="36" t="s">
        <v>1324</v>
      </c>
      <c r="B95" s="36" t="s">
        <v>1325</v>
      </c>
      <c r="C95" s="36" t="s">
        <v>1523</v>
      </c>
      <c r="D95" s="36" t="s">
        <v>1524</v>
      </c>
      <c r="E95" s="38" t="s">
        <v>1525</v>
      </c>
      <c r="F95" s="36"/>
      <c r="G95" s="36" t="s">
        <v>1488</v>
      </c>
      <c r="H95" s="36" t="s">
        <v>1489</v>
      </c>
      <c r="I95" s="40"/>
      <c r="J95" s="36" t="s">
        <v>94</v>
      </c>
      <c r="K95" s="36" t="s">
        <v>94</v>
      </c>
      <c r="L95" s="36" t="s">
        <v>1336</v>
      </c>
      <c r="M95" s="36" t="s">
        <v>1526</v>
      </c>
      <c r="N95" s="36" t="s">
        <v>1527</v>
      </c>
      <c r="O95" s="36" t="s">
        <v>1325</v>
      </c>
      <c r="P95" s="36" t="s">
        <v>1528</v>
      </c>
      <c r="Q95" s="36" t="s">
        <v>1529</v>
      </c>
      <c r="R95" s="36" t="s">
        <v>1530</v>
      </c>
      <c r="S95" s="42" t="s">
        <v>5080</v>
      </c>
      <c r="T95" s="43" t="s">
        <v>1531</v>
      </c>
      <c r="U95" s="44" t="s">
        <v>1504</v>
      </c>
      <c r="V95" s="43" t="s">
        <v>130</v>
      </c>
      <c r="W95" s="43" t="s">
        <v>130</v>
      </c>
      <c r="X95" s="43" t="s">
        <v>130</v>
      </c>
      <c r="Y95" s="43" t="s">
        <v>130</v>
      </c>
      <c r="Z95" s="43" t="s">
        <v>130</v>
      </c>
      <c r="AA95" s="43"/>
      <c r="AB95" s="43"/>
      <c r="AC95" s="43"/>
      <c r="AD95" s="43"/>
      <c r="AE95" s="43"/>
      <c r="AF95" s="43"/>
      <c r="AG95" s="45"/>
      <c r="AH95" s="1"/>
      <c r="AI95" s="1"/>
      <c r="AJ95" s="1"/>
    </row>
    <row r="96" spans="1:36">
      <c r="A96" s="36" t="s">
        <v>1324</v>
      </c>
      <c r="B96" s="36" t="s">
        <v>1419</v>
      </c>
      <c r="C96" s="36" t="s">
        <v>1532</v>
      </c>
      <c r="D96" s="36" t="s">
        <v>1533</v>
      </c>
      <c r="E96" s="38" t="s">
        <v>1534</v>
      </c>
      <c r="F96" s="36" t="s">
        <v>130</v>
      </c>
      <c r="G96" s="36" t="s">
        <v>1535</v>
      </c>
      <c r="H96" s="36" t="s">
        <v>1536</v>
      </c>
      <c r="I96" s="40" t="s">
        <v>130</v>
      </c>
      <c r="J96" s="36" t="s">
        <v>94</v>
      </c>
      <c r="K96" s="36" t="s">
        <v>94</v>
      </c>
      <c r="L96" s="36" t="s">
        <v>1336</v>
      </c>
      <c r="M96" s="36" t="s">
        <v>1538</v>
      </c>
      <c r="N96" s="36" t="s">
        <v>1539</v>
      </c>
      <c r="O96" s="36" t="s">
        <v>1325</v>
      </c>
      <c r="P96" s="36" t="s">
        <v>1540</v>
      </c>
      <c r="Q96" s="36" t="s">
        <v>1541</v>
      </c>
      <c r="R96" s="36" t="s">
        <v>551</v>
      </c>
      <c r="S96" s="42" t="s">
        <v>5079</v>
      </c>
      <c r="T96" s="43" t="s">
        <v>1542</v>
      </c>
      <c r="U96" s="44" t="s">
        <v>1543</v>
      </c>
      <c r="V96" s="43" t="s">
        <v>130</v>
      </c>
      <c r="W96" s="43" t="s">
        <v>130</v>
      </c>
      <c r="X96" s="43" t="s">
        <v>130</v>
      </c>
      <c r="Y96" s="43" t="s">
        <v>130</v>
      </c>
      <c r="Z96" s="43" t="s">
        <v>130</v>
      </c>
      <c r="AA96" s="43" t="s">
        <v>130</v>
      </c>
      <c r="AB96" s="43" t="s">
        <v>130</v>
      </c>
      <c r="AC96" s="43"/>
      <c r="AD96" s="43"/>
      <c r="AE96" s="43"/>
      <c r="AF96" s="43"/>
      <c r="AG96" s="45"/>
      <c r="AH96" s="1"/>
      <c r="AI96" s="1"/>
      <c r="AJ96" s="1"/>
    </row>
    <row r="97" spans="1:36">
      <c r="A97" s="36" t="s">
        <v>1324</v>
      </c>
      <c r="B97" s="36" t="s">
        <v>1419</v>
      </c>
      <c r="C97" s="36" t="s">
        <v>1544</v>
      </c>
      <c r="D97" s="57" t="s">
        <v>1545</v>
      </c>
      <c r="E97" s="38" t="s">
        <v>1546</v>
      </c>
      <c r="F97" s="36" t="s">
        <v>130</v>
      </c>
      <c r="G97" s="36" t="s">
        <v>1535</v>
      </c>
      <c r="H97" s="36" t="s">
        <v>1536</v>
      </c>
      <c r="I97" s="40" t="s">
        <v>130</v>
      </c>
      <c r="J97" s="36" t="s">
        <v>94</v>
      </c>
      <c r="K97" s="36" t="s">
        <v>94</v>
      </c>
      <c r="L97" s="36" t="s">
        <v>1336</v>
      </c>
      <c r="M97" s="36" t="s">
        <v>1547</v>
      </c>
      <c r="N97" s="36" t="s">
        <v>1548</v>
      </c>
      <c r="O97" s="36" t="s">
        <v>1325</v>
      </c>
      <c r="P97" s="36" t="s">
        <v>1549</v>
      </c>
      <c r="Q97" s="36" t="s">
        <v>1550</v>
      </c>
      <c r="R97" s="36" t="s">
        <v>551</v>
      </c>
      <c r="S97" s="42" t="s">
        <v>5106</v>
      </c>
      <c r="T97" s="43" t="s">
        <v>1552</v>
      </c>
      <c r="U97" s="44" t="s">
        <v>1543</v>
      </c>
      <c r="V97" s="43" t="s">
        <v>130</v>
      </c>
      <c r="W97" s="43" t="s">
        <v>130</v>
      </c>
      <c r="X97" s="43" t="s">
        <v>130</v>
      </c>
      <c r="Y97" s="43" t="s">
        <v>130</v>
      </c>
      <c r="Z97" s="43" t="s">
        <v>130</v>
      </c>
      <c r="AA97" s="43" t="s">
        <v>130</v>
      </c>
      <c r="AB97" s="43" t="s">
        <v>130</v>
      </c>
      <c r="AC97" s="43"/>
      <c r="AD97" s="43"/>
      <c r="AE97" s="43"/>
      <c r="AF97" s="43"/>
      <c r="AG97" s="45"/>
      <c r="AH97" s="1"/>
      <c r="AI97" s="1"/>
      <c r="AJ97" s="1"/>
    </row>
    <row r="98" spans="1:36">
      <c r="A98" s="36" t="s">
        <v>1324</v>
      </c>
      <c r="B98" s="36" t="s">
        <v>1419</v>
      </c>
      <c r="C98" s="36" t="s">
        <v>1554</v>
      </c>
      <c r="D98" s="36" t="s">
        <v>1555</v>
      </c>
      <c r="E98" s="38" t="s">
        <v>1556</v>
      </c>
      <c r="F98" s="36"/>
      <c r="G98" s="36" t="s">
        <v>1535</v>
      </c>
      <c r="H98" s="36" t="s">
        <v>1536</v>
      </c>
      <c r="I98" s="40" t="s">
        <v>130</v>
      </c>
      <c r="J98" s="36" t="s">
        <v>94</v>
      </c>
      <c r="K98" s="36" t="s">
        <v>94</v>
      </c>
      <c r="L98" s="36" t="s">
        <v>1336</v>
      </c>
      <c r="M98" s="36" t="s">
        <v>1557</v>
      </c>
      <c r="N98" s="36" t="s">
        <v>1558</v>
      </c>
      <c r="O98" s="36" t="s">
        <v>1325</v>
      </c>
      <c r="P98" s="36" t="s">
        <v>1559</v>
      </c>
      <c r="Q98" s="36" t="s">
        <v>1560</v>
      </c>
      <c r="R98" s="36" t="s">
        <v>551</v>
      </c>
      <c r="S98" s="42" t="s">
        <v>5070</v>
      </c>
      <c r="T98" s="43" t="s">
        <v>1561</v>
      </c>
      <c r="U98" s="44" t="s">
        <v>1404</v>
      </c>
      <c r="V98" s="43" t="s">
        <v>130</v>
      </c>
      <c r="W98" s="43" t="s">
        <v>130</v>
      </c>
      <c r="X98" s="43" t="s">
        <v>130</v>
      </c>
      <c r="Y98" s="43" t="s">
        <v>130</v>
      </c>
      <c r="Z98" s="43" t="s">
        <v>130</v>
      </c>
      <c r="AA98" s="43" t="s">
        <v>130</v>
      </c>
      <c r="AB98" s="43" t="s">
        <v>130</v>
      </c>
      <c r="AC98" s="43"/>
      <c r="AD98" s="43"/>
      <c r="AE98" s="43"/>
      <c r="AF98" s="43"/>
      <c r="AG98" s="45"/>
      <c r="AH98" s="1"/>
      <c r="AI98" s="1"/>
      <c r="AJ98" s="1"/>
    </row>
    <row r="99" spans="1:36">
      <c r="A99" s="36" t="s">
        <v>1324</v>
      </c>
      <c r="B99" s="36" t="s">
        <v>1419</v>
      </c>
      <c r="C99" s="36" t="s">
        <v>1564</v>
      </c>
      <c r="D99" s="36" t="s">
        <v>1565</v>
      </c>
      <c r="E99" s="38" t="s">
        <v>1566</v>
      </c>
      <c r="F99" s="36" t="s">
        <v>130</v>
      </c>
      <c r="G99" s="36" t="s">
        <v>1567</v>
      </c>
      <c r="H99" s="36" t="s">
        <v>1568</v>
      </c>
      <c r="I99" s="40" t="s">
        <v>130</v>
      </c>
      <c r="J99" s="36" t="s">
        <v>94</v>
      </c>
      <c r="K99" s="36" t="s">
        <v>94</v>
      </c>
      <c r="L99" s="36" t="s">
        <v>1336</v>
      </c>
      <c r="M99" s="36" t="s">
        <v>1569</v>
      </c>
      <c r="N99" s="36" t="s">
        <v>1570</v>
      </c>
      <c r="O99" s="36" t="s">
        <v>1571</v>
      </c>
      <c r="P99" s="36" t="s">
        <v>1377</v>
      </c>
      <c r="Q99" s="36" t="s">
        <v>1572</v>
      </c>
      <c r="R99" s="36" t="s">
        <v>164</v>
      </c>
      <c r="S99" s="42" t="s">
        <v>5107</v>
      </c>
      <c r="T99" s="43" t="s">
        <v>1573</v>
      </c>
      <c r="U99" s="44" t="s">
        <v>1574</v>
      </c>
      <c r="V99" s="43" t="s">
        <v>130</v>
      </c>
      <c r="W99" s="43" t="s">
        <v>130</v>
      </c>
      <c r="X99" s="43" t="s">
        <v>130</v>
      </c>
      <c r="Y99" s="43" t="s">
        <v>130</v>
      </c>
      <c r="Z99" s="43" t="s">
        <v>130</v>
      </c>
      <c r="AA99" s="43" t="s">
        <v>130</v>
      </c>
      <c r="AB99" s="43" t="s">
        <v>130</v>
      </c>
      <c r="AC99" s="43"/>
      <c r="AD99" s="43"/>
      <c r="AE99" s="43"/>
      <c r="AF99" s="43"/>
      <c r="AG99" s="45"/>
      <c r="AH99" s="1"/>
      <c r="AI99" s="1"/>
      <c r="AJ99" s="1"/>
    </row>
    <row r="100" spans="1:36">
      <c r="A100" s="36" t="s">
        <v>1324</v>
      </c>
      <c r="B100" s="36" t="s">
        <v>1419</v>
      </c>
      <c r="C100" s="36" t="s">
        <v>1575</v>
      </c>
      <c r="D100" s="36" t="s">
        <v>1577</v>
      </c>
      <c r="E100" s="38" t="s">
        <v>1578</v>
      </c>
      <c r="F100" s="36" t="s">
        <v>130</v>
      </c>
      <c r="G100" s="36" t="s">
        <v>1567</v>
      </c>
      <c r="H100" s="36" t="s">
        <v>1568</v>
      </c>
      <c r="I100" s="40"/>
      <c r="J100" s="36" t="s">
        <v>94</v>
      </c>
      <c r="K100" s="36" t="s">
        <v>94</v>
      </c>
      <c r="L100" s="36" t="s">
        <v>1336</v>
      </c>
      <c r="M100" s="36" t="s">
        <v>1580</v>
      </c>
      <c r="N100" s="36" t="s">
        <v>1581</v>
      </c>
      <c r="O100" s="36" t="s">
        <v>1571</v>
      </c>
      <c r="P100" s="36" t="s">
        <v>1495</v>
      </c>
      <c r="Q100" s="36" t="s">
        <v>1582</v>
      </c>
      <c r="R100" s="36" t="s">
        <v>1583</v>
      </c>
      <c r="S100" s="42" t="s">
        <v>5116</v>
      </c>
      <c r="T100" s="43" t="s">
        <v>1584</v>
      </c>
      <c r="U100" s="44" t="s">
        <v>1574</v>
      </c>
      <c r="V100" s="43" t="s">
        <v>130</v>
      </c>
      <c r="W100" s="43"/>
      <c r="X100" s="43" t="s">
        <v>130</v>
      </c>
      <c r="Y100" s="43" t="s">
        <v>130</v>
      </c>
      <c r="Z100" s="43" t="s">
        <v>130</v>
      </c>
      <c r="AA100" s="43"/>
      <c r="AB100" s="43"/>
      <c r="AC100" s="43"/>
      <c r="AD100" s="43"/>
      <c r="AE100" s="43"/>
      <c r="AF100" s="43"/>
      <c r="AG100" s="45"/>
      <c r="AH100" s="1"/>
      <c r="AI100" s="1"/>
      <c r="AJ100" s="1"/>
    </row>
    <row r="101" spans="1:36">
      <c r="A101" s="36" t="s">
        <v>1324</v>
      </c>
      <c r="B101" s="36" t="s">
        <v>1419</v>
      </c>
      <c r="C101" s="36" t="s">
        <v>1585</v>
      </c>
      <c r="D101" s="36" t="s">
        <v>1586</v>
      </c>
      <c r="E101" s="38" t="s">
        <v>1587</v>
      </c>
      <c r="F101" s="36" t="s">
        <v>130</v>
      </c>
      <c r="G101" s="36" t="s">
        <v>1567</v>
      </c>
      <c r="H101" s="36" t="s">
        <v>1568</v>
      </c>
      <c r="I101" s="40" t="s">
        <v>130</v>
      </c>
      <c r="J101" s="36" t="s">
        <v>94</v>
      </c>
      <c r="K101" s="36" t="s">
        <v>94</v>
      </c>
      <c r="L101" s="36" t="s">
        <v>1336</v>
      </c>
      <c r="M101" s="36" t="s">
        <v>1588</v>
      </c>
      <c r="N101" s="36" t="s">
        <v>1589</v>
      </c>
      <c r="O101" s="36" t="s">
        <v>1571</v>
      </c>
      <c r="P101" s="36" t="s">
        <v>1591</v>
      </c>
      <c r="Q101" s="36" t="s">
        <v>1592</v>
      </c>
      <c r="R101" s="36" t="s">
        <v>164</v>
      </c>
      <c r="S101" s="42" t="s">
        <v>5117</v>
      </c>
      <c r="T101" s="43" t="s">
        <v>1594</v>
      </c>
      <c r="U101" s="44" t="s">
        <v>1574</v>
      </c>
      <c r="V101" s="43" t="s">
        <v>130</v>
      </c>
      <c r="W101" s="43" t="s">
        <v>130</v>
      </c>
      <c r="X101" s="43" t="s">
        <v>130</v>
      </c>
      <c r="Y101" s="43" t="s">
        <v>130</v>
      </c>
      <c r="Z101" s="43" t="s">
        <v>130</v>
      </c>
      <c r="AA101" s="43" t="s">
        <v>130</v>
      </c>
      <c r="AB101" s="43" t="s">
        <v>130</v>
      </c>
      <c r="AC101" s="43"/>
      <c r="AD101" s="43"/>
      <c r="AE101" s="43"/>
      <c r="AF101" s="43"/>
      <c r="AG101" s="45"/>
      <c r="AH101" s="1"/>
      <c r="AI101" s="1"/>
      <c r="AJ101" s="1"/>
    </row>
    <row r="102" spans="1:36">
      <c r="A102" s="36" t="s">
        <v>1324</v>
      </c>
      <c r="B102" s="36" t="s">
        <v>1419</v>
      </c>
      <c r="C102" s="36" t="s">
        <v>1595</v>
      </c>
      <c r="D102" s="36" t="s">
        <v>1596</v>
      </c>
      <c r="E102" s="38" t="s">
        <v>1597</v>
      </c>
      <c r="F102" s="36" t="s">
        <v>130</v>
      </c>
      <c r="G102" s="36" t="s">
        <v>1567</v>
      </c>
      <c r="H102" s="36" t="s">
        <v>1568</v>
      </c>
      <c r="I102" s="40"/>
      <c r="J102" s="36" t="s">
        <v>159</v>
      </c>
      <c r="K102" s="36" t="s">
        <v>94</v>
      </c>
      <c r="L102" s="36" t="s">
        <v>1336</v>
      </c>
      <c r="M102" s="36" t="s">
        <v>1598</v>
      </c>
      <c r="N102" s="36" t="s">
        <v>1599</v>
      </c>
      <c r="O102" s="36" t="s">
        <v>1571</v>
      </c>
      <c r="P102" s="36" t="s">
        <v>1403</v>
      </c>
      <c r="Q102" s="36" t="s">
        <v>1600</v>
      </c>
      <c r="R102" s="36" t="s">
        <v>1601</v>
      </c>
      <c r="S102" s="42" t="s">
        <v>5118</v>
      </c>
      <c r="T102" s="43" t="s">
        <v>1603</v>
      </c>
      <c r="U102" s="44" t="s">
        <v>1604</v>
      </c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5"/>
      <c r="AH102" s="1"/>
      <c r="AI102" s="1"/>
      <c r="AJ102" s="1"/>
    </row>
    <row r="103" spans="1:36">
      <c r="A103" s="36" t="s">
        <v>1324</v>
      </c>
      <c r="B103" s="36" t="s">
        <v>1419</v>
      </c>
      <c r="C103" s="36" t="s">
        <v>1606</v>
      </c>
      <c r="D103" s="36" t="s">
        <v>1607</v>
      </c>
      <c r="E103" s="38" t="s">
        <v>1608</v>
      </c>
      <c r="F103" s="36" t="s">
        <v>130</v>
      </c>
      <c r="G103" s="36" t="s">
        <v>1567</v>
      </c>
      <c r="H103" s="36" t="s">
        <v>1568</v>
      </c>
      <c r="I103" s="40" t="s">
        <v>130</v>
      </c>
      <c r="J103" s="36" t="s">
        <v>94</v>
      </c>
      <c r="K103" s="36" t="s">
        <v>94</v>
      </c>
      <c r="L103" s="36" t="s">
        <v>1336</v>
      </c>
      <c r="M103" s="36" t="s">
        <v>1609</v>
      </c>
      <c r="N103" s="36" t="s">
        <v>1610</v>
      </c>
      <c r="O103" s="36" t="s">
        <v>1571</v>
      </c>
      <c r="P103" s="36" t="s">
        <v>1503</v>
      </c>
      <c r="Q103" s="36" t="s">
        <v>1611</v>
      </c>
      <c r="R103" s="36" t="s">
        <v>164</v>
      </c>
      <c r="S103" s="42" t="s">
        <v>5119</v>
      </c>
      <c r="T103" s="43" t="s">
        <v>1613</v>
      </c>
      <c r="U103" s="44" t="s">
        <v>1614</v>
      </c>
      <c r="V103" s="43" t="s">
        <v>130</v>
      </c>
      <c r="W103" s="43" t="s">
        <v>130</v>
      </c>
      <c r="X103" s="43" t="s">
        <v>130</v>
      </c>
      <c r="Y103" s="43" t="s">
        <v>130</v>
      </c>
      <c r="Z103" s="43" t="s">
        <v>130</v>
      </c>
      <c r="AA103" s="43" t="s">
        <v>130</v>
      </c>
      <c r="AB103" s="43" t="s">
        <v>130</v>
      </c>
      <c r="AC103" s="43"/>
      <c r="AD103" s="43"/>
      <c r="AE103" s="43"/>
      <c r="AF103" s="43"/>
      <c r="AG103" s="45"/>
      <c r="AH103" s="1"/>
      <c r="AI103" s="1"/>
      <c r="AJ103" s="1"/>
    </row>
    <row r="104" spans="1:36">
      <c r="A104" s="36" t="s">
        <v>1324</v>
      </c>
      <c r="B104" s="36" t="s">
        <v>1419</v>
      </c>
      <c r="C104" s="36" t="s">
        <v>1616</v>
      </c>
      <c r="D104" s="36" t="s">
        <v>1617</v>
      </c>
      <c r="E104" s="38" t="s">
        <v>1618</v>
      </c>
      <c r="F104" s="36" t="s">
        <v>130</v>
      </c>
      <c r="G104" s="36" t="s">
        <v>1619</v>
      </c>
      <c r="H104" s="36" t="s">
        <v>1620</v>
      </c>
      <c r="I104" s="40" t="s">
        <v>130</v>
      </c>
      <c r="J104" s="36" t="s">
        <v>94</v>
      </c>
      <c r="K104" s="36" t="s">
        <v>94</v>
      </c>
      <c r="L104" s="36" t="s">
        <v>1336</v>
      </c>
      <c r="M104" s="36" t="s">
        <v>1621</v>
      </c>
      <c r="N104" s="36" t="s">
        <v>1622</v>
      </c>
      <c r="O104" s="36" t="s">
        <v>1419</v>
      </c>
      <c r="P104" s="36" t="s">
        <v>1623</v>
      </c>
      <c r="Q104" s="36" t="s">
        <v>1624</v>
      </c>
      <c r="R104" s="36" t="s">
        <v>164</v>
      </c>
      <c r="S104" s="42" t="s">
        <v>5086</v>
      </c>
      <c r="T104" s="43" t="s">
        <v>1625</v>
      </c>
      <c r="U104" s="44" t="s">
        <v>1626</v>
      </c>
      <c r="V104" s="43" t="s">
        <v>130</v>
      </c>
      <c r="W104" s="43" t="s">
        <v>130</v>
      </c>
      <c r="X104" s="43" t="s">
        <v>130</v>
      </c>
      <c r="Y104" s="43" t="s">
        <v>130</v>
      </c>
      <c r="Z104" s="43" t="s">
        <v>130</v>
      </c>
      <c r="AA104" s="43" t="s">
        <v>130</v>
      </c>
      <c r="AB104" s="43" t="s">
        <v>130</v>
      </c>
      <c r="AC104" s="43"/>
      <c r="AD104" s="43"/>
      <c r="AE104" s="43"/>
      <c r="AF104" s="43"/>
      <c r="AG104" s="45"/>
      <c r="AH104" s="1"/>
      <c r="AI104" s="1"/>
      <c r="AJ104" s="1"/>
    </row>
    <row r="105" spans="1:36">
      <c r="A105" s="36" t="s">
        <v>1324</v>
      </c>
      <c r="B105" s="36" t="s">
        <v>1419</v>
      </c>
      <c r="C105" s="36" t="s">
        <v>1629</v>
      </c>
      <c r="D105" s="36" t="s">
        <v>1630</v>
      </c>
      <c r="E105" s="38" t="s">
        <v>1631</v>
      </c>
      <c r="F105" s="36" t="s">
        <v>130</v>
      </c>
      <c r="G105" s="36" t="s">
        <v>1619</v>
      </c>
      <c r="H105" s="36" t="s">
        <v>1620</v>
      </c>
      <c r="I105" s="40" t="s">
        <v>130</v>
      </c>
      <c r="J105" s="36" t="s">
        <v>94</v>
      </c>
      <c r="K105" s="36" t="s">
        <v>94</v>
      </c>
      <c r="L105" s="36" t="s">
        <v>1336</v>
      </c>
      <c r="M105" s="36" t="s">
        <v>1632</v>
      </c>
      <c r="N105" s="36" t="s">
        <v>1633</v>
      </c>
      <c r="O105" s="36" t="s">
        <v>1419</v>
      </c>
      <c r="P105" s="36" t="s">
        <v>1634</v>
      </c>
      <c r="Q105" s="36" t="s">
        <v>1635</v>
      </c>
      <c r="R105" s="36" t="s">
        <v>164</v>
      </c>
      <c r="S105" s="42" t="s">
        <v>5087</v>
      </c>
      <c r="T105" s="43">
        <v>176</v>
      </c>
      <c r="U105" s="44" t="s">
        <v>1626</v>
      </c>
      <c r="V105" s="43" t="s">
        <v>130</v>
      </c>
      <c r="W105" s="43" t="s">
        <v>130</v>
      </c>
      <c r="X105" s="43" t="s">
        <v>130</v>
      </c>
      <c r="Y105" s="43" t="s">
        <v>130</v>
      </c>
      <c r="Z105" s="43" t="s">
        <v>130</v>
      </c>
      <c r="AA105" s="43" t="s">
        <v>130</v>
      </c>
      <c r="AB105" s="43" t="s">
        <v>130</v>
      </c>
      <c r="AC105" s="43"/>
      <c r="AD105" s="43"/>
      <c r="AE105" s="43"/>
      <c r="AF105" s="43"/>
      <c r="AG105" s="45"/>
      <c r="AH105" s="1"/>
      <c r="AI105" s="1"/>
      <c r="AJ105" s="1"/>
    </row>
    <row r="106" spans="1:36">
      <c r="A106" s="36" t="s">
        <v>1324</v>
      </c>
      <c r="B106" s="36" t="s">
        <v>1419</v>
      </c>
      <c r="C106" s="36" t="s">
        <v>1637</v>
      </c>
      <c r="D106" s="36" t="s">
        <v>1638</v>
      </c>
      <c r="E106" s="38" t="s">
        <v>1639</v>
      </c>
      <c r="F106" s="36" t="s">
        <v>130</v>
      </c>
      <c r="G106" s="36" t="s">
        <v>1619</v>
      </c>
      <c r="H106" s="36" t="s">
        <v>1620</v>
      </c>
      <c r="I106" s="40" t="s">
        <v>130</v>
      </c>
      <c r="J106" s="36" t="s">
        <v>94</v>
      </c>
      <c r="K106" s="36" t="s">
        <v>94</v>
      </c>
      <c r="L106" s="36" t="s">
        <v>1336</v>
      </c>
      <c r="M106" s="36" t="s">
        <v>1640</v>
      </c>
      <c r="N106" s="36" t="s">
        <v>1641</v>
      </c>
      <c r="O106" s="36" t="s">
        <v>1419</v>
      </c>
      <c r="P106" s="36" t="s">
        <v>1642</v>
      </c>
      <c r="Q106" s="36" t="s">
        <v>1643</v>
      </c>
      <c r="R106" s="36" t="s">
        <v>164</v>
      </c>
      <c r="S106" s="42" t="s">
        <v>5088</v>
      </c>
      <c r="T106" s="43" t="s">
        <v>1644</v>
      </c>
      <c r="U106" s="44" t="s">
        <v>1543</v>
      </c>
      <c r="V106" s="43" t="s">
        <v>130</v>
      </c>
      <c r="W106" s="43" t="s">
        <v>130</v>
      </c>
      <c r="X106" s="43" t="s">
        <v>130</v>
      </c>
      <c r="Y106" s="43" t="s">
        <v>130</v>
      </c>
      <c r="Z106" s="43" t="s">
        <v>130</v>
      </c>
      <c r="AA106" s="43" t="s">
        <v>130</v>
      </c>
      <c r="AB106" s="43" t="s">
        <v>130</v>
      </c>
      <c r="AC106" s="43"/>
      <c r="AD106" s="43"/>
      <c r="AE106" s="43"/>
      <c r="AF106" s="43"/>
      <c r="AG106" s="45"/>
      <c r="AH106" s="1"/>
      <c r="AI106" s="1"/>
      <c r="AJ106" s="1"/>
    </row>
    <row r="107" spans="1:36">
      <c r="A107" s="36" t="s">
        <v>1324</v>
      </c>
      <c r="B107" s="36" t="s">
        <v>1419</v>
      </c>
      <c r="C107" s="36" t="s">
        <v>1646</v>
      </c>
      <c r="D107" s="36" t="s">
        <v>1648</v>
      </c>
      <c r="E107" s="38" t="s">
        <v>1649</v>
      </c>
      <c r="F107" s="36" t="s">
        <v>130</v>
      </c>
      <c r="G107" s="36" t="s">
        <v>1619</v>
      </c>
      <c r="H107" s="36" t="s">
        <v>1620</v>
      </c>
      <c r="I107" s="40"/>
      <c r="J107" s="36" t="s">
        <v>94</v>
      </c>
      <c r="K107" s="36" t="s">
        <v>94</v>
      </c>
      <c r="L107" s="36" t="s">
        <v>1336</v>
      </c>
      <c r="M107" s="36" t="s">
        <v>1650</v>
      </c>
      <c r="N107" s="36" t="s">
        <v>1651</v>
      </c>
      <c r="O107" s="36" t="s">
        <v>1419</v>
      </c>
      <c r="P107" s="36" t="s">
        <v>1652</v>
      </c>
      <c r="Q107" s="36" t="s">
        <v>1653</v>
      </c>
      <c r="R107" s="36" t="s">
        <v>1465</v>
      </c>
      <c r="S107" s="42" t="s">
        <v>5089</v>
      </c>
      <c r="T107" s="43" t="s">
        <v>1654</v>
      </c>
      <c r="U107" s="44" t="s">
        <v>551</v>
      </c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5"/>
      <c r="AH107" s="1"/>
      <c r="AI107" s="1"/>
      <c r="AJ107" s="1"/>
    </row>
    <row r="108" spans="1:36">
      <c r="A108" s="36" t="s">
        <v>1324</v>
      </c>
      <c r="B108" s="36" t="s">
        <v>1419</v>
      </c>
      <c r="C108" s="36" t="s">
        <v>1655</v>
      </c>
      <c r="D108" s="36" t="s">
        <v>1656</v>
      </c>
      <c r="E108" s="38" t="s">
        <v>1658</v>
      </c>
      <c r="F108" s="36" t="s">
        <v>130</v>
      </c>
      <c r="G108" s="36" t="s">
        <v>1619</v>
      </c>
      <c r="H108" s="36" t="s">
        <v>1620</v>
      </c>
      <c r="I108" s="40"/>
      <c r="J108" s="36" t="s">
        <v>159</v>
      </c>
      <c r="K108" s="36" t="s">
        <v>94</v>
      </c>
      <c r="L108" s="36" t="s">
        <v>1336</v>
      </c>
      <c r="M108" s="36" t="s">
        <v>1660</v>
      </c>
      <c r="N108" s="36" t="s">
        <v>1661</v>
      </c>
      <c r="O108" s="36" t="s">
        <v>1571</v>
      </c>
      <c r="P108" s="36" t="s">
        <v>1662</v>
      </c>
      <c r="Q108" s="36" t="s">
        <v>1663</v>
      </c>
      <c r="R108" s="36" t="s">
        <v>1664</v>
      </c>
      <c r="S108" s="42" t="s">
        <v>5120</v>
      </c>
      <c r="T108" s="43">
        <v>186</v>
      </c>
      <c r="U108" s="44" t="s">
        <v>551</v>
      </c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5"/>
      <c r="AH108" s="1"/>
      <c r="AI108" s="1"/>
      <c r="AJ108" s="1"/>
    </row>
    <row r="109" spans="1:36">
      <c r="A109" s="36" t="s">
        <v>1324</v>
      </c>
      <c r="B109" s="36" t="s">
        <v>1419</v>
      </c>
      <c r="C109" s="36" t="s">
        <v>1665</v>
      </c>
      <c r="D109" s="36" t="s">
        <v>1666</v>
      </c>
      <c r="E109" s="38" t="s">
        <v>1667</v>
      </c>
      <c r="F109" s="36" t="s">
        <v>130</v>
      </c>
      <c r="G109" s="36" t="s">
        <v>1619</v>
      </c>
      <c r="H109" s="36" t="s">
        <v>1620</v>
      </c>
      <c r="I109" s="40"/>
      <c r="J109" s="36" t="s">
        <v>94</v>
      </c>
      <c r="K109" s="36" t="s">
        <v>94</v>
      </c>
      <c r="L109" s="36" t="s">
        <v>1336</v>
      </c>
      <c r="M109" s="36" t="s">
        <v>1670</v>
      </c>
      <c r="N109" s="36" t="s">
        <v>1671</v>
      </c>
      <c r="O109" s="36" t="s">
        <v>1571</v>
      </c>
      <c r="P109" s="36" t="s">
        <v>1672</v>
      </c>
      <c r="Q109" s="36" t="s">
        <v>1673</v>
      </c>
      <c r="R109" s="36" t="s">
        <v>1674</v>
      </c>
      <c r="S109" s="42" t="s">
        <v>5121</v>
      </c>
      <c r="T109" s="43" t="s">
        <v>1675</v>
      </c>
      <c r="U109" s="44" t="s">
        <v>551</v>
      </c>
      <c r="V109" s="43" t="s">
        <v>130</v>
      </c>
      <c r="W109" s="43"/>
      <c r="X109" s="43" t="s">
        <v>130</v>
      </c>
      <c r="Y109" s="43" t="s">
        <v>130</v>
      </c>
      <c r="Z109" s="43" t="s">
        <v>130</v>
      </c>
      <c r="AA109" s="43"/>
      <c r="AB109" s="43"/>
      <c r="AC109" s="43"/>
      <c r="AD109" s="43"/>
      <c r="AE109" s="43"/>
      <c r="AF109" s="43"/>
      <c r="AG109" s="45"/>
      <c r="AH109" s="1"/>
      <c r="AI109" s="1"/>
      <c r="AJ109" s="1"/>
    </row>
    <row r="110" spans="1:36">
      <c r="A110" s="36" t="s">
        <v>1324</v>
      </c>
      <c r="B110" s="36" t="s">
        <v>1419</v>
      </c>
      <c r="C110" s="36" t="s">
        <v>1676</v>
      </c>
      <c r="D110" s="57" t="s">
        <v>1677</v>
      </c>
      <c r="E110" s="38" t="s">
        <v>1678</v>
      </c>
      <c r="F110" s="36" t="s">
        <v>130</v>
      </c>
      <c r="G110" s="36" t="s">
        <v>1679</v>
      </c>
      <c r="H110" s="36" t="s">
        <v>1681</v>
      </c>
      <c r="I110" s="40" t="s">
        <v>130</v>
      </c>
      <c r="J110" s="36" t="s">
        <v>94</v>
      </c>
      <c r="K110" s="36" t="s">
        <v>94</v>
      </c>
      <c r="L110" s="36" t="s">
        <v>1336</v>
      </c>
      <c r="M110" s="36" t="s">
        <v>1683</v>
      </c>
      <c r="N110" s="36" t="s">
        <v>1684</v>
      </c>
      <c r="O110" s="36" t="s">
        <v>1571</v>
      </c>
      <c r="P110" s="36" t="s">
        <v>1685</v>
      </c>
      <c r="Q110" s="36" t="s">
        <v>1686</v>
      </c>
      <c r="R110" s="36" t="s">
        <v>164</v>
      </c>
      <c r="S110" s="42" t="s">
        <v>5122</v>
      </c>
      <c r="T110" s="43" t="s">
        <v>1687</v>
      </c>
      <c r="U110" s="44" t="s">
        <v>551</v>
      </c>
      <c r="V110" s="43" t="s">
        <v>130</v>
      </c>
      <c r="W110" s="43" t="s">
        <v>130</v>
      </c>
      <c r="X110" s="43" t="s">
        <v>130</v>
      </c>
      <c r="Y110" s="43" t="s">
        <v>130</v>
      </c>
      <c r="Z110" s="43" t="s">
        <v>130</v>
      </c>
      <c r="AA110" s="43" t="s">
        <v>130</v>
      </c>
      <c r="AB110" s="43" t="s">
        <v>130</v>
      </c>
      <c r="AC110" s="43"/>
      <c r="AD110" s="43"/>
      <c r="AE110" s="43"/>
      <c r="AF110" s="43"/>
      <c r="AG110" s="45"/>
      <c r="AH110" s="1"/>
      <c r="AI110" s="1"/>
      <c r="AJ110" s="1"/>
    </row>
    <row r="111" spans="1:36">
      <c r="A111" s="36" t="s">
        <v>1324</v>
      </c>
      <c r="B111" s="36" t="s">
        <v>1419</v>
      </c>
      <c r="C111" s="36" t="s">
        <v>1688</v>
      </c>
      <c r="D111" s="36" t="s">
        <v>1689</v>
      </c>
      <c r="E111" s="38" t="s">
        <v>1690</v>
      </c>
      <c r="F111" s="36" t="s">
        <v>130</v>
      </c>
      <c r="G111" s="36" t="s">
        <v>1679</v>
      </c>
      <c r="H111" s="36" t="s">
        <v>1681</v>
      </c>
      <c r="I111" s="40" t="s">
        <v>130</v>
      </c>
      <c r="J111" s="36" t="s">
        <v>94</v>
      </c>
      <c r="K111" s="36" t="s">
        <v>94</v>
      </c>
      <c r="L111" s="36" t="s">
        <v>1336</v>
      </c>
      <c r="M111" s="36" t="s">
        <v>1693</v>
      </c>
      <c r="N111" s="36" t="s">
        <v>1694</v>
      </c>
      <c r="O111" s="36" t="s">
        <v>1571</v>
      </c>
      <c r="P111" s="36" t="s">
        <v>1344</v>
      </c>
      <c r="Q111" s="36" t="s">
        <v>1695</v>
      </c>
      <c r="R111" s="36" t="s">
        <v>164</v>
      </c>
      <c r="S111" s="42" t="s">
        <v>5123</v>
      </c>
      <c r="T111" s="43" t="s">
        <v>1696</v>
      </c>
      <c r="U111" s="44" t="s">
        <v>1604</v>
      </c>
      <c r="V111" s="43" t="s">
        <v>130</v>
      </c>
      <c r="W111" s="43" t="s">
        <v>130</v>
      </c>
      <c r="X111" s="43" t="s">
        <v>130</v>
      </c>
      <c r="Y111" s="43" t="s">
        <v>130</v>
      </c>
      <c r="Z111" s="43" t="s">
        <v>130</v>
      </c>
      <c r="AA111" s="43" t="s">
        <v>130</v>
      </c>
      <c r="AB111" s="43" t="s">
        <v>130</v>
      </c>
      <c r="AC111" s="43"/>
      <c r="AD111" s="43"/>
      <c r="AE111" s="43"/>
      <c r="AF111" s="43"/>
      <c r="AG111" s="45"/>
      <c r="AH111" s="1"/>
      <c r="AI111" s="1"/>
      <c r="AJ111" s="1"/>
    </row>
    <row r="112" spans="1:36">
      <c r="A112" s="36" t="s">
        <v>1324</v>
      </c>
      <c r="B112" s="36" t="s">
        <v>1419</v>
      </c>
      <c r="C112" s="36" t="s">
        <v>1697</v>
      </c>
      <c r="D112" s="61" t="s">
        <v>1698</v>
      </c>
      <c r="E112" s="38" t="s">
        <v>1699</v>
      </c>
      <c r="F112" s="36" t="s">
        <v>130</v>
      </c>
      <c r="G112" s="36" t="s">
        <v>1700</v>
      </c>
      <c r="H112" s="36" t="s">
        <v>1701</v>
      </c>
      <c r="I112" s="40"/>
      <c r="J112" s="36" t="s">
        <v>94</v>
      </c>
      <c r="K112" s="36" t="s">
        <v>94</v>
      </c>
      <c r="L112" s="36" t="s">
        <v>1336</v>
      </c>
      <c r="M112" s="36" t="s">
        <v>1703</v>
      </c>
      <c r="N112" s="36" t="s">
        <v>1705</v>
      </c>
      <c r="O112" s="36" t="s">
        <v>1571</v>
      </c>
      <c r="P112" s="36" t="s">
        <v>1706</v>
      </c>
      <c r="Q112" s="36" t="s">
        <v>1707</v>
      </c>
      <c r="R112" s="36" t="s">
        <v>1708</v>
      </c>
      <c r="S112" s="42" t="s">
        <v>5124</v>
      </c>
      <c r="T112" s="43" t="s">
        <v>1709</v>
      </c>
      <c r="U112" s="44" t="s">
        <v>551</v>
      </c>
      <c r="V112" s="43" t="s">
        <v>130</v>
      </c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5"/>
      <c r="AH112" s="1"/>
      <c r="AI112" s="1"/>
      <c r="AJ112" s="1"/>
    </row>
    <row r="113" spans="1:36">
      <c r="A113" s="36" t="s">
        <v>1324</v>
      </c>
      <c r="B113" s="36" t="s">
        <v>1419</v>
      </c>
      <c r="C113" s="36" t="s">
        <v>1710</v>
      </c>
      <c r="D113" s="57" t="s">
        <v>1711</v>
      </c>
      <c r="E113" s="38" t="s">
        <v>1712</v>
      </c>
      <c r="F113" s="36" t="s">
        <v>130</v>
      </c>
      <c r="G113" s="36" t="s">
        <v>1700</v>
      </c>
      <c r="H113" s="36" t="s">
        <v>1701</v>
      </c>
      <c r="I113" s="40" t="s">
        <v>130</v>
      </c>
      <c r="J113" s="46" t="s">
        <v>94</v>
      </c>
      <c r="K113" s="36" t="s">
        <v>94</v>
      </c>
      <c r="L113" s="36" t="s">
        <v>1336</v>
      </c>
      <c r="M113" s="36" t="s">
        <v>1713</v>
      </c>
      <c r="N113" s="36" t="s">
        <v>1714</v>
      </c>
      <c r="O113" s="36" t="s">
        <v>1571</v>
      </c>
      <c r="P113" s="36" t="s">
        <v>1715</v>
      </c>
      <c r="Q113" s="36" t="s">
        <v>1716</v>
      </c>
      <c r="R113" s="36" t="s">
        <v>164</v>
      </c>
      <c r="S113" s="42" t="s">
        <v>5125</v>
      </c>
      <c r="T113" s="43" t="s">
        <v>1718</v>
      </c>
      <c r="U113" s="44" t="s">
        <v>1719</v>
      </c>
      <c r="V113" s="43" t="s">
        <v>130</v>
      </c>
      <c r="W113" s="43" t="s">
        <v>130</v>
      </c>
      <c r="X113" s="43" t="s">
        <v>130</v>
      </c>
      <c r="Y113" s="43" t="s">
        <v>130</v>
      </c>
      <c r="Z113" s="43" t="s">
        <v>130</v>
      </c>
      <c r="AA113" s="43" t="s">
        <v>130</v>
      </c>
      <c r="AB113" s="43" t="s">
        <v>130</v>
      </c>
      <c r="AC113" s="43"/>
      <c r="AD113" s="43"/>
      <c r="AE113" s="43"/>
      <c r="AF113" s="43"/>
      <c r="AG113" s="45"/>
      <c r="AH113" s="1"/>
      <c r="AI113" s="1"/>
      <c r="AJ113" s="1"/>
    </row>
    <row r="114" spans="1:36">
      <c r="A114" s="36" t="s">
        <v>1324</v>
      </c>
      <c r="B114" s="36" t="s">
        <v>1419</v>
      </c>
      <c r="C114" s="36" t="s">
        <v>1720</v>
      </c>
      <c r="D114" s="36" t="s">
        <v>1721</v>
      </c>
      <c r="E114" s="38" t="s">
        <v>1722</v>
      </c>
      <c r="F114" s="36" t="s">
        <v>130</v>
      </c>
      <c r="G114" s="36" t="s">
        <v>1700</v>
      </c>
      <c r="H114" s="36" t="s">
        <v>1701</v>
      </c>
      <c r="I114" s="40"/>
      <c r="J114" s="36" t="s">
        <v>1014</v>
      </c>
      <c r="K114" s="36" t="s">
        <v>94</v>
      </c>
      <c r="L114" s="36" t="s">
        <v>1336</v>
      </c>
      <c r="M114" s="36" t="s">
        <v>1725</v>
      </c>
      <c r="N114" s="36" t="s">
        <v>1726</v>
      </c>
      <c r="O114" s="36" t="s">
        <v>1571</v>
      </c>
      <c r="P114" s="36" t="s">
        <v>1395</v>
      </c>
      <c r="Q114" s="36" t="s">
        <v>1727</v>
      </c>
      <c r="R114" s="36" t="s">
        <v>1728</v>
      </c>
      <c r="S114" s="42" t="s">
        <v>5126</v>
      </c>
      <c r="T114" s="43" t="s">
        <v>1729</v>
      </c>
      <c r="U114" s="44" t="s">
        <v>1719</v>
      </c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5"/>
      <c r="AH114" s="1"/>
      <c r="AI114" s="1"/>
      <c r="AJ114" s="1"/>
    </row>
    <row r="115" spans="1:36">
      <c r="A115" s="36" t="s">
        <v>1324</v>
      </c>
      <c r="B115" s="36" t="s">
        <v>1419</v>
      </c>
      <c r="C115" s="36" t="s">
        <v>1730</v>
      </c>
      <c r="D115" s="36" t="s">
        <v>1731</v>
      </c>
      <c r="E115" s="38" t="s">
        <v>1733</v>
      </c>
      <c r="F115" s="36" t="s">
        <v>130</v>
      </c>
      <c r="G115" s="36" t="s">
        <v>1700</v>
      </c>
      <c r="H115" s="36" t="s">
        <v>1701</v>
      </c>
      <c r="I115" s="40"/>
      <c r="J115" s="36" t="s">
        <v>94</v>
      </c>
      <c r="K115" s="36" t="s">
        <v>94</v>
      </c>
      <c r="L115" s="36" t="s">
        <v>1336</v>
      </c>
      <c r="M115" s="36" t="s">
        <v>1735</v>
      </c>
      <c r="N115" s="36" t="s">
        <v>1736</v>
      </c>
      <c r="O115" s="36" t="s">
        <v>1571</v>
      </c>
      <c r="P115" s="36" t="s">
        <v>1514</v>
      </c>
      <c r="Q115" s="36" t="s">
        <v>1737</v>
      </c>
      <c r="R115" s="36" t="s">
        <v>1738</v>
      </c>
      <c r="S115" s="42" t="s">
        <v>5127</v>
      </c>
      <c r="T115" s="43" t="s">
        <v>1739</v>
      </c>
      <c r="U115" s="44" t="s">
        <v>1614</v>
      </c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5"/>
      <c r="AH115" s="1"/>
      <c r="AI115" s="1"/>
      <c r="AJ115" s="1"/>
    </row>
    <row r="116" spans="1:36">
      <c r="A116" s="36" t="s">
        <v>1740</v>
      </c>
      <c r="B116" s="36" t="s">
        <v>1741</v>
      </c>
      <c r="C116" s="36" t="s">
        <v>1743</v>
      </c>
      <c r="D116" s="36" t="s">
        <v>1744</v>
      </c>
      <c r="E116" s="38" t="s">
        <v>1745</v>
      </c>
      <c r="F116" s="36"/>
      <c r="G116" s="36" t="s">
        <v>1746</v>
      </c>
      <c r="H116" s="36" t="s">
        <v>1748</v>
      </c>
      <c r="I116" s="40"/>
      <c r="J116" s="36" t="s">
        <v>230</v>
      </c>
      <c r="K116" s="36" t="s">
        <v>94</v>
      </c>
      <c r="L116" s="36" t="s">
        <v>1336</v>
      </c>
      <c r="M116" s="36" t="s">
        <v>1749</v>
      </c>
      <c r="N116" s="36" t="s">
        <v>1750</v>
      </c>
      <c r="O116" s="36" t="s">
        <v>1751</v>
      </c>
      <c r="P116" s="36" t="s">
        <v>1749</v>
      </c>
      <c r="Q116" s="36" t="s">
        <v>1752</v>
      </c>
      <c r="R116" s="36" t="s">
        <v>1753</v>
      </c>
      <c r="S116" s="42" t="s">
        <v>5068</v>
      </c>
      <c r="T116" s="43" t="s">
        <v>1754</v>
      </c>
      <c r="U116" s="44" t="s">
        <v>1755</v>
      </c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5"/>
      <c r="AH116" s="1"/>
      <c r="AI116" s="1"/>
      <c r="AJ116" s="1"/>
    </row>
    <row r="117" spans="1:36">
      <c r="A117" s="36" t="s">
        <v>1740</v>
      </c>
      <c r="B117" s="36" t="s">
        <v>1741</v>
      </c>
      <c r="C117" s="36" t="s">
        <v>1756</v>
      </c>
      <c r="D117" s="36" t="s">
        <v>1757</v>
      </c>
      <c r="E117" s="38" t="s">
        <v>1758</v>
      </c>
      <c r="F117" s="36"/>
      <c r="G117" s="36" t="s">
        <v>1746</v>
      </c>
      <c r="H117" s="36" t="s">
        <v>1748</v>
      </c>
      <c r="I117" s="40" t="s">
        <v>130</v>
      </c>
      <c r="J117" s="36" t="s">
        <v>80</v>
      </c>
      <c r="K117" s="36" t="s">
        <v>80</v>
      </c>
      <c r="L117" s="36" t="s">
        <v>1336</v>
      </c>
      <c r="M117" s="36" t="s">
        <v>1759</v>
      </c>
      <c r="N117" s="36" t="s">
        <v>1760</v>
      </c>
      <c r="O117" s="36" t="s">
        <v>1741</v>
      </c>
      <c r="P117" s="36" t="s">
        <v>1761</v>
      </c>
      <c r="Q117" s="36" t="s">
        <v>1762</v>
      </c>
      <c r="R117" s="36" t="s">
        <v>551</v>
      </c>
      <c r="S117" s="42" t="s">
        <v>5076</v>
      </c>
      <c r="T117" s="43" t="s">
        <v>1763</v>
      </c>
      <c r="U117" s="44" t="s">
        <v>1764</v>
      </c>
      <c r="V117" s="43" t="s">
        <v>130</v>
      </c>
      <c r="W117" s="43"/>
      <c r="X117" s="43" t="s">
        <v>130</v>
      </c>
      <c r="Y117" s="43" t="s">
        <v>130</v>
      </c>
      <c r="Z117" s="43" t="s">
        <v>130</v>
      </c>
      <c r="AA117" s="43" t="s">
        <v>130</v>
      </c>
      <c r="AB117" s="43"/>
      <c r="AC117" s="43"/>
      <c r="AD117" s="43"/>
      <c r="AE117" s="43"/>
      <c r="AF117" s="43"/>
      <c r="AG117" s="45"/>
      <c r="AH117" s="1"/>
      <c r="AI117" s="1"/>
      <c r="AJ117" s="1"/>
    </row>
    <row r="118" spans="1:36">
      <c r="A118" s="36" t="s">
        <v>1765</v>
      </c>
      <c r="B118" s="36" t="s">
        <v>1741</v>
      </c>
      <c r="C118" s="36" t="s">
        <v>1767</v>
      </c>
      <c r="D118" s="36" t="s">
        <v>1768</v>
      </c>
      <c r="E118" s="38" t="s">
        <v>1769</v>
      </c>
      <c r="F118" s="36"/>
      <c r="G118" s="36" t="s">
        <v>1746</v>
      </c>
      <c r="H118" s="36" t="s">
        <v>1748</v>
      </c>
      <c r="I118" s="40" t="s">
        <v>130</v>
      </c>
      <c r="J118" s="36" t="s">
        <v>1098</v>
      </c>
      <c r="K118" s="36" t="s">
        <v>80</v>
      </c>
      <c r="L118" s="36" t="s">
        <v>1336</v>
      </c>
      <c r="M118" s="36" t="s">
        <v>1759</v>
      </c>
      <c r="N118" s="36" t="s">
        <v>1771</v>
      </c>
      <c r="O118" s="36" t="s">
        <v>1741</v>
      </c>
      <c r="P118" s="36" t="s">
        <v>1759</v>
      </c>
      <c r="Q118" s="36" t="s">
        <v>1772</v>
      </c>
      <c r="R118" s="36" t="s">
        <v>551</v>
      </c>
      <c r="S118" s="42" t="s">
        <v>5105</v>
      </c>
      <c r="T118" s="43" t="s">
        <v>1773</v>
      </c>
      <c r="U118" s="44" t="s">
        <v>1764</v>
      </c>
      <c r="V118" s="43" t="s">
        <v>130</v>
      </c>
      <c r="W118" s="43"/>
      <c r="X118" s="43" t="s">
        <v>130</v>
      </c>
      <c r="Y118" s="43" t="s">
        <v>130</v>
      </c>
      <c r="Z118" s="43" t="s">
        <v>130</v>
      </c>
      <c r="AA118" s="43" t="s">
        <v>130</v>
      </c>
      <c r="AB118" s="43"/>
      <c r="AC118" s="43"/>
      <c r="AD118" s="43"/>
      <c r="AE118" s="43"/>
      <c r="AF118" s="43"/>
      <c r="AG118" s="45"/>
      <c r="AH118" s="1"/>
      <c r="AI118" s="1"/>
      <c r="AJ118" s="1"/>
    </row>
    <row r="119" spans="1:36">
      <c r="A119" s="36" t="s">
        <v>1740</v>
      </c>
      <c r="B119" s="36" t="s">
        <v>1741</v>
      </c>
      <c r="C119" s="36" t="s">
        <v>1774</v>
      </c>
      <c r="D119" s="36" t="s">
        <v>1775</v>
      </c>
      <c r="E119" s="38" t="s">
        <v>1776</v>
      </c>
      <c r="F119" s="36"/>
      <c r="G119" s="36" t="s">
        <v>1746</v>
      </c>
      <c r="H119" s="36" t="s">
        <v>1748</v>
      </c>
      <c r="I119" s="40" t="s">
        <v>130</v>
      </c>
      <c r="J119" s="36" t="s">
        <v>94</v>
      </c>
      <c r="K119" s="36" t="s">
        <v>94</v>
      </c>
      <c r="L119" s="36" t="s">
        <v>1336</v>
      </c>
      <c r="M119" s="36" t="s">
        <v>1777</v>
      </c>
      <c r="N119" s="36" t="s">
        <v>1778</v>
      </c>
      <c r="O119" s="36" t="s">
        <v>1751</v>
      </c>
      <c r="P119" s="36" t="s">
        <v>1777</v>
      </c>
      <c r="Q119" s="36" t="s">
        <v>1780</v>
      </c>
      <c r="R119" s="36" t="s">
        <v>164</v>
      </c>
      <c r="S119" s="42" t="s">
        <v>5079</v>
      </c>
      <c r="T119" s="43" t="s">
        <v>1781</v>
      </c>
      <c r="U119" s="44" t="s">
        <v>1782</v>
      </c>
      <c r="V119" s="43" t="s">
        <v>130</v>
      </c>
      <c r="W119" s="43" t="s">
        <v>130</v>
      </c>
      <c r="X119" s="43" t="s">
        <v>130</v>
      </c>
      <c r="Y119" s="43" t="s">
        <v>130</v>
      </c>
      <c r="Z119" s="43" t="s">
        <v>130</v>
      </c>
      <c r="AA119" s="43" t="s">
        <v>130</v>
      </c>
      <c r="AB119" s="43" t="s">
        <v>130</v>
      </c>
      <c r="AC119" s="43"/>
      <c r="AD119" s="43"/>
      <c r="AE119" s="43"/>
      <c r="AF119" s="43"/>
      <c r="AG119" s="45"/>
      <c r="AH119" s="1"/>
      <c r="AI119" s="1"/>
      <c r="AJ119" s="1"/>
    </row>
    <row r="120" spans="1:36">
      <c r="A120" s="36" t="s">
        <v>1740</v>
      </c>
      <c r="B120" s="36" t="s">
        <v>1741</v>
      </c>
      <c r="C120" s="36" t="s">
        <v>1783</v>
      </c>
      <c r="D120" s="36" t="s">
        <v>1784</v>
      </c>
      <c r="E120" s="38" t="s">
        <v>1785</v>
      </c>
      <c r="F120" s="36"/>
      <c r="G120" s="36" t="s">
        <v>1746</v>
      </c>
      <c r="H120" s="36" t="s">
        <v>1748</v>
      </c>
      <c r="I120" s="40" t="s">
        <v>130</v>
      </c>
      <c r="J120" s="36" t="s">
        <v>94</v>
      </c>
      <c r="K120" s="36" t="s">
        <v>94</v>
      </c>
      <c r="L120" s="36" t="s">
        <v>1336</v>
      </c>
      <c r="M120" s="36" t="s">
        <v>1786</v>
      </c>
      <c r="N120" s="36" t="s">
        <v>1787</v>
      </c>
      <c r="O120" s="36" t="s">
        <v>1751</v>
      </c>
      <c r="P120" s="36" t="s">
        <v>1786</v>
      </c>
      <c r="Q120" s="36" t="s">
        <v>1788</v>
      </c>
      <c r="R120" s="36" t="s">
        <v>164</v>
      </c>
      <c r="S120" s="42" t="s">
        <v>5106</v>
      </c>
      <c r="T120" s="43" t="s">
        <v>1790</v>
      </c>
      <c r="U120" s="44" t="s">
        <v>1755</v>
      </c>
      <c r="V120" s="43" t="s">
        <v>130</v>
      </c>
      <c r="W120" s="43" t="s">
        <v>130</v>
      </c>
      <c r="X120" s="43" t="s">
        <v>130</v>
      </c>
      <c r="Y120" s="43" t="s">
        <v>130</v>
      </c>
      <c r="Z120" s="43" t="s">
        <v>130</v>
      </c>
      <c r="AA120" s="43" t="s">
        <v>130</v>
      </c>
      <c r="AB120" s="43" t="s">
        <v>130</v>
      </c>
      <c r="AC120" s="43"/>
      <c r="AD120" s="43"/>
      <c r="AE120" s="43"/>
      <c r="AF120" s="43"/>
      <c r="AG120" s="45"/>
      <c r="AH120" s="1"/>
      <c r="AI120" s="1"/>
      <c r="AJ120" s="1"/>
    </row>
    <row r="121" spans="1:36">
      <c r="A121" s="36" t="s">
        <v>1740</v>
      </c>
      <c r="B121" s="36" t="s">
        <v>1741</v>
      </c>
      <c r="C121" s="36" t="s">
        <v>1791</v>
      </c>
      <c r="D121" s="36" t="s">
        <v>1792</v>
      </c>
      <c r="E121" s="38" t="s">
        <v>1793</v>
      </c>
      <c r="F121" s="36"/>
      <c r="G121" s="36" t="s">
        <v>1746</v>
      </c>
      <c r="H121" s="36" t="s">
        <v>1748</v>
      </c>
      <c r="I121" s="40" t="s">
        <v>130</v>
      </c>
      <c r="J121" s="36" t="s">
        <v>94</v>
      </c>
      <c r="K121" s="36" t="s">
        <v>94</v>
      </c>
      <c r="L121" s="36" t="s">
        <v>1336</v>
      </c>
      <c r="M121" s="36"/>
      <c r="N121" s="36" t="s">
        <v>1794</v>
      </c>
      <c r="O121" s="36" t="s">
        <v>1751</v>
      </c>
      <c r="P121" s="36" t="s">
        <v>1795</v>
      </c>
      <c r="Q121" s="36" t="s">
        <v>1796</v>
      </c>
      <c r="R121" s="36" t="s">
        <v>164</v>
      </c>
      <c r="S121" s="42" t="s">
        <v>5070</v>
      </c>
      <c r="T121" s="43" t="s">
        <v>1795</v>
      </c>
      <c r="U121" s="44" t="s">
        <v>1782</v>
      </c>
      <c r="V121" s="43" t="s">
        <v>130</v>
      </c>
      <c r="W121" s="43" t="s">
        <v>130</v>
      </c>
      <c r="X121" s="43" t="s">
        <v>130</v>
      </c>
      <c r="Y121" s="43" t="s">
        <v>130</v>
      </c>
      <c r="Z121" s="43" t="s">
        <v>130</v>
      </c>
      <c r="AA121" s="43" t="s">
        <v>130</v>
      </c>
      <c r="AB121" s="43" t="s">
        <v>130</v>
      </c>
      <c r="AC121" s="43"/>
      <c r="AD121" s="43"/>
      <c r="AE121" s="43"/>
      <c r="AF121" s="43"/>
      <c r="AG121" s="45"/>
      <c r="AH121" s="1"/>
      <c r="AI121" s="1"/>
      <c r="AJ121" s="1"/>
    </row>
    <row r="122" spans="1:36">
      <c r="A122" s="36" t="s">
        <v>1740</v>
      </c>
      <c r="B122" s="36" t="s">
        <v>1741</v>
      </c>
      <c r="C122" s="36" t="s">
        <v>1799</v>
      </c>
      <c r="D122" s="36" t="s">
        <v>1800</v>
      </c>
      <c r="E122" s="38" t="s">
        <v>1801</v>
      </c>
      <c r="F122" s="36"/>
      <c r="G122" s="36" t="s">
        <v>1746</v>
      </c>
      <c r="H122" s="36" t="s">
        <v>1748</v>
      </c>
      <c r="I122" s="40"/>
      <c r="J122" s="36" t="s">
        <v>230</v>
      </c>
      <c r="K122" s="36" t="s">
        <v>94</v>
      </c>
      <c r="L122" s="36" t="s">
        <v>1336</v>
      </c>
      <c r="M122" s="36" t="s">
        <v>1802</v>
      </c>
      <c r="N122" s="36" t="s">
        <v>1803</v>
      </c>
      <c r="O122" s="36" t="s">
        <v>1751</v>
      </c>
      <c r="P122" s="36" t="s">
        <v>1802</v>
      </c>
      <c r="Q122" s="36" t="s">
        <v>1804</v>
      </c>
      <c r="R122" s="36" t="s">
        <v>1805</v>
      </c>
      <c r="S122" s="42" t="s">
        <v>5080</v>
      </c>
      <c r="T122" s="43" t="s">
        <v>1806</v>
      </c>
      <c r="U122" s="44" t="s">
        <v>1782</v>
      </c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5"/>
      <c r="AH122" s="1"/>
      <c r="AI122" s="1"/>
      <c r="AJ122" s="1"/>
    </row>
    <row r="123" spans="1:36">
      <c r="A123" s="36" t="s">
        <v>1765</v>
      </c>
      <c r="B123" s="36" t="s">
        <v>1741</v>
      </c>
      <c r="C123" s="36" t="s">
        <v>1809</v>
      </c>
      <c r="D123" s="36" t="s">
        <v>1810</v>
      </c>
      <c r="E123" s="38" t="s">
        <v>1811</v>
      </c>
      <c r="F123" s="36"/>
      <c r="G123" s="36" t="s">
        <v>1746</v>
      </c>
      <c r="H123" s="36" t="s">
        <v>1748</v>
      </c>
      <c r="I123" s="40"/>
      <c r="J123" s="36" t="s">
        <v>159</v>
      </c>
      <c r="K123" s="36" t="s">
        <v>94</v>
      </c>
      <c r="L123" s="36" t="s">
        <v>1336</v>
      </c>
      <c r="M123" s="36" t="s">
        <v>1812</v>
      </c>
      <c r="N123" s="36" t="s">
        <v>1813</v>
      </c>
      <c r="O123" s="36" t="s">
        <v>1741</v>
      </c>
      <c r="P123" s="36" t="s">
        <v>1812</v>
      </c>
      <c r="Q123" s="36" t="s">
        <v>1814</v>
      </c>
      <c r="R123" s="36" t="s">
        <v>1815</v>
      </c>
      <c r="S123" s="42" t="s">
        <v>5082</v>
      </c>
      <c r="T123" s="43" t="s">
        <v>1816</v>
      </c>
      <c r="U123" s="44" t="s">
        <v>1764</v>
      </c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5"/>
      <c r="AH123" s="1"/>
      <c r="AI123" s="1"/>
      <c r="AJ123" s="1"/>
    </row>
    <row r="124" spans="1:36">
      <c r="A124" s="36" t="s">
        <v>1740</v>
      </c>
      <c r="B124" s="36" t="s">
        <v>1741</v>
      </c>
      <c r="C124" s="36" t="s">
        <v>1818</v>
      </c>
      <c r="D124" s="36" t="s">
        <v>1819</v>
      </c>
      <c r="E124" s="38" t="s">
        <v>1820</v>
      </c>
      <c r="F124" s="36"/>
      <c r="G124" s="36" t="s">
        <v>1746</v>
      </c>
      <c r="H124" s="36" t="s">
        <v>1748</v>
      </c>
      <c r="I124" s="40"/>
      <c r="J124" s="36" t="s">
        <v>1822</v>
      </c>
      <c r="K124" s="36" t="s">
        <v>80</v>
      </c>
      <c r="L124" s="36" t="s">
        <v>1336</v>
      </c>
      <c r="M124" s="36" t="s">
        <v>1823</v>
      </c>
      <c r="N124" s="36" t="s">
        <v>1824</v>
      </c>
      <c r="O124" s="36" t="s">
        <v>1751</v>
      </c>
      <c r="P124" s="36" t="s">
        <v>1823</v>
      </c>
      <c r="Q124" s="36" t="s">
        <v>1825</v>
      </c>
      <c r="R124" s="36" t="s">
        <v>1826</v>
      </c>
      <c r="S124" s="42" t="s">
        <v>5071</v>
      </c>
      <c r="T124" s="43" t="s">
        <v>1827</v>
      </c>
      <c r="U124" s="44" t="s">
        <v>1782</v>
      </c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5"/>
      <c r="AH124" s="1"/>
      <c r="AI124" s="1"/>
      <c r="AJ124" s="1"/>
    </row>
    <row r="125" spans="1:36">
      <c r="A125" s="36" t="s">
        <v>1765</v>
      </c>
      <c r="B125" s="36" t="s">
        <v>1741</v>
      </c>
      <c r="C125" s="36" t="s">
        <v>1828</v>
      </c>
      <c r="D125" s="36" t="s">
        <v>1829</v>
      </c>
      <c r="E125" s="38" t="s">
        <v>1830</v>
      </c>
      <c r="F125" s="36"/>
      <c r="G125" s="36" t="s">
        <v>1746</v>
      </c>
      <c r="H125" s="36" t="s">
        <v>1748</v>
      </c>
      <c r="I125" s="40"/>
      <c r="J125" s="36" t="s">
        <v>1098</v>
      </c>
      <c r="K125" s="36" t="s">
        <v>80</v>
      </c>
      <c r="L125" s="36" t="s">
        <v>1336</v>
      </c>
      <c r="M125" s="36" t="s">
        <v>1831</v>
      </c>
      <c r="N125" s="36" t="s">
        <v>1832</v>
      </c>
      <c r="O125" s="36" t="s">
        <v>1741</v>
      </c>
      <c r="P125" s="36" t="s">
        <v>1831</v>
      </c>
      <c r="Q125" s="36" t="s">
        <v>1834</v>
      </c>
      <c r="R125" s="36" t="s">
        <v>1835</v>
      </c>
      <c r="S125" s="42" t="s">
        <v>5083</v>
      </c>
      <c r="T125" s="43" t="s">
        <v>1836</v>
      </c>
      <c r="U125" s="44" t="s">
        <v>1764</v>
      </c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5"/>
      <c r="AH125" s="1"/>
      <c r="AI125" s="1"/>
      <c r="AJ125" s="1"/>
    </row>
    <row r="126" spans="1:36">
      <c r="A126" s="36" t="s">
        <v>1765</v>
      </c>
      <c r="B126" s="36" t="s">
        <v>1741</v>
      </c>
      <c r="C126" s="36" t="s">
        <v>1837</v>
      </c>
      <c r="D126" s="36" t="s">
        <v>1838</v>
      </c>
      <c r="E126" s="38" t="s">
        <v>1839</v>
      </c>
      <c r="F126" s="36"/>
      <c r="G126" s="36" t="s">
        <v>1840</v>
      </c>
      <c r="H126" s="36" t="s">
        <v>1841</v>
      </c>
      <c r="I126" s="40" t="s">
        <v>130</v>
      </c>
      <c r="J126" s="36" t="s">
        <v>94</v>
      </c>
      <c r="K126" s="36" t="s">
        <v>94</v>
      </c>
      <c r="L126" s="36" t="s">
        <v>1336</v>
      </c>
      <c r="M126" s="36" t="s">
        <v>1842</v>
      </c>
      <c r="N126" s="36" t="s">
        <v>1843</v>
      </c>
      <c r="O126" s="36" t="s">
        <v>1741</v>
      </c>
      <c r="P126" s="36" t="s">
        <v>1842</v>
      </c>
      <c r="Q126" s="36" t="s">
        <v>1844</v>
      </c>
      <c r="R126" s="36" t="s">
        <v>164</v>
      </c>
      <c r="S126" s="42" t="s">
        <v>5104</v>
      </c>
      <c r="T126" s="43"/>
      <c r="U126" s="44" t="s">
        <v>1847</v>
      </c>
      <c r="V126" s="43" t="s">
        <v>130</v>
      </c>
      <c r="W126" s="43" t="s">
        <v>130</v>
      </c>
      <c r="X126" s="43" t="s">
        <v>130</v>
      </c>
      <c r="Y126" s="43" t="s">
        <v>130</v>
      </c>
      <c r="Z126" s="43" t="s">
        <v>130</v>
      </c>
      <c r="AA126" s="43" t="s">
        <v>130</v>
      </c>
      <c r="AB126" s="43" t="s">
        <v>130</v>
      </c>
      <c r="AC126" s="43"/>
      <c r="AD126" s="43"/>
      <c r="AE126" s="43"/>
      <c r="AF126" s="43"/>
      <c r="AG126" s="45"/>
      <c r="AH126" s="1"/>
      <c r="AI126" s="1"/>
      <c r="AJ126" s="1"/>
    </row>
    <row r="127" spans="1:36">
      <c r="A127" s="36" t="s">
        <v>1765</v>
      </c>
      <c r="B127" s="36" t="s">
        <v>1741</v>
      </c>
      <c r="C127" s="36" t="s">
        <v>1848</v>
      </c>
      <c r="D127" s="57" t="s">
        <v>1849</v>
      </c>
      <c r="E127" s="38" t="s">
        <v>1850</v>
      </c>
      <c r="F127" s="36"/>
      <c r="G127" s="36" t="s">
        <v>1840</v>
      </c>
      <c r="H127" s="36" t="s">
        <v>1841</v>
      </c>
      <c r="I127" s="40"/>
      <c r="J127" s="36" t="s">
        <v>230</v>
      </c>
      <c r="K127" s="36" t="s">
        <v>94</v>
      </c>
      <c r="L127" s="36" t="s">
        <v>1336</v>
      </c>
      <c r="M127" s="36" t="s">
        <v>1786</v>
      </c>
      <c r="N127" s="36" t="s">
        <v>1851</v>
      </c>
      <c r="O127" s="36" t="s">
        <v>1741</v>
      </c>
      <c r="P127" s="36" t="s">
        <v>1786</v>
      </c>
      <c r="Q127" s="36" t="s">
        <v>1852</v>
      </c>
      <c r="R127" s="36" t="s">
        <v>1853</v>
      </c>
      <c r="S127" s="42" t="s">
        <v>5124</v>
      </c>
      <c r="T127" s="43" t="s">
        <v>1806</v>
      </c>
      <c r="U127" s="44" t="s">
        <v>1847</v>
      </c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5"/>
      <c r="AH127" s="1"/>
      <c r="AI127" s="1"/>
      <c r="AJ127" s="1"/>
    </row>
    <row r="128" spans="1:36">
      <c r="A128" s="36" t="s">
        <v>1765</v>
      </c>
      <c r="B128" s="36" t="s">
        <v>1741</v>
      </c>
      <c r="C128" s="36" t="s">
        <v>1855</v>
      </c>
      <c r="D128" s="36" t="s">
        <v>1856</v>
      </c>
      <c r="E128" s="38" t="s">
        <v>1857</v>
      </c>
      <c r="F128" s="36"/>
      <c r="G128" s="36" t="s">
        <v>1840</v>
      </c>
      <c r="H128" s="36" t="s">
        <v>1841</v>
      </c>
      <c r="I128" s="40"/>
      <c r="J128" s="36" t="s">
        <v>230</v>
      </c>
      <c r="K128" s="36" t="s">
        <v>94</v>
      </c>
      <c r="L128" s="36" t="s">
        <v>1336</v>
      </c>
      <c r="M128" s="36" t="s">
        <v>1858</v>
      </c>
      <c r="N128" s="36" t="s">
        <v>1859</v>
      </c>
      <c r="O128" s="36" t="s">
        <v>1741</v>
      </c>
      <c r="P128" s="36" t="s">
        <v>1858</v>
      </c>
      <c r="Q128" s="36" t="s">
        <v>1860</v>
      </c>
      <c r="R128" s="36" t="s">
        <v>1861</v>
      </c>
      <c r="S128" s="42" t="s">
        <v>5128</v>
      </c>
      <c r="T128" s="43" t="s">
        <v>1862</v>
      </c>
      <c r="U128" s="44" t="s">
        <v>1847</v>
      </c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5"/>
      <c r="AH128" s="1"/>
      <c r="AI128" s="1"/>
      <c r="AJ128" s="1"/>
    </row>
    <row r="129" spans="1:36">
      <c r="A129" s="36" t="s">
        <v>1765</v>
      </c>
      <c r="B129" s="36" t="s">
        <v>1741</v>
      </c>
      <c r="C129" s="36" t="s">
        <v>1865</v>
      </c>
      <c r="D129" s="36" t="s">
        <v>1866</v>
      </c>
      <c r="E129" s="38" t="s">
        <v>1867</v>
      </c>
      <c r="F129" s="36"/>
      <c r="G129" s="36" t="s">
        <v>1840</v>
      </c>
      <c r="H129" s="36" t="s">
        <v>1841</v>
      </c>
      <c r="I129" s="40"/>
      <c r="J129" s="36" t="s">
        <v>159</v>
      </c>
      <c r="K129" s="36" t="s">
        <v>94</v>
      </c>
      <c r="L129" s="36" t="s">
        <v>1336</v>
      </c>
      <c r="M129" s="36" t="s">
        <v>1868</v>
      </c>
      <c r="N129" s="36" t="s">
        <v>1869</v>
      </c>
      <c r="O129" s="36" t="s">
        <v>1741</v>
      </c>
      <c r="P129" s="36" t="s">
        <v>1868</v>
      </c>
      <c r="Q129" s="36" t="s">
        <v>1870</v>
      </c>
      <c r="R129" s="36" t="s">
        <v>1871</v>
      </c>
      <c r="S129" s="42" t="s">
        <v>5125</v>
      </c>
      <c r="T129" s="43" t="s">
        <v>1872</v>
      </c>
      <c r="U129" s="44" t="s">
        <v>1847</v>
      </c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5"/>
      <c r="AH129" s="1"/>
      <c r="AI129" s="1"/>
      <c r="AJ129" s="1"/>
    </row>
    <row r="130" spans="1:36">
      <c r="A130" s="36" t="s">
        <v>1765</v>
      </c>
      <c r="B130" s="36" t="s">
        <v>1741</v>
      </c>
      <c r="C130" s="36" t="s">
        <v>1875</v>
      </c>
      <c r="D130" s="36" t="s">
        <v>1876</v>
      </c>
      <c r="E130" s="38" t="s">
        <v>1877</v>
      </c>
      <c r="F130" s="36"/>
      <c r="G130" s="36" t="s">
        <v>1840</v>
      </c>
      <c r="H130" s="36" t="s">
        <v>1841</v>
      </c>
      <c r="I130" s="40" t="s">
        <v>130</v>
      </c>
      <c r="J130" s="36" t="s">
        <v>94</v>
      </c>
      <c r="K130" s="36" t="s">
        <v>94</v>
      </c>
      <c r="L130" s="36" t="s">
        <v>1336</v>
      </c>
      <c r="M130" s="36" t="s">
        <v>1749</v>
      </c>
      <c r="N130" s="36" t="s">
        <v>1878</v>
      </c>
      <c r="O130" s="36" t="s">
        <v>1741</v>
      </c>
      <c r="P130" s="36" t="s">
        <v>1749</v>
      </c>
      <c r="Q130" s="36" t="s">
        <v>1879</v>
      </c>
      <c r="R130" s="36" t="s">
        <v>164</v>
      </c>
      <c r="S130" s="42" t="s">
        <v>5126</v>
      </c>
      <c r="T130" s="43" t="s">
        <v>1880</v>
      </c>
      <c r="U130" s="44" t="s">
        <v>1847</v>
      </c>
      <c r="V130" s="43" t="s">
        <v>130</v>
      </c>
      <c r="W130" s="43" t="s">
        <v>130</v>
      </c>
      <c r="X130" s="43" t="s">
        <v>130</v>
      </c>
      <c r="Y130" s="43" t="s">
        <v>130</v>
      </c>
      <c r="Z130" s="43" t="s">
        <v>130</v>
      </c>
      <c r="AA130" s="43" t="s">
        <v>130</v>
      </c>
      <c r="AB130" s="43" t="s">
        <v>130</v>
      </c>
      <c r="AC130" s="43"/>
      <c r="AD130" s="43"/>
      <c r="AE130" s="43"/>
      <c r="AF130" s="43"/>
      <c r="AG130" s="45"/>
      <c r="AH130" s="1"/>
      <c r="AI130" s="1"/>
      <c r="AJ130" s="1"/>
    </row>
    <row r="131" spans="1:36">
      <c r="A131" s="36" t="s">
        <v>1765</v>
      </c>
      <c r="B131" s="36" t="s">
        <v>1741</v>
      </c>
      <c r="C131" s="36" t="s">
        <v>1882</v>
      </c>
      <c r="D131" s="36" t="s">
        <v>1883</v>
      </c>
      <c r="E131" s="38" t="s">
        <v>1885</v>
      </c>
      <c r="F131" s="36"/>
      <c r="G131" s="36" t="s">
        <v>1847</v>
      </c>
      <c r="H131" s="36" t="s">
        <v>1886</v>
      </c>
      <c r="I131" s="40" t="s">
        <v>130</v>
      </c>
      <c r="J131" s="36" t="s">
        <v>94</v>
      </c>
      <c r="K131" s="36" t="s">
        <v>94</v>
      </c>
      <c r="L131" s="36" t="s">
        <v>1336</v>
      </c>
      <c r="M131" s="36" t="s">
        <v>1887</v>
      </c>
      <c r="N131" s="36" t="s">
        <v>1888</v>
      </c>
      <c r="O131" s="36" t="s">
        <v>1889</v>
      </c>
      <c r="P131" s="36" t="s">
        <v>1887</v>
      </c>
      <c r="Q131" s="36" t="s">
        <v>1890</v>
      </c>
      <c r="R131" s="36" t="s">
        <v>164</v>
      </c>
      <c r="S131" s="42" t="s">
        <v>5129</v>
      </c>
      <c r="T131" s="43" t="s">
        <v>1891</v>
      </c>
      <c r="U131" s="44" t="s">
        <v>1764</v>
      </c>
      <c r="V131" s="43" t="s">
        <v>130</v>
      </c>
      <c r="W131" s="43" t="s">
        <v>130</v>
      </c>
      <c r="X131" s="43" t="s">
        <v>130</v>
      </c>
      <c r="Y131" s="43" t="s">
        <v>130</v>
      </c>
      <c r="Z131" s="43" t="s">
        <v>130</v>
      </c>
      <c r="AA131" s="43" t="s">
        <v>130</v>
      </c>
      <c r="AB131" s="43" t="s">
        <v>130</v>
      </c>
      <c r="AC131" s="43"/>
      <c r="AD131" s="43"/>
      <c r="AE131" s="43"/>
      <c r="AF131" s="43"/>
      <c r="AG131" s="45"/>
      <c r="AH131" s="1"/>
      <c r="AI131" s="1"/>
      <c r="AJ131" s="1"/>
    </row>
    <row r="132" spans="1:36">
      <c r="A132" s="36" t="s">
        <v>1765</v>
      </c>
      <c r="B132" s="36" t="s">
        <v>1741</v>
      </c>
      <c r="C132" s="36" t="s">
        <v>1892</v>
      </c>
      <c r="D132" s="36" t="s">
        <v>1893</v>
      </c>
      <c r="E132" s="38" t="s">
        <v>1894</v>
      </c>
      <c r="F132" s="36"/>
      <c r="G132" s="36" t="s">
        <v>1847</v>
      </c>
      <c r="H132" s="36" t="s">
        <v>1886</v>
      </c>
      <c r="I132" s="40" t="s">
        <v>130</v>
      </c>
      <c r="J132" s="36" t="s">
        <v>362</v>
      </c>
      <c r="K132" s="36" t="s">
        <v>94</v>
      </c>
      <c r="L132" s="36" t="s">
        <v>1336</v>
      </c>
      <c r="M132" s="36" t="s">
        <v>1896</v>
      </c>
      <c r="N132" s="36" t="s">
        <v>1897</v>
      </c>
      <c r="O132" s="36" t="s">
        <v>1741</v>
      </c>
      <c r="P132" s="36" t="s">
        <v>1898</v>
      </c>
      <c r="Q132" s="36" t="s">
        <v>1899</v>
      </c>
      <c r="R132" s="36" t="s">
        <v>1900</v>
      </c>
      <c r="S132" s="42" t="s">
        <v>5127</v>
      </c>
      <c r="T132" s="43" t="s">
        <v>1902</v>
      </c>
      <c r="U132" s="44" t="s">
        <v>1764</v>
      </c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5"/>
      <c r="AH132" s="1"/>
      <c r="AI132" s="1"/>
      <c r="AJ132" s="1"/>
    </row>
    <row r="133" spans="1:36">
      <c r="A133" s="36" t="s">
        <v>1765</v>
      </c>
      <c r="B133" s="36" t="s">
        <v>1741</v>
      </c>
      <c r="C133" s="38" t="s">
        <v>1903</v>
      </c>
      <c r="D133" s="61" t="s">
        <v>1904</v>
      </c>
      <c r="E133" s="38" t="s">
        <v>1905</v>
      </c>
      <c r="F133" s="38"/>
      <c r="G133" s="36" t="s">
        <v>1847</v>
      </c>
      <c r="H133" s="38" t="s">
        <v>1886</v>
      </c>
      <c r="I133" s="40"/>
      <c r="J133" s="36" t="s">
        <v>230</v>
      </c>
      <c r="K133" s="36" t="s">
        <v>94</v>
      </c>
      <c r="L133" s="36" t="s">
        <v>1336</v>
      </c>
      <c r="M133" s="38" t="s">
        <v>1908</v>
      </c>
      <c r="N133" s="36"/>
      <c r="O133" s="36" t="s">
        <v>1889</v>
      </c>
      <c r="P133" s="36" t="s">
        <v>1908</v>
      </c>
      <c r="Q133" s="36" t="s">
        <v>1909</v>
      </c>
      <c r="R133" s="36" t="s">
        <v>1910</v>
      </c>
      <c r="S133" s="42"/>
      <c r="T133" s="43" t="s">
        <v>1911</v>
      </c>
      <c r="U133" s="44" t="s">
        <v>1764</v>
      </c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5"/>
      <c r="AH133" s="1"/>
      <c r="AI133" s="1"/>
      <c r="AJ133" s="1"/>
    </row>
    <row r="134" spans="1:36">
      <c r="A134" s="36" t="s">
        <v>1765</v>
      </c>
      <c r="B134" s="36" t="s">
        <v>1889</v>
      </c>
      <c r="C134" s="36" t="s">
        <v>1912</v>
      </c>
      <c r="D134" s="36" t="s">
        <v>1913</v>
      </c>
      <c r="E134" s="38" t="s">
        <v>1914</v>
      </c>
      <c r="F134" s="36"/>
      <c r="G134" s="36" t="s">
        <v>1915</v>
      </c>
      <c r="H134" s="36" t="s">
        <v>1916</v>
      </c>
      <c r="I134" s="40"/>
      <c r="J134" s="36" t="s">
        <v>94</v>
      </c>
      <c r="K134" s="36" t="s">
        <v>94</v>
      </c>
      <c r="L134" s="36" t="s">
        <v>1336</v>
      </c>
      <c r="M134" s="36" t="s">
        <v>1918</v>
      </c>
      <c r="N134" s="36" t="s">
        <v>1919</v>
      </c>
      <c r="O134" s="36" t="s">
        <v>1920</v>
      </c>
      <c r="P134" s="36" t="s">
        <v>1918</v>
      </c>
      <c r="Q134" s="36" t="s">
        <v>1921</v>
      </c>
      <c r="R134" s="36" t="s">
        <v>1922</v>
      </c>
      <c r="S134" s="42" t="s">
        <v>5100</v>
      </c>
      <c r="T134" s="43" t="s">
        <v>1923</v>
      </c>
      <c r="U134" s="44" t="s">
        <v>1924</v>
      </c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5"/>
      <c r="AH134" s="1"/>
      <c r="AI134" s="1"/>
      <c r="AJ134" s="1"/>
    </row>
    <row r="135" spans="1:36">
      <c r="A135" s="36" t="s">
        <v>1765</v>
      </c>
      <c r="B135" s="36" t="s">
        <v>1889</v>
      </c>
      <c r="C135" s="36" t="s">
        <v>1925</v>
      </c>
      <c r="D135" s="36" t="s">
        <v>1926</v>
      </c>
      <c r="E135" s="38" t="s">
        <v>1927</v>
      </c>
      <c r="F135" s="36"/>
      <c r="G135" s="36" t="s">
        <v>1915</v>
      </c>
      <c r="H135" s="36" t="s">
        <v>1916</v>
      </c>
      <c r="I135" s="40" t="s">
        <v>130</v>
      </c>
      <c r="J135" s="36" t="s">
        <v>94</v>
      </c>
      <c r="K135" s="36" t="s">
        <v>94</v>
      </c>
      <c r="L135" s="36" t="s">
        <v>1336</v>
      </c>
      <c r="M135" s="36" t="s">
        <v>1930</v>
      </c>
      <c r="N135" s="36" t="s">
        <v>1931</v>
      </c>
      <c r="O135" s="36" t="s">
        <v>1920</v>
      </c>
      <c r="P135" s="36" t="s">
        <v>1930</v>
      </c>
      <c r="Q135" s="36" t="s">
        <v>1932</v>
      </c>
      <c r="R135" s="36" t="s">
        <v>164</v>
      </c>
      <c r="S135" s="42" t="s">
        <v>5101</v>
      </c>
      <c r="T135" s="43"/>
      <c r="U135" s="44" t="s">
        <v>1924</v>
      </c>
      <c r="V135" s="43" t="s">
        <v>130</v>
      </c>
      <c r="W135" s="43" t="s">
        <v>130</v>
      </c>
      <c r="X135" s="43" t="s">
        <v>130</v>
      </c>
      <c r="Y135" s="43" t="s">
        <v>130</v>
      </c>
      <c r="Z135" s="43" t="s">
        <v>130</v>
      </c>
      <c r="AA135" s="43" t="s">
        <v>130</v>
      </c>
      <c r="AB135" s="43" t="s">
        <v>130</v>
      </c>
      <c r="AC135" s="43"/>
      <c r="AD135" s="43"/>
      <c r="AE135" s="43"/>
      <c r="AF135" s="43"/>
      <c r="AG135" s="45"/>
      <c r="AH135" s="1"/>
      <c r="AI135" s="1"/>
      <c r="AJ135" s="1"/>
    </row>
    <row r="136" spans="1:36">
      <c r="A136" s="36" t="s">
        <v>1765</v>
      </c>
      <c r="B136" s="36" t="s">
        <v>1889</v>
      </c>
      <c r="C136" s="36" t="s">
        <v>1933</v>
      </c>
      <c r="D136" s="36" t="s">
        <v>1934</v>
      </c>
      <c r="E136" s="38" t="s">
        <v>1935</v>
      </c>
      <c r="F136" s="36"/>
      <c r="G136" s="36" t="s">
        <v>1915</v>
      </c>
      <c r="H136" s="36" t="s">
        <v>1916</v>
      </c>
      <c r="I136" s="40" t="s">
        <v>130</v>
      </c>
      <c r="J136" s="36" t="s">
        <v>132</v>
      </c>
      <c r="K136" s="36" t="s">
        <v>94</v>
      </c>
      <c r="L136" s="36" t="s">
        <v>1336</v>
      </c>
      <c r="M136" s="36" t="s">
        <v>1937</v>
      </c>
      <c r="N136" s="36" t="s">
        <v>1939</v>
      </c>
      <c r="O136" s="36" t="s">
        <v>1920</v>
      </c>
      <c r="P136" s="36" t="s">
        <v>1937</v>
      </c>
      <c r="Q136" s="36" t="s">
        <v>1940</v>
      </c>
      <c r="R136" s="36" t="s">
        <v>1941</v>
      </c>
      <c r="S136" s="42" t="s">
        <v>5102</v>
      </c>
      <c r="T136" s="43"/>
      <c r="U136" s="44" t="s">
        <v>1924</v>
      </c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5"/>
      <c r="AH136" s="1"/>
      <c r="AI136" s="1"/>
      <c r="AJ136" s="1"/>
    </row>
    <row r="137" spans="1:36">
      <c r="A137" s="36" t="s">
        <v>1765</v>
      </c>
      <c r="B137" s="36" t="s">
        <v>1889</v>
      </c>
      <c r="C137" s="36" t="s">
        <v>1942</v>
      </c>
      <c r="D137" s="57" t="s">
        <v>1943</v>
      </c>
      <c r="E137" s="38" t="s">
        <v>1944</v>
      </c>
      <c r="F137" s="36"/>
      <c r="G137" s="36" t="s">
        <v>1915</v>
      </c>
      <c r="H137" s="36" t="s">
        <v>1916</v>
      </c>
      <c r="I137" s="40"/>
      <c r="J137" s="36" t="s">
        <v>230</v>
      </c>
      <c r="K137" s="36" t="s">
        <v>94</v>
      </c>
      <c r="L137" s="36" t="s">
        <v>1336</v>
      </c>
      <c r="M137" s="36" t="s">
        <v>1945</v>
      </c>
      <c r="N137" s="36" t="s">
        <v>1946</v>
      </c>
      <c r="O137" s="36" t="s">
        <v>1920</v>
      </c>
      <c r="P137" s="36" t="s">
        <v>1945</v>
      </c>
      <c r="Q137" s="36" t="s">
        <v>1947</v>
      </c>
      <c r="R137" s="36" t="s">
        <v>1847</v>
      </c>
      <c r="S137" s="42" t="s">
        <v>5103</v>
      </c>
      <c r="T137" s="43" t="s">
        <v>1949</v>
      </c>
      <c r="U137" s="44" t="s">
        <v>1924</v>
      </c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5"/>
      <c r="AH137" s="1"/>
      <c r="AI137" s="1"/>
      <c r="AJ137" s="1"/>
    </row>
    <row r="138" spans="1:36">
      <c r="A138" s="36" t="s">
        <v>1765</v>
      </c>
      <c r="B138" s="36" t="s">
        <v>1889</v>
      </c>
      <c r="C138" s="36" t="s">
        <v>1951</v>
      </c>
      <c r="D138" s="36" t="s">
        <v>1952</v>
      </c>
      <c r="E138" s="38"/>
      <c r="F138" s="36"/>
      <c r="G138" s="36" t="s">
        <v>1953</v>
      </c>
      <c r="H138" s="36" t="s">
        <v>1954</v>
      </c>
      <c r="I138" s="40"/>
      <c r="J138" s="36" t="s">
        <v>1955</v>
      </c>
      <c r="K138" s="36" t="s">
        <v>94</v>
      </c>
      <c r="L138" s="36" t="s">
        <v>1336</v>
      </c>
      <c r="M138" s="36" t="s">
        <v>1956</v>
      </c>
      <c r="N138" s="36"/>
      <c r="O138" s="36" t="s">
        <v>1889</v>
      </c>
      <c r="P138" s="36" t="s">
        <v>1956</v>
      </c>
      <c r="Q138" s="36" t="s">
        <v>1957</v>
      </c>
      <c r="R138" s="36" t="s">
        <v>1958</v>
      </c>
      <c r="S138" s="42" t="s">
        <v>5130</v>
      </c>
      <c r="T138" s="43"/>
      <c r="U138" s="44" t="s">
        <v>551</v>
      </c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5"/>
      <c r="AH138" s="1"/>
      <c r="AI138" s="1"/>
      <c r="AJ138" s="1"/>
    </row>
    <row r="139" spans="1:36">
      <c r="A139" s="36" t="s">
        <v>1740</v>
      </c>
      <c r="B139" s="36" t="s">
        <v>1889</v>
      </c>
      <c r="C139" s="36" t="s">
        <v>1961</v>
      </c>
      <c r="D139" s="61" t="s">
        <v>1962</v>
      </c>
      <c r="E139" s="38" t="s">
        <v>1963</v>
      </c>
      <c r="F139" s="36"/>
      <c r="G139" s="36" t="s">
        <v>435</v>
      </c>
      <c r="H139" s="36" t="s">
        <v>1964</v>
      </c>
      <c r="I139" s="40" t="s">
        <v>130</v>
      </c>
      <c r="J139" s="36" t="s">
        <v>94</v>
      </c>
      <c r="K139" s="36" t="s">
        <v>94</v>
      </c>
      <c r="L139" s="36" t="s">
        <v>1336</v>
      </c>
      <c r="M139" s="36"/>
      <c r="N139" s="36" t="s">
        <v>1965</v>
      </c>
      <c r="O139" s="36" t="s">
        <v>1966</v>
      </c>
      <c r="P139" s="36" t="s">
        <v>1967</v>
      </c>
      <c r="Q139" s="36" t="s">
        <v>1968</v>
      </c>
      <c r="R139" s="36" t="s">
        <v>164</v>
      </c>
      <c r="S139" s="42" t="s">
        <v>5095</v>
      </c>
      <c r="T139" s="43" t="s">
        <v>1969</v>
      </c>
      <c r="U139" s="44" t="s">
        <v>1970</v>
      </c>
      <c r="V139" s="43" t="s">
        <v>130</v>
      </c>
      <c r="W139" s="43" t="s">
        <v>130</v>
      </c>
      <c r="X139" s="43" t="s">
        <v>130</v>
      </c>
      <c r="Y139" s="43" t="s">
        <v>130</v>
      </c>
      <c r="Z139" s="43" t="s">
        <v>130</v>
      </c>
      <c r="AA139" s="43" t="s">
        <v>130</v>
      </c>
      <c r="AB139" s="43" t="s">
        <v>130</v>
      </c>
      <c r="AC139" s="43"/>
      <c r="AD139" s="43"/>
      <c r="AE139" s="43"/>
      <c r="AF139" s="43"/>
      <c r="AG139" s="45"/>
      <c r="AH139" s="1"/>
      <c r="AI139" s="1"/>
      <c r="AJ139" s="1"/>
    </row>
    <row r="140" spans="1:36">
      <c r="A140" s="36" t="s">
        <v>1740</v>
      </c>
      <c r="B140" s="36" t="s">
        <v>1889</v>
      </c>
      <c r="C140" s="36" t="s">
        <v>1972</v>
      </c>
      <c r="D140" s="36" t="s">
        <v>1973</v>
      </c>
      <c r="E140" s="38" t="s">
        <v>1975</v>
      </c>
      <c r="F140" s="36"/>
      <c r="G140" s="36" t="s">
        <v>435</v>
      </c>
      <c r="H140" s="36" t="s">
        <v>1964</v>
      </c>
      <c r="I140" s="40" t="s">
        <v>130</v>
      </c>
      <c r="J140" s="36" t="s">
        <v>94</v>
      </c>
      <c r="K140" s="36" t="s">
        <v>94</v>
      </c>
      <c r="L140" s="36" t="s">
        <v>1336</v>
      </c>
      <c r="M140" s="36" t="s">
        <v>1977</v>
      </c>
      <c r="N140" s="36" t="s">
        <v>1978</v>
      </c>
      <c r="O140" s="36" t="s">
        <v>1966</v>
      </c>
      <c r="P140" s="36" t="s">
        <v>1977</v>
      </c>
      <c r="Q140" s="36" t="s">
        <v>1979</v>
      </c>
      <c r="R140" s="36" t="s">
        <v>164</v>
      </c>
      <c r="S140" s="42" t="s">
        <v>5096</v>
      </c>
      <c r="T140" s="43" t="s">
        <v>1980</v>
      </c>
      <c r="U140" s="44" t="s">
        <v>1981</v>
      </c>
      <c r="V140" s="43" t="s">
        <v>130</v>
      </c>
      <c r="W140" s="43" t="s">
        <v>130</v>
      </c>
      <c r="X140" s="43" t="s">
        <v>130</v>
      </c>
      <c r="Y140" s="43" t="s">
        <v>130</v>
      </c>
      <c r="Z140" s="43" t="s">
        <v>130</v>
      </c>
      <c r="AA140" s="43" t="s">
        <v>130</v>
      </c>
      <c r="AB140" s="43" t="s">
        <v>130</v>
      </c>
      <c r="AC140" s="43"/>
      <c r="AD140" s="43"/>
      <c r="AE140" s="43"/>
      <c r="AF140" s="43"/>
      <c r="AG140" s="45"/>
      <c r="AH140" s="1"/>
      <c r="AI140" s="1"/>
      <c r="AJ140" s="1"/>
    </row>
    <row r="141" spans="1:36">
      <c r="A141" s="36" t="s">
        <v>1765</v>
      </c>
      <c r="B141" s="36" t="s">
        <v>1889</v>
      </c>
      <c r="C141" s="36" t="s">
        <v>1982</v>
      </c>
      <c r="D141" s="61" t="s">
        <v>1983</v>
      </c>
      <c r="E141" s="38" t="s">
        <v>1984</v>
      </c>
      <c r="F141" s="36"/>
      <c r="G141" s="36" t="s">
        <v>164</v>
      </c>
      <c r="H141" s="36" t="s">
        <v>1985</v>
      </c>
      <c r="I141" s="40" t="s">
        <v>130</v>
      </c>
      <c r="J141" s="36" t="s">
        <v>1986</v>
      </c>
      <c r="K141" s="36" t="s">
        <v>94</v>
      </c>
      <c r="L141" s="36" t="s">
        <v>1336</v>
      </c>
      <c r="M141" s="36" t="s">
        <v>1987</v>
      </c>
      <c r="N141" s="36" t="s">
        <v>1988</v>
      </c>
      <c r="O141" s="36" t="s">
        <v>1920</v>
      </c>
      <c r="P141" s="36" t="s">
        <v>1987</v>
      </c>
      <c r="Q141" s="36" t="s">
        <v>1989</v>
      </c>
      <c r="R141" s="36" t="s">
        <v>1990</v>
      </c>
      <c r="S141" s="42" t="s">
        <v>5074</v>
      </c>
      <c r="T141" s="43"/>
      <c r="U141" s="44" t="s">
        <v>1924</v>
      </c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5"/>
      <c r="AH141" s="1"/>
      <c r="AI141" s="1"/>
      <c r="AJ141" s="1"/>
    </row>
    <row r="142" spans="1:36">
      <c r="A142" s="36" t="s">
        <v>1765</v>
      </c>
      <c r="B142" s="36" t="s">
        <v>1889</v>
      </c>
      <c r="C142" s="36" t="s">
        <v>1991</v>
      </c>
      <c r="D142" s="36" t="s">
        <v>1992</v>
      </c>
      <c r="E142" s="38" t="s">
        <v>1993</v>
      </c>
      <c r="F142" s="36"/>
      <c r="G142" s="36" t="s">
        <v>164</v>
      </c>
      <c r="H142" s="36" t="s">
        <v>1985</v>
      </c>
      <c r="I142" s="40" t="s">
        <v>130</v>
      </c>
      <c r="J142" s="36" t="s">
        <v>94</v>
      </c>
      <c r="K142" s="36" t="s">
        <v>94</v>
      </c>
      <c r="L142" s="36" t="s">
        <v>1336</v>
      </c>
      <c r="M142" s="36" t="s">
        <v>1994</v>
      </c>
      <c r="N142" s="36" t="s">
        <v>1995</v>
      </c>
      <c r="O142" s="36" t="s">
        <v>1920</v>
      </c>
      <c r="P142" s="36" t="s">
        <v>1994</v>
      </c>
      <c r="Q142" s="36" t="s">
        <v>1996</v>
      </c>
      <c r="R142" s="36" t="s">
        <v>164</v>
      </c>
      <c r="S142" s="42" t="s">
        <v>5075</v>
      </c>
      <c r="T142" s="43"/>
      <c r="U142" s="44" t="s">
        <v>551</v>
      </c>
      <c r="V142" s="43" t="s">
        <v>130</v>
      </c>
      <c r="W142" s="43" t="s">
        <v>130</v>
      </c>
      <c r="X142" s="43" t="s">
        <v>130</v>
      </c>
      <c r="Y142" s="43" t="s">
        <v>130</v>
      </c>
      <c r="Z142" s="43" t="s">
        <v>130</v>
      </c>
      <c r="AA142" s="43" t="s">
        <v>130</v>
      </c>
      <c r="AB142" s="43" t="s">
        <v>130</v>
      </c>
      <c r="AC142" s="43"/>
      <c r="AD142" s="43"/>
      <c r="AE142" s="43"/>
      <c r="AF142" s="43"/>
      <c r="AG142" s="45"/>
      <c r="AH142" s="1"/>
      <c r="AI142" s="1"/>
      <c r="AJ142" s="1"/>
    </row>
    <row r="143" spans="1:36">
      <c r="A143" s="36" t="s">
        <v>1765</v>
      </c>
      <c r="B143" s="36" t="s">
        <v>1889</v>
      </c>
      <c r="C143" s="36" t="s">
        <v>1997</v>
      </c>
      <c r="D143" s="36" t="s">
        <v>1998</v>
      </c>
      <c r="E143" s="38" t="s">
        <v>1999</v>
      </c>
      <c r="F143" s="36"/>
      <c r="G143" s="36" t="s">
        <v>164</v>
      </c>
      <c r="H143" s="36" t="s">
        <v>1985</v>
      </c>
      <c r="I143" s="40" t="s">
        <v>130</v>
      </c>
      <c r="J143" s="36" t="s">
        <v>94</v>
      </c>
      <c r="K143" s="36" t="s">
        <v>94</v>
      </c>
      <c r="L143" s="36" t="s">
        <v>1336</v>
      </c>
      <c r="M143" s="36" t="s">
        <v>2000</v>
      </c>
      <c r="N143" s="36" t="s">
        <v>2001</v>
      </c>
      <c r="O143" s="36" t="s">
        <v>1920</v>
      </c>
      <c r="P143" s="36" t="s">
        <v>2000</v>
      </c>
      <c r="Q143" s="36" t="s">
        <v>2002</v>
      </c>
      <c r="R143" s="36" t="s">
        <v>164</v>
      </c>
      <c r="S143" s="42" t="s">
        <v>5097</v>
      </c>
      <c r="T143" s="43"/>
      <c r="U143" s="44" t="s">
        <v>551</v>
      </c>
      <c r="V143" s="43" t="s">
        <v>130</v>
      </c>
      <c r="W143" s="43" t="s">
        <v>130</v>
      </c>
      <c r="X143" s="43" t="s">
        <v>130</v>
      </c>
      <c r="Y143" s="43" t="s">
        <v>130</v>
      </c>
      <c r="Z143" s="43" t="s">
        <v>130</v>
      </c>
      <c r="AA143" s="43" t="s">
        <v>130</v>
      </c>
      <c r="AB143" s="43" t="s">
        <v>130</v>
      </c>
      <c r="AC143" s="43"/>
      <c r="AD143" s="43"/>
      <c r="AE143" s="43"/>
      <c r="AF143" s="43"/>
      <c r="AG143" s="45"/>
      <c r="AH143" s="1"/>
      <c r="AI143" s="1"/>
      <c r="AJ143" s="1"/>
    </row>
    <row r="144" spans="1:36">
      <c r="A144" s="36" t="s">
        <v>1765</v>
      </c>
      <c r="B144" s="36" t="s">
        <v>1889</v>
      </c>
      <c r="C144" s="36" t="s">
        <v>2003</v>
      </c>
      <c r="D144" s="36" t="s">
        <v>2004</v>
      </c>
      <c r="E144" s="38" t="s">
        <v>2006</v>
      </c>
      <c r="F144" s="36"/>
      <c r="G144" s="36" t="s">
        <v>164</v>
      </c>
      <c r="H144" s="36" t="s">
        <v>1985</v>
      </c>
      <c r="I144" s="40"/>
      <c r="J144" s="36" t="s">
        <v>1822</v>
      </c>
      <c r="K144" s="36" t="s">
        <v>80</v>
      </c>
      <c r="L144" s="36" t="s">
        <v>1336</v>
      </c>
      <c r="M144" s="36" t="s">
        <v>2007</v>
      </c>
      <c r="N144" s="36" t="s">
        <v>2008</v>
      </c>
      <c r="O144" s="36" t="s">
        <v>1920</v>
      </c>
      <c r="P144" s="36" t="s">
        <v>2007</v>
      </c>
      <c r="Q144" s="36" t="s">
        <v>2009</v>
      </c>
      <c r="R144" s="36" t="s">
        <v>2010</v>
      </c>
      <c r="S144" s="42" t="s">
        <v>5131</v>
      </c>
      <c r="T144" s="43"/>
      <c r="U144" s="44" t="s">
        <v>2011</v>
      </c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5"/>
      <c r="AH144" s="1"/>
      <c r="AI144" s="1"/>
      <c r="AJ144" s="1"/>
    </row>
    <row r="145" spans="1:36">
      <c r="A145" s="36" t="s">
        <v>1740</v>
      </c>
      <c r="B145" s="36" t="s">
        <v>1889</v>
      </c>
      <c r="C145" s="36" t="s">
        <v>2012</v>
      </c>
      <c r="D145" s="36" t="s">
        <v>2013</v>
      </c>
      <c r="E145" s="38" t="s">
        <v>2014</v>
      </c>
      <c r="F145" s="36"/>
      <c r="G145" s="36" t="s">
        <v>2015</v>
      </c>
      <c r="H145" s="36" t="s">
        <v>2016</v>
      </c>
      <c r="I145" s="40"/>
      <c r="J145" s="36" t="s">
        <v>230</v>
      </c>
      <c r="K145" s="36" t="s">
        <v>94</v>
      </c>
      <c r="L145" s="36" t="s">
        <v>1336</v>
      </c>
      <c r="M145" s="36" t="s">
        <v>2017</v>
      </c>
      <c r="N145" s="36" t="s">
        <v>2018</v>
      </c>
      <c r="O145" s="36" t="s">
        <v>1966</v>
      </c>
      <c r="P145" s="36" t="s">
        <v>2017</v>
      </c>
      <c r="Q145" s="36" t="s">
        <v>2020</v>
      </c>
      <c r="R145" s="36" t="s">
        <v>2021</v>
      </c>
      <c r="S145" s="42" t="s">
        <v>5091</v>
      </c>
      <c r="T145" s="43" t="s">
        <v>2023</v>
      </c>
      <c r="U145" s="44" t="s">
        <v>1981</v>
      </c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5"/>
      <c r="AH145" s="1"/>
      <c r="AI145" s="1"/>
      <c r="AJ145" s="1"/>
    </row>
    <row r="146" spans="1:36">
      <c r="A146" s="36" t="s">
        <v>1740</v>
      </c>
      <c r="B146" s="36" t="s">
        <v>1889</v>
      </c>
      <c r="C146" s="36" t="s">
        <v>2024</v>
      </c>
      <c r="D146" s="36" t="s">
        <v>2025</v>
      </c>
      <c r="E146" s="38" t="s">
        <v>2026</v>
      </c>
      <c r="F146" s="36"/>
      <c r="G146" s="36" t="s">
        <v>2015</v>
      </c>
      <c r="H146" s="36" t="s">
        <v>2016</v>
      </c>
      <c r="I146" s="40" t="s">
        <v>130</v>
      </c>
      <c r="J146" s="36" t="s">
        <v>94</v>
      </c>
      <c r="K146" s="36" t="s">
        <v>94</v>
      </c>
      <c r="L146" s="36" t="s">
        <v>1336</v>
      </c>
      <c r="M146" s="36" t="s">
        <v>2027</v>
      </c>
      <c r="N146" s="36" t="s">
        <v>2028</v>
      </c>
      <c r="O146" s="36" t="s">
        <v>1966</v>
      </c>
      <c r="P146" s="36" t="s">
        <v>2029</v>
      </c>
      <c r="Q146" s="36" t="s">
        <v>2030</v>
      </c>
      <c r="R146" s="36" t="s">
        <v>164</v>
      </c>
      <c r="S146" s="42" t="s">
        <v>5092</v>
      </c>
      <c r="T146" s="43" t="s">
        <v>2031</v>
      </c>
      <c r="U146" s="44" t="s">
        <v>1981</v>
      </c>
      <c r="V146" s="43" t="s">
        <v>130</v>
      </c>
      <c r="W146" s="43" t="s">
        <v>130</v>
      </c>
      <c r="X146" s="43" t="s">
        <v>130</v>
      </c>
      <c r="Y146" s="43" t="s">
        <v>130</v>
      </c>
      <c r="Z146" s="43" t="s">
        <v>130</v>
      </c>
      <c r="AA146" s="43" t="s">
        <v>130</v>
      </c>
      <c r="AB146" s="43" t="s">
        <v>130</v>
      </c>
      <c r="AC146" s="43"/>
      <c r="AD146" s="43"/>
      <c r="AE146" s="43"/>
      <c r="AF146" s="43"/>
      <c r="AG146" s="45"/>
      <c r="AH146" s="1"/>
      <c r="AI146" s="1"/>
      <c r="AJ146" s="1"/>
    </row>
    <row r="147" spans="1:36">
      <c r="A147" s="36" t="s">
        <v>1740</v>
      </c>
      <c r="B147" s="36" t="s">
        <v>1889</v>
      </c>
      <c r="C147" s="36" t="s">
        <v>2033</v>
      </c>
      <c r="D147" s="36" t="s">
        <v>2034</v>
      </c>
      <c r="E147" s="38" t="s">
        <v>2035</v>
      </c>
      <c r="F147" s="36"/>
      <c r="G147" s="36" t="s">
        <v>2015</v>
      </c>
      <c r="H147" s="36" t="s">
        <v>2016</v>
      </c>
      <c r="I147" s="40" t="s">
        <v>130</v>
      </c>
      <c r="J147" s="36" t="s">
        <v>94</v>
      </c>
      <c r="K147" s="36" t="s">
        <v>94</v>
      </c>
      <c r="L147" s="36" t="s">
        <v>1336</v>
      </c>
      <c r="M147" s="36"/>
      <c r="N147" s="36" t="s">
        <v>2036</v>
      </c>
      <c r="O147" s="36" t="s">
        <v>1966</v>
      </c>
      <c r="P147" s="36" t="s">
        <v>2037</v>
      </c>
      <c r="Q147" s="36" t="s">
        <v>2038</v>
      </c>
      <c r="R147" s="36" t="s">
        <v>164</v>
      </c>
      <c r="S147" s="42" t="s">
        <v>5093</v>
      </c>
      <c r="T147" s="43" t="s">
        <v>2039</v>
      </c>
      <c r="U147" s="44" t="s">
        <v>1981</v>
      </c>
      <c r="V147" s="43" t="s">
        <v>130</v>
      </c>
      <c r="W147" s="43" t="s">
        <v>130</v>
      </c>
      <c r="X147" s="43" t="s">
        <v>130</v>
      </c>
      <c r="Y147" s="43" t="s">
        <v>130</v>
      </c>
      <c r="Z147" s="43" t="s">
        <v>130</v>
      </c>
      <c r="AA147" s="43" t="s">
        <v>130</v>
      </c>
      <c r="AB147" s="43" t="s">
        <v>130</v>
      </c>
      <c r="AC147" s="43"/>
      <c r="AD147" s="43"/>
      <c r="AE147" s="43"/>
      <c r="AF147" s="43"/>
      <c r="AG147" s="45"/>
      <c r="AH147" s="1"/>
      <c r="AI147" s="1"/>
      <c r="AJ147" s="1"/>
    </row>
    <row r="148" spans="1:36">
      <c r="A148" s="36" t="s">
        <v>1740</v>
      </c>
      <c r="B148" s="36" t="s">
        <v>1889</v>
      </c>
      <c r="C148" s="36" t="s">
        <v>2041</v>
      </c>
      <c r="D148" s="36" t="s">
        <v>2043</v>
      </c>
      <c r="E148" s="38" t="s">
        <v>2044</v>
      </c>
      <c r="F148" s="36"/>
      <c r="G148" s="36" t="s">
        <v>2015</v>
      </c>
      <c r="H148" s="36" t="s">
        <v>2016</v>
      </c>
      <c r="I148" s="40" t="s">
        <v>130</v>
      </c>
      <c r="J148" s="36" t="s">
        <v>94</v>
      </c>
      <c r="K148" s="36" t="s">
        <v>94</v>
      </c>
      <c r="L148" s="36" t="s">
        <v>1336</v>
      </c>
      <c r="M148" s="36" t="s">
        <v>2045</v>
      </c>
      <c r="N148" s="36" t="s">
        <v>2046</v>
      </c>
      <c r="O148" s="36" t="s">
        <v>1966</v>
      </c>
      <c r="P148" s="36" t="s">
        <v>2045</v>
      </c>
      <c r="Q148" s="36" t="s">
        <v>2047</v>
      </c>
      <c r="R148" s="36" t="s">
        <v>164</v>
      </c>
      <c r="S148" s="42" t="s">
        <v>5094</v>
      </c>
      <c r="T148" s="43" t="s">
        <v>2048</v>
      </c>
      <c r="U148" s="44" t="s">
        <v>1981</v>
      </c>
      <c r="V148" s="43" t="s">
        <v>130</v>
      </c>
      <c r="W148" s="43" t="s">
        <v>130</v>
      </c>
      <c r="X148" s="43" t="s">
        <v>130</v>
      </c>
      <c r="Y148" s="43" t="s">
        <v>130</v>
      </c>
      <c r="Z148" s="43" t="s">
        <v>130</v>
      </c>
      <c r="AA148" s="43" t="s">
        <v>130</v>
      </c>
      <c r="AB148" s="43" t="s">
        <v>130</v>
      </c>
      <c r="AC148" s="43"/>
      <c r="AD148" s="43"/>
      <c r="AE148" s="43"/>
      <c r="AF148" s="43"/>
      <c r="AG148" s="45"/>
      <c r="AH148" s="1"/>
      <c r="AI148" s="1"/>
      <c r="AJ148" s="1"/>
    </row>
    <row r="149" spans="1:36">
      <c r="A149" s="36" t="s">
        <v>1740</v>
      </c>
      <c r="B149" s="36" t="s">
        <v>1889</v>
      </c>
      <c r="C149" s="36" t="s">
        <v>2049</v>
      </c>
      <c r="D149" s="36" t="s">
        <v>2050</v>
      </c>
      <c r="E149" s="38" t="s">
        <v>2051</v>
      </c>
      <c r="F149" s="36"/>
      <c r="G149" s="36" t="s">
        <v>2053</v>
      </c>
      <c r="H149" s="36" t="s">
        <v>2055</v>
      </c>
      <c r="I149" s="40" t="s">
        <v>130</v>
      </c>
      <c r="J149" s="36" t="s">
        <v>94</v>
      </c>
      <c r="K149" s="36" t="s">
        <v>94</v>
      </c>
      <c r="L149" s="36" t="s">
        <v>1336</v>
      </c>
      <c r="M149" s="36" t="s">
        <v>2056</v>
      </c>
      <c r="N149" s="36" t="s">
        <v>2057</v>
      </c>
      <c r="O149" s="36" t="s">
        <v>2058</v>
      </c>
      <c r="P149" s="36" t="s">
        <v>2056</v>
      </c>
      <c r="Q149" s="36" t="s">
        <v>2059</v>
      </c>
      <c r="R149" s="36" t="s">
        <v>164</v>
      </c>
      <c r="S149" s="42" t="s">
        <v>5107</v>
      </c>
      <c r="T149" s="43"/>
      <c r="U149" s="44" t="s">
        <v>272</v>
      </c>
      <c r="V149" s="43" t="s">
        <v>130</v>
      </c>
      <c r="W149" s="43" t="s">
        <v>130</v>
      </c>
      <c r="X149" s="43" t="s">
        <v>130</v>
      </c>
      <c r="Y149" s="43" t="s">
        <v>130</v>
      </c>
      <c r="Z149" s="43" t="s">
        <v>130</v>
      </c>
      <c r="AA149" s="43" t="s">
        <v>130</v>
      </c>
      <c r="AB149" s="43" t="s">
        <v>130</v>
      </c>
      <c r="AC149" s="43"/>
      <c r="AD149" s="43"/>
      <c r="AE149" s="43"/>
      <c r="AF149" s="43"/>
      <c r="AG149" s="45"/>
      <c r="AH149" s="1"/>
      <c r="AI149" s="1"/>
      <c r="AJ149" s="1"/>
    </row>
    <row r="150" spans="1:36">
      <c r="A150" s="36" t="s">
        <v>1740</v>
      </c>
      <c r="B150" s="36" t="s">
        <v>1889</v>
      </c>
      <c r="C150" s="36" t="s">
        <v>2060</v>
      </c>
      <c r="D150" s="36" t="s">
        <v>2061</v>
      </c>
      <c r="E150" s="38" t="s">
        <v>2062</v>
      </c>
      <c r="F150" s="36"/>
      <c r="G150" s="36" t="s">
        <v>2053</v>
      </c>
      <c r="H150" s="36" t="s">
        <v>2055</v>
      </c>
      <c r="I150" s="40"/>
      <c r="J150" s="36" t="s">
        <v>94</v>
      </c>
      <c r="K150" s="36" t="s">
        <v>94</v>
      </c>
      <c r="L150" s="36" t="s">
        <v>1336</v>
      </c>
      <c r="M150" s="36" t="s">
        <v>2065</v>
      </c>
      <c r="N150" s="36" t="s">
        <v>2066</v>
      </c>
      <c r="O150" s="36" t="s">
        <v>2058</v>
      </c>
      <c r="P150" s="36" t="s">
        <v>2065</v>
      </c>
      <c r="Q150" s="36" t="s">
        <v>2067</v>
      </c>
      <c r="R150" s="36" t="s">
        <v>2068</v>
      </c>
      <c r="S150" s="42" t="s">
        <v>5116</v>
      </c>
      <c r="T150" s="43" t="s">
        <v>2069</v>
      </c>
      <c r="U150" s="44" t="s">
        <v>272</v>
      </c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5"/>
      <c r="AH150" s="1"/>
      <c r="AI150" s="1"/>
      <c r="AJ150" s="1"/>
    </row>
    <row r="151" spans="1:36">
      <c r="A151" s="36" t="s">
        <v>1740</v>
      </c>
      <c r="B151" s="36" t="s">
        <v>1889</v>
      </c>
      <c r="C151" s="36" t="s">
        <v>2070</v>
      </c>
      <c r="D151" s="36" t="s">
        <v>2071</v>
      </c>
      <c r="E151" s="38" t="s">
        <v>2072</v>
      </c>
      <c r="F151" s="36"/>
      <c r="G151" s="36" t="s">
        <v>2053</v>
      </c>
      <c r="H151" s="36" t="s">
        <v>2055</v>
      </c>
      <c r="I151" s="40" t="s">
        <v>130</v>
      </c>
      <c r="J151" s="46" t="s">
        <v>94</v>
      </c>
      <c r="K151" s="36" t="s">
        <v>94</v>
      </c>
      <c r="L151" s="36" t="s">
        <v>1336</v>
      </c>
      <c r="M151" s="36" t="s">
        <v>2073</v>
      </c>
      <c r="N151" s="36" t="s">
        <v>2074</v>
      </c>
      <c r="O151" s="36" t="s">
        <v>2058</v>
      </c>
      <c r="P151" s="36" t="s">
        <v>2073</v>
      </c>
      <c r="Q151" s="36" t="s">
        <v>2075</v>
      </c>
      <c r="R151" s="36" t="s">
        <v>551</v>
      </c>
      <c r="S151" s="42" t="s">
        <v>5117</v>
      </c>
      <c r="T151" s="43"/>
      <c r="U151" s="44" t="s">
        <v>272</v>
      </c>
      <c r="V151" s="43"/>
      <c r="W151" s="43"/>
      <c r="X151" s="43" t="s">
        <v>130</v>
      </c>
      <c r="Y151" s="43" t="s">
        <v>130</v>
      </c>
      <c r="Z151" s="43" t="s">
        <v>130</v>
      </c>
      <c r="AA151" s="43" t="s">
        <v>130</v>
      </c>
      <c r="AB151" s="43" t="s">
        <v>130</v>
      </c>
      <c r="AC151" s="43"/>
      <c r="AD151" s="43"/>
      <c r="AE151" s="43"/>
      <c r="AF151" s="43"/>
      <c r="AG151" s="45"/>
      <c r="AH151" s="1"/>
      <c r="AI151" s="1"/>
      <c r="AJ151" s="1"/>
    </row>
    <row r="152" spans="1:36">
      <c r="A152" s="36" t="s">
        <v>1740</v>
      </c>
      <c r="B152" s="36" t="s">
        <v>1889</v>
      </c>
      <c r="C152" s="36" t="s">
        <v>2077</v>
      </c>
      <c r="D152" s="36" t="s">
        <v>2078</v>
      </c>
      <c r="E152" s="38" t="s">
        <v>2079</v>
      </c>
      <c r="F152" s="36"/>
      <c r="G152" s="36" t="s">
        <v>2053</v>
      </c>
      <c r="H152" s="36" t="s">
        <v>2055</v>
      </c>
      <c r="I152" s="40"/>
      <c r="J152" s="36" t="s">
        <v>230</v>
      </c>
      <c r="K152" s="36" t="s">
        <v>94</v>
      </c>
      <c r="L152" s="36" t="s">
        <v>1336</v>
      </c>
      <c r="M152" s="36" t="s">
        <v>2080</v>
      </c>
      <c r="N152" s="36" t="s">
        <v>2081</v>
      </c>
      <c r="O152" s="36" t="s">
        <v>2058</v>
      </c>
      <c r="P152" s="36" t="s">
        <v>2080</v>
      </c>
      <c r="Q152" s="36" t="s">
        <v>2082</v>
      </c>
      <c r="R152" s="36" t="s">
        <v>2083</v>
      </c>
      <c r="S152" s="42" t="s">
        <v>5118</v>
      </c>
      <c r="T152" s="43" t="s">
        <v>2084</v>
      </c>
      <c r="U152" s="44" t="s">
        <v>272</v>
      </c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5"/>
      <c r="AH152" s="1"/>
      <c r="AI152" s="1"/>
      <c r="AJ152" s="1"/>
    </row>
    <row r="153" spans="1:36">
      <c r="A153" s="36" t="s">
        <v>1740</v>
      </c>
      <c r="B153" s="36" t="s">
        <v>1889</v>
      </c>
      <c r="C153" s="36" t="s">
        <v>2085</v>
      </c>
      <c r="D153" s="61" t="s">
        <v>2086</v>
      </c>
      <c r="E153" s="38" t="s">
        <v>2087</v>
      </c>
      <c r="F153" s="36"/>
      <c r="G153" s="36" t="s">
        <v>2053</v>
      </c>
      <c r="H153" s="36" t="s">
        <v>2055</v>
      </c>
      <c r="I153" s="40" t="s">
        <v>130</v>
      </c>
      <c r="J153" s="36" t="s">
        <v>94</v>
      </c>
      <c r="K153" s="36" t="s">
        <v>94</v>
      </c>
      <c r="L153" s="36" t="s">
        <v>1336</v>
      </c>
      <c r="M153" s="36" t="s">
        <v>2088</v>
      </c>
      <c r="N153" s="36" t="s">
        <v>2089</v>
      </c>
      <c r="O153" s="36" t="s">
        <v>2058</v>
      </c>
      <c r="P153" s="36" t="s">
        <v>2088</v>
      </c>
      <c r="Q153" s="36" t="s">
        <v>2091</v>
      </c>
      <c r="R153" s="36" t="s">
        <v>164</v>
      </c>
      <c r="S153" s="42" t="s">
        <v>5119</v>
      </c>
      <c r="T153" s="43" t="s">
        <v>2093</v>
      </c>
      <c r="U153" s="44" t="s">
        <v>272</v>
      </c>
      <c r="V153" s="43" t="s">
        <v>130</v>
      </c>
      <c r="W153" s="43" t="s">
        <v>130</v>
      </c>
      <c r="X153" s="43" t="s">
        <v>130</v>
      </c>
      <c r="Y153" s="43" t="s">
        <v>130</v>
      </c>
      <c r="Z153" s="43" t="s">
        <v>130</v>
      </c>
      <c r="AA153" s="43" t="s">
        <v>130</v>
      </c>
      <c r="AB153" s="43" t="s">
        <v>130</v>
      </c>
      <c r="AC153" s="43"/>
      <c r="AD153" s="43"/>
      <c r="AE153" s="43"/>
      <c r="AF153" s="43"/>
      <c r="AG153" s="45"/>
      <c r="AH153" s="1"/>
      <c r="AI153" s="1"/>
      <c r="AJ153" s="1"/>
    </row>
    <row r="154" spans="1:36">
      <c r="A154" s="36" t="s">
        <v>2094</v>
      </c>
      <c r="B154" s="36" t="s">
        <v>2095</v>
      </c>
      <c r="C154" s="36" t="s">
        <v>2096</v>
      </c>
      <c r="D154" s="57" t="s">
        <v>2097</v>
      </c>
      <c r="E154" s="38" t="s">
        <v>2096</v>
      </c>
      <c r="F154" s="36"/>
      <c r="G154" s="36" t="s">
        <v>435</v>
      </c>
      <c r="H154" s="36" t="s">
        <v>2098</v>
      </c>
      <c r="I154" s="40"/>
      <c r="J154" s="36" t="s">
        <v>230</v>
      </c>
      <c r="K154" s="36" t="s">
        <v>94</v>
      </c>
      <c r="L154" s="36" t="s">
        <v>2099</v>
      </c>
      <c r="M154" s="36">
        <v>1001</v>
      </c>
      <c r="N154" s="36" t="s">
        <v>2100</v>
      </c>
      <c r="O154" s="36" t="s">
        <v>2095</v>
      </c>
      <c r="P154" s="36" t="s">
        <v>2101</v>
      </c>
      <c r="Q154" s="36" t="s">
        <v>2102</v>
      </c>
      <c r="R154" s="36" t="s">
        <v>2103</v>
      </c>
      <c r="S154" s="42" t="s">
        <v>5068</v>
      </c>
      <c r="T154" s="43">
        <v>1011</v>
      </c>
      <c r="U154" s="44" t="s">
        <v>2106</v>
      </c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5"/>
      <c r="AH154" s="1"/>
      <c r="AI154" s="1"/>
      <c r="AJ154" s="1"/>
    </row>
    <row r="155" spans="1:36">
      <c r="A155" s="36" t="s">
        <v>2094</v>
      </c>
      <c r="B155" s="36" t="s">
        <v>2095</v>
      </c>
      <c r="C155" s="36" t="s">
        <v>2107</v>
      </c>
      <c r="D155" s="36" t="s">
        <v>2108</v>
      </c>
      <c r="E155" s="38" t="s">
        <v>2107</v>
      </c>
      <c r="F155" s="36"/>
      <c r="G155" s="36" t="s">
        <v>435</v>
      </c>
      <c r="H155" s="36" t="s">
        <v>2098</v>
      </c>
      <c r="I155" s="40" t="s">
        <v>130</v>
      </c>
      <c r="J155" s="36" t="s">
        <v>94</v>
      </c>
      <c r="K155" s="36" t="s">
        <v>94</v>
      </c>
      <c r="L155" s="36" t="s">
        <v>2099</v>
      </c>
      <c r="M155" s="36">
        <v>2001</v>
      </c>
      <c r="N155" s="36" t="s">
        <v>2109</v>
      </c>
      <c r="O155" s="36" t="s">
        <v>2095</v>
      </c>
      <c r="P155" s="36" t="s">
        <v>2110</v>
      </c>
      <c r="Q155" s="36" t="s">
        <v>2111</v>
      </c>
      <c r="R155" s="36" t="s">
        <v>164</v>
      </c>
      <c r="S155" s="42" t="s">
        <v>5105</v>
      </c>
      <c r="T155" s="43">
        <v>2011</v>
      </c>
      <c r="U155" s="44" t="s">
        <v>551</v>
      </c>
      <c r="V155" s="43" t="s">
        <v>130</v>
      </c>
      <c r="W155" s="43" t="s">
        <v>130</v>
      </c>
      <c r="X155" s="43" t="s">
        <v>130</v>
      </c>
      <c r="Y155" s="43" t="s">
        <v>130</v>
      </c>
      <c r="Z155" s="43" t="s">
        <v>130</v>
      </c>
      <c r="AA155" s="43" t="s">
        <v>130</v>
      </c>
      <c r="AB155" s="43" t="s">
        <v>130</v>
      </c>
      <c r="AC155" s="43"/>
      <c r="AD155" s="43"/>
      <c r="AE155" s="43"/>
      <c r="AF155" s="43"/>
      <c r="AG155" s="45"/>
      <c r="AH155" s="1"/>
      <c r="AI155" s="1"/>
      <c r="AJ155" s="1"/>
    </row>
    <row r="156" spans="1:36">
      <c r="A156" s="36" t="s">
        <v>2094</v>
      </c>
      <c r="B156" s="36" t="s">
        <v>2095</v>
      </c>
      <c r="C156" s="36" t="s">
        <v>2114</v>
      </c>
      <c r="D156" s="36" t="s">
        <v>2115</v>
      </c>
      <c r="E156" s="38" t="s">
        <v>2114</v>
      </c>
      <c r="F156" s="36"/>
      <c r="G156" s="36" t="s">
        <v>435</v>
      </c>
      <c r="H156" s="36" t="s">
        <v>2098</v>
      </c>
      <c r="I156" s="40" t="s">
        <v>130</v>
      </c>
      <c r="J156" s="36" t="s">
        <v>94</v>
      </c>
      <c r="K156" s="36" t="s">
        <v>94</v>
      </c>
      <c r="L156" s="36" t="s">
        <v>2099</v>
      </c>
      <c r="M156" s="36">
        <v>2002</v>
      </c>
      <c r="N156" s="36" t="s">
        <v>2116</v>
      </c>
      <c r="O156" s="36" t="s">
        <v>2095</v>
      </c>
      <c r="P156" s="36" t="s">
        <v>2117</v>
      </c>
      <c r="Q156" s="36" t="s">
        <v>2118</v>
      </c>
      <c r="R156" s="36" t="s">
        <v>164</v>
      </c>
      <c r="S156" s="42" t="s">
        <v>5084</v>
      </c>
      <c r="T156" s="43">
        <v>2003</v>
      </c>
      <c r="U156" s="44" t="s">
        <v>551</v>
      </c>
      <c r="V156" s="43"/>
      <c r="W156" s="43" t="s">
        <v>130</v>
      </c>
      <c r="X156" s="43" t="s">
        <v>130</v>
      </c>
      <c r="Y156" s="43" t="s">
        <v>130</v>
      </c>
      <c r="Z156" s="43" t="s">
        <v>130</v>
      </c>
      <c r="AA156" s="43" t="s">
        <v>130</v>
      </c>
      <c r="AB156" s="43" t="s">
        <v>130</v>
      </c>
      <c r="AC156" s="43"/>
      <c r="AD156" s="43"/>
      <c r="AE156" s="43"/>
      <c r="AF156" s="43"/>
      <c r="AG156" s="45"/>
      <c r="AH156" s="1"/>
      <c r="AI156" s="1"/>
      <c r="AJ156" s="1"/>
    </row>
    <row r="157" spans="1:36">
      <c r="A157" s="36" t="s">
        <v>2094</v>
      </c>
      <c r="B157" s="36" t="s">
        <v>2095</v>
      </c>
      <c r="C157" s="36" t="s">
        <v>2121</v>
      </c>
      <c r="D157" s="61" t="s">
        <v>2122</v>
      </c>
      <c r="E157" s="38" t="s">
        <v>2121</v>
      </c>
      <c r="F157" s="36"/>
      <c r="G157" s="36" t="s">
        <v>435</v>
      </c>
      <c r="H157" s="36" t="s">
        <v>2098</v>
      </c>
      <c r="I157" s="40"/>
      <c r="J157" s="36" t="s">
        <v>230</v>
      </c>
      <c r="K157" s="36" t="s">
        <v>94</v>
      </c>
      <c r="L157" s="36" t="s">
        <v>2099</v>
      </c>
      <c r="M157" s="36">
        <v>2004</v>
      </c>
      <c r="N157" s="36" t="s">
        <v>2123</v>
      </c>
      <c r="O157" s="36" t="s">
        <v>2095</v>
      </c>
      <c r="P157" s="36" t="s">
        <v>2124</v>
      </c>
      <c r="Q157" s="36" t="s">
        <v>2125</v>
      </c>
      <c r="R157" s="36" t="s">
        <v>1728</v>
      </c>
      <c r="S157" s="42" t="s">
        <v>5077</v>
      </c>
      <c r="T157" s="43">
        <v>2041</v>
      </c>
      <c r="U157" s="44" t="s">
        <v>2126</v>
      </c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5"/>
      <c r="AH157" s="1"/>
      <c r="AI157" s="1"/>
      <c r="AJ157" s="1"/>
    </row>
    <row r="158" spans="1:36">
      <c r="A158" s="36" t="s">
        <v>2094</v>
      </c>
      <c r="B158" s="36" t="s">
        <v>2095</v>
      </c>
      <c r="C158" s="36" t="s">
        <v>2128</v>
      </c>
      <c r="D158" s="36" t="s">
        <v>2129</v>
      </c>
      <c r="E158" s="38" t="s">
        <v>2128</v>
      </c>
      <c r="F158" s="36"/>
      <c r="G158" s="36" t="s">
        <v>435</v>
      </c>
      <c r="H158" s="36" t="s">
        <v>2098</v>
      </c>
      <c r="I158" s="40"/>
      <c r="J158" s="36" t="s">
        <v>159</v>
      </c>
      <c r="K158" s="36" t="s">
        <v>94</v>
      </c>
      <c r="L158" s="36" t="s">
        <v>2099</v>
      </c>
      <c r="M158" s="36">
        <v>2005</v>
      </c>
      <c r="N158" s="36" t="s">
        <v>2130</v>
      </c>
      <c r="O158" s="36" t="s">
        <v>2095</v>
      </c>
      <c r="P158" s="36" t="s">
        <v>2131</v>
      </c>
      <c r="Q158" s="36" t="s">
        <v>2132</v>
      </c>
      <c r="R158" s="36" t="s">
        <v>2133</v>
      </c>
      <c r="S158" s="42" t="s">
        <v>5085</v>
      </c>
      <c r="T158" s="43">
        <v>2051</v>
      </c>
      <c r="U158" s="44" t="s">
        <v>551</v>
      </c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5"/>
      <c r="AH158" s="1"/>
      <c r="AI158" s="1"/>
      <c r="AJ158" s="1"/>
    </row>
    <row r="159" spans="1:36">
      <c r="A159" s="36" t="s">
        <v>2094</v>
      </c>
      <c r="B159" s="36" t="s">
        <v>2095</v>
      </c>
      <c r="C159" s="36" t="s">
        <v>2134</v>
      </c>
      <c r="D159" s="36" t="s">
        <v>2135</v>
      </c>
      <c r="E159" s="38" t="s">
        <v>2134</v>
      </c>
      <c r="F159" s="36"/>
      <c r="G159" s="36" t="s">
        <v>435</v>
      </c>
      <c r="H159" s="36" t="s">
        <v>2098</v>
      </c>
      <c r="I159" s="40"/>
      <c r="J159" s="36" t="s">
        <v>94</v>
      </c>
      <c r="K159" s="36" t="s">
        <v>94</v>
      </c>
      <c r="L159" s="36" t="s">
        <v>2099</v>
      </c>
      <c r="M159" s="36">
        <v>1002</v>
      </c>
      <c r="N159" s="36" t="s">
        <v>2136</v>
      </c>
      <c r="O159" s="36" t="s">
        <v>2095</v>
      </c>
      <c r="P159" s="36" t="s">
        <v>2138</v>
      </c>
      <c r="Q159" s="36" t="s">
        <v>2139</v>
      </c>
      <c r="R159" s="36" t="s">
        <v>2140</v>
      </c>
      <c r="S159" s="42" t="s">
        <v>5079</v>
      </c>
      <c r="T159" s="43">
        <v>1021</v>
      </c>
      <c r="U159" s="44" t="s">
        <v>2106</v>
      </c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5"/>
      <c r="AH159" s="1"/>
      <c r="AI159" s="1"/>
      <c r="AJ159" s="1"/>
    </row>
    <row r="160" spans="1:36">
      <c r="A160" s="36" t="s">
        <v>2094</v>
      </c>
      <c r="B160" s="36" t="s">
        <v>2095</v>
      </c>
      <c r="C160" s="36" t="s">
        <v>2141</v>
      </c>
      <c r="D160" s="36" t="s">
        <v>2142</v>
      </c>
      <c r="E160" s="38" t="s">
        <v>2141</v>
      </c>
      <c r="F160" s="36"/>
      <c r="G160" s="36" t="s">
        <v>435</v>
      </c>
      <c r="H160" s="36" t="s">
        <v>2098</v>
      </c>
      <c r="I160" s="40"/>
      <c r="J160" s="36" t="s">
        <v>1014</v>
      </c>
      <c r="K160" s="36" t="s">
        <v>94</v>
      </c>
      <c r="L160" s="36" t="s">
        <v>2099</v>
      </c>
      <c r="M160" s="36">
        <v>1004</v>
      </c>
      <c r="N160" s="36" t="s">
        <v>2143</v>
      </c>
      <c r="O160" s="36" t="s">
        <v>2095</v>
      </c>
      <c r="P160" s="36" t="s">
        <v>2144</v>
      </c>
      <c r="Q160" s="36" t="s">
        <v>2145</v>
      </c>
      <c r="R160" s="36" t="s">
        <v>2146</v>
      </c>
      <c r="S160" s="42" t="s">
        <v>5080</v>
      </c>
      <c r="T160" s="43">
        <v>1044</v>
      </c>
      <c r="U160" s="44" t="s">
        <v>2148</v>
      </c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5"/>
      <c r="AH160" s="1"/>
      <c r="AI160" s="1"/>
      <c r="AJ160" s="1"/>
    </row>
    <row r="161" spans="1:36">
      <c r="A161" s="36" t="s">
        <v>2094</v>
      </c>
      <c r="B161" s="36" t="s">
        <v>2095</v>
      </c>
      <c r="C161" s="36" t="s">
        <v>2149</v>
      </c>
      <c r="D161" s="36" t="s">
        <v>2150</v>
      </c>
      <c r="E161" s="38" t="s">
        <v>2149</v>
      </c>
      <c r="F161" s="36"/>
      <c r="G161" s="36" t="s">
        <v>2151</v>
      </c>
      <c r="H161" s="36" t="s">
        <v>2152</v>
      </c>
      <c r="I161" s="40"/>
      <c r="J161" s="36" t="s">
        <v>159</v>
      </c>
      <c r="K161" s="36" t="s">
        <v>94</v>
      </c>
      <c r="L161" s="36" t="s">
        <v>2099</v>
      </c>
      <c r="M161" s="36">
        <v>1006</v>
      </c>
      <c r="N161" s="36" t="s">
        <v>2153</v>
      </c>
      <c r="O161" s="36" t="s">
        <v>2095</v>
      </c>
      <c r="P161" s="36" t="s">
        <v>2154</v>
      </c>
      <c r="Q161" s="36" t="s">
        <v>2155</v>
      </c>
      <c r="R161" s="36" t="s">
        <v>2156</v>
      </c>
      <c r="S161" s="42" t="s">
        <v>5076</v>
      </c>
      <c r="T161" s="43">
        <v>1061</v>
      </c>
      <c r="U161" s="44" t="s">
        <v>2148</v>
      </c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5"/>
      <c r="AH161" s="1"/>
      <c r="AI161" s="1"/>
      <c r="AJ161" s="1"/>
    </row>
    <row r="162" spans="1:36">
      <c r="A162" s="36" t="s">
        <v>2094</v>
      </c>
      <c r="B162" s="36" t="s">
        <v>2095</v>
      </c>
      <c r="C162" s="36" t="s">
        <v>2159</v>
      </c>
      <c r="D162" s="36" t="s">
        <v>2160</v>
      </c>
      <c r="E162" s="38" t="s">
        <v>2159</v>
      </c>
      <c r="F162" s="36"/>
      <c r="G162" s="36" t="s">
        <v>2151</v>
      </c>
      <c r="H162" s="36" t="s">
        <v>2152</v>
      </c>
      <c r="I162" s="40" t="s">
        <v>130</v>
      </c>
      <c r="J162" s="36" t="s">
        <v>94</v>
      </c>
      <c r="K162" s="36" t="s">
        <v>94</v>
      </c>
      <c r="L162" s="36" t="s">
        <v>2099</v>
      </c>
      <c r="M162" s="36">
        <v>3006</v>
      </c>
      <c r="N162" s="36" t="s">
        <v>2161</v>
      </c>
      <c r="O162" s="36" t="s">
        <v>2095</v>
      </c>
      <c r="P162" s="36" t="s">
        <v>2162</v>
      </c>
      <c r="Q162" s="36" t="s">
        <v>2163</v>
      </c>
      <c r="R162" s="36" t="s">
        <v>164</v>
      </c>
      <c r="S162" s="42" t="s">
        <v>5070</v>
      </c>
      <c r="T162" s="43">
        <v>3066</v>
      </c>
      <c r="U162" s="44" t="s">
        <v>2148</v>
      </c>
      <c r="V162" s="43" t="s">
        <v>130</v>
      </c>
      <c r="W162" s="43" t="s">
        <v>130</v>
      </c>
      <c r="X162" s="43" t="s">
        <v>130</v>
      </c>
      <c r="Y162" s="43" t="s">
        <v>130</v>
      </c>
      <c r="Z162" s="43" t="s">
        <v>130</v>
      </c>
      <c r="AA162" s="43" t="s">
        <v>130</v>
      </c>
      <c r="AB162" s="43" t="s">
        <v>130</v>
      </c>
      <c r="AC162" s="43"/>
      <c r="AD162" s="43"/>
      <c r="AE162" s="43"/>
      <c r="AF162" s="43"/>
      <c r="AG162" s="45"/>
      <c r="AH162" s="1"/>
      <c r="AI162" s="1"/>
      <c r="AJ162" s="1"/>
    </row>
    <row r="163" spans="1:36">
      <c r="A163" s="36" t="s">
        <v>2094</v>
      </c>
      <c r="B163" s="36" t="s">
        <v>2095</v>
      </c>
      <c r="C163" s="36" t="s">
        <v>2166</v>
      </c>
      <c r="D163" s="36" t="s">
        <v>2167</v>
      </c>
      <c r="E163" s="38" t="s">
        <v>2166</v>
      </c>
      <c r="F163" s="36"/>
      <c r="G163" s="36" t="s">
        <v>2151</v>
      </c>
      <c r="H163" s="36" t="s">
        <v>2152</v>
      </c>
      <c r="I163" s="40" t="s">
        <v>130</v>
      </c>
      <c r="J163" s="36" t="s">
        <v>94</v>
      </c>
      <c r="K163" s="36" t="s">
        <v>94</v>
      </c>
      <c r="L163" s="36" t="s">
        <v>2099</v>
      </c>
      <c r="M163" s="36">
        <v>5001</v>
      </c>
      <c r="N163" s="36" t="s">
        <v>2168</v>
      </c>
      <c r="O163" s="36" t="s">
        <v>2095</v>
      </c>
      <c r="P163" s="36" t="s">
        <v>2169</v>
      </c>
      <c r="Q163" s="36" t="s">
        <v>2170</v>
      </c>
      <c r="R163" s="36" t="s">
        <v>164</v>
      </c>
      <c r="S163" s="42" t="s">
        <v>5081</v>
      </c>
      <c r="T163" s="43">
        <v>5011</v>
      </c>
      <c r="U163" s="44" t="s">
        <v>2171</v>
      </c>
      <c r="V163" s="43" t="s">
        <v>130</v>
      </c>
      <c r="W163" s="43" t="s">
        <v>130</v>
      </c>
      <c r="X163" s="43" t="s">
        <v>130</v>
      </c>
      <c r="Y163" s="43" t="s">
        <v>130</v>
      </c>
      <c r="Z163" s="43" t="s">
        <v>130</v>
      </c>
      <c r="AA163" s="43" t="s">
        <v>130</v>
      </c>
      <c r="AB163" s="43" t="s">
        <v>130</v>
      </c>
      <c r="AC163" s="43"/>
      <c r="AD163" s="43"/>
      <c r="AE163" s="43"/>
      <c r="AF163" s="43"/>
      <c r="AG163" s="45"/>
      <c r="AH163" s="1"/>
      <c r="AI163" s="1"/>
      <c r="AJ163" s="1"/>
    </row>
    <row r="164" spans="1:36">
      <c r="A164" s="36" t="s">
        <v>2094</v>
      </c>
      <c r="B164" s="36" t="s">
        <v>2095</v>
      </c>
      <c r="C164" s="36" t="s">
        <v>2172</v>
      </c>
      <c r="D164" s="36" t="s">
        <v>2173</v>
      </c>
      <c r="E164" s="38" t="s">
        <v>2172</v>
      </c>
      <c r="F164" s="36"/>
      <c r="G164" s="36" t="s">
        <v>2151</v>
      </c>
      <c r="H164" s="36" t="s">
        <v>2152</v>
      </c>
      <c r="I164" s="40" t="s">
        <v>130</v>
      </c>
      <c r="J164" s="36" t="s">
        <v>94</v>
      </c>
      <c r="K164" s="36" t="s">
        <v>94</v>
      </c>
      <c r="L164" s="36" t="s">
        <v>2099</v>
      </c>
      <c r="M164" s="36">
        <v>5002</v>
      </c>
      <c r="N164" s="36" t="s">
        <v>2176</v>
      </c>
      <c r="O164" s="36" t="s">
        <v>2095</v>
      </c>
      <c r="P164" s="36" t="s">
        <v>2177</v>
      </c>
      <c r="Q164" s="36" t="s">
        <v>2178</v>
      </c>
      <c r="R164" s="36" t="s">
        <v>164</v>
      </c>
      <c r="S164" s="42" t="s">
        <v>5082</v>
      </c>
      <c r="T164" s="43">
        <v>5012</v>
      </c>
      <c r="U164" s="44" t="s">
        <v>2171</v>
      </c>
      <c r="V164" s="43" t="s">
        <v>130</v>
      </c>
      <c r="W164" s="43" t="s">
        <v>130</v>
      </c>
      <c r="X164" s="43" t="s">
        <v>130</v>
      </c>
      <c r="Y164" s="43" t="s">
        <v>130</v>
      </c>
      <c r="Z164" s="43" t="s">
        <v>130</v>
      </c>
      <c r="AA164" s="43" t="s">
        <v>130</v>
      </c>
      <c r="AB164" s="43" t="s">
        <v>130</v>
      </c>
      <c r="AC164" s="43"/>
      <c r="AD164" s="43"/>
      <c r="AE164" s="43"/>
      <c r="AF164" s="43"/>
      <c r="AG164" s="45"/>
      <c r="AH164" s="1"/>
      <c r="AI164" s="1"/>
      <c r="AJ164" s="1"/>
    </row>
    <row r="165" spans="1:36">
      <c r="A165" s="36" t="s">
        <v>2094</v>
      </c>
      <c r="B165" s="36" t="s">
        <v>2095</v>
      </c>
      <c r="C165" s="36" t="s">
        <v>2179</v>
      </c>
      <c r="D165" s="36" t="s">
        <v>2180</v>
      </c>
      <c r="E165" s="38" t="s">
        <v>2179</v>
      </c>
      <c r="F165" s="36"/>
      <c r="G165" s="36" t="s">
        <v>2151</v>
      </c>
      <c r="H165" s="36" t="s">
        <v>2152</v>
      </c>
      <c r="I165" s="40" t="s">
        <v>130</v>
      </c>
      <c r="J165" s="36" t="s">
        <v>94</v>
      </c>
      <c r="K165" s="36" t="s">
        <v>94</v>
      </c>
      <c r="L165" s="36" t="s">
        <v>2099</v>
      </c>
      <c r="M165" s="36">
        <v>1007</v>
      </c>
      <c r="N165" s="36" t="s">
        <v>2181</v>
      </c>
      <c r="O165" s="36" t="s">
        <v>2095</v>
      </c>
      <c r="P165" s="36" t="s">
        <v>2183</v>
      </c>
      <c r="Q165" s="36" t="s">
        <v>2184</v>
      </c>
      <c r="R165" s="36" t="s">
        <v>164</v>
      </c>
      <c r="S165" s="42" t="s">
        <v>5083</v>
      </c>
      <c r="T165" s="43">
        <v>1077</v>
      </c>
      <c r="U165" s="44" t="s">
        <v>2106</v>
      </c>
      <c r="V165" s="43" t="s">
        <v>130</v>
      </c>
      <c r="W165" s="43" t="s">
        <v>130</v>
      </c>
      <c r="X165" s="43" t="s">
        <v>130</v>
      </c>
      <c r="Y165" s="43" t="s">
        <v>130</v>
      </c>
      <c r="Z165" s="43" t="s">
        <v>130</v>
      </c>
      <c r="AA165" s="43" t="s">
        <v>130</v>
      </c>
      <c r="AB165" s="43" t="s">
        <v>130</v>
      </c>
      <c r="AC165" s="43"/>
      <c r="AD165" s="43"/>
      <c r="AE165" s="43"/>
      <c r="AF165" s="43"/>
      <c r="AG165" s="45"/>
      <c r="AH165" s="1"/>
      <c r="AI165" s="1"/>
      <c r="AJ165" s="1"/>
    </row>
    <row r="166" spans="1:36">
      <c r="A166" s="36" t="s">
        <v>2186</v>
      </c>
      <c r="B166" s="36" t="s">
        <v>2187</v>
      </c>
      <c r="C166" s="36" t="s">
        <v>2188</v>
      </c>
      <c r="D166" s="61" t="s">
        <v>2189</v>
      </c>
      <c r="E166" s="38" t="s">
        <v>2188</v>
      </c>
      <c r="F166" s="36"/>
      <c r="G166" s="36" t="s">
        <v>2190</v>
      </c>
      <c r="H166" s="36" t="s">
        <v>2191</v>
      </c>
      <c r="I166" s="40"/>
      <c r="J166" s="36" t="s">
        <v>159</v>
      </c>
      <c r="K166" s="36" t="s">
        <v>94</v>
      </c>
      <c r="L166" s="36" t="s">
        <v>2099</v>
      </c>
      <c r="M166" s="36" t="s">
        <v>2192</v>
      </c>
      <c r="N166" s="36" t="s">
        <v>2193</v>
      </c>
      <c r="O166" s="36" t="s">
        <v>2187</v>
      </c>
      <c r="P166" s="36" t="s">
        <v>2192</v>
      </c>
      <c r="Q166" s="36" t="s">
        <v>2194</v>
      </c>
      <c r="R166" s="36" t="s">
        <v>2195</v>
      </c>
      <c r="S166" s="42" t="s">
        <v>5077</v>
      </c>
      <c r="T166" s="43" t="s">
        <v>2196</v>
      </c>
      <c r="U166" s="44" t="s">
        <v>2197</v>
      </c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5"/>
      <c r="AH166" s="1"/>
      <c r="AI166" s="1"/>
      <c r="AJ166" s="1"/>
    </row>
    <row r="167" spans="1:36">
      <c r="A167" s="36" t="s">
        <v>2186</v>
      </c>
      <c r="B167" s="36" t="s">
        <v>2187</v>
      </c>
      <c r="C167" s="36" t="s">
        <v>2198</v>
      </c>
      <c r="D167" s="57" t="s">
        <v>2199</v>
      </c>
      <c r="E167" s="38" t="s">
        <v>2198</v>
      </c>
      <c r="F167" s="36"/>
      <c r="G167" s="36" t="s">
        <v>2190</v>
      </c>
      <c r="H167" s="36" t="s">
        <v>2191</v>
      </c>
      <c r="I167" s="40" t="s">
        <v>130</v>
      </c>
      <c r="J167" s="36" t="s">
        <v>94</v>
      </c>
      <c r="K167" s="36" t="s">
        <v>94</v>
      </c>
      <c r="L167" s="36" t="s">
        <v>2099</v>
      </c>
      <c r="M167" s="36" t="s">
        <v>2200</v>
      </c>
      <c r="N167" s="36" t="s">
        <v>2202</v>
      </c>
      <c r="O167" s="36" t="s">
        <v>2187</v>
      </c>
      <c r="P167" s="36" t="s">
        <v>2200</v>
      </c>
      <c r="Q167" s="36" t="s">
        <v>2203</v>
      </c>
      <c r="R167" s="36" t="s">
        <v>164</v>
      </c>
      <c r="S167" s="42" t="s">
        <v>5085</v>
      </c>
      <c r="T167" s="43" t="s">
        <v>2205</v>
      </c>
      <c r="U167" s="44" t="s">
        <v>2206</v>
      </c>
      <c r="V167" s="43"/>
      <c r="W167" s="43"/>
      <c r="X167" s="43"/>
      <c r="Y167" s="43"/>
      <c r="Z167" s="43"/>
      <c r="AA167" s="43" t="s">
        <v>130</v>
      </c>
      <c r="AB167" s="43" t="s">
        <v>130</v>
      </c>
      <c r="AC167" s="43"/>
      <c r="AD167" s="43"/>
      <c r="AE167" s="43"/>
      <c r="AF167" s="43"/>
      <c r="AG167" s="45"/>
      <c r="AH167" s="1"/>
      <c r="AI167" s="1"/>
      <c r="AJ167" s="1"/>
    </row>
    <row r="168" spans="1:36">
      <c r="A168" s="36" t="s">
        <v>2186</v>
      </c>
      <c r="B168" s="36" t="s">
        <v>2187</v>
      </c>
      <c r="C168" s="36" t="s">
        <v>2208</v>
      </c>
      <c r="D168" s="36" t="s">
        <v>2209</v>
      </c>
      <c r="E168" s="38" t="s">
        <v>2208</v>
      </c>
      <c r="F168" s="36"/>
      <c r="G168" s="36" t="s">
        <v>2190</v>
      </c>
      <c r="H168" s="36" t="s">
        <v>2191</v>
      </c>
      <c r="I168" s="40" t="s">
        <v>130</v>
      </c>
      <c r="J168" s="36" t="s">
        <v>94</v>
      </c>
      <c r="K168" s="36" t="s">
        <v>94</v>
      </c>
      <c r="L168" s="36" t="s">
        <v>2099</v>
      </c>
      <c r="M168" s="36" t="s">
        <v>2210</v>
      </c>
      <c r="N168" s="36" t="s">
        <v>2211</v>
      </c>
      <c r="O168" s="36" t="s">
        <v>2187</v>
      </c>
      <c r="P168" s="36" t="s">
        <v>2210</v>
      </c>
      <c r="Q168" s="36" t="s">
        <v>2212</v>
      </c>
      <c r="R168" s="36" t="s">
        <v>164</v>
      </c>
      <c r="S168" s="42" t="s">
        <v>5078</v>
      </c>
      <c r="T168" s="43" t="s">
        <v>2213</v>
      </c>
      <c r="U168" s="44" t="s">
        <v>2206</v>
      </c>
      <c r="V168" s="43"/>
      <c r="W168" s="43"/>
      <c r="X168" s="43"/>
      <c r="Y168" s="43"/>
      <c r="Z168" s="43" t="s">
        <v>130</v>
      </c>
      <c r="AA168" s="43" t="s">
        <v>130</v>
      </c>
      <c r="AB168" s="43" t="s">
        <v>130</v>
      </c>
      <c r="AC168" s="43"/>
      <c r="AD168" s="43"/>
      <c r="AE168" s="43"/>
      <c r="AF168" s="43"/>
      <c r="AG168" s="45"/>
      <c r="AH168" s="1"/>
      <c r="AI168" s="1"/>
      <c r="AJ168" s="1"/>
    </row>
    <row r="169" spans="1:36">
      <c r="A169" s="36" t="s">
        <v>2186</v>
      </c>
      <c r="B169" s="36" t="s">
        <v>2187</v>
      </c>
      <c r="C169" s="36" t="s">
        <v>2214</v>
      </c>
      <c r="D169" s="36" t="s">
        <v>2215</v>
      </c>
      <c r="E169" s="38" t="s">
        <v>2216</v>
      </c>
      <c r="F169" s="36"/>
      <c r="G169" s="36" t="s">
        <v>2190</v>
      </c>
      <c r="H169" s="36" t="s">
        <v>2191</v>
      </c>
      <c r="I169" s="40"/>
      <c r="J169" s="36" t="s">
        <v>159</v>
      </c>
      <c r="K169" s="36" t="s">
        <v>94</v>
      </c>
      <c r="L169" s="36" t="s">
        <v>2099</v>
      </c>
      <c r="M169" s="36" t="s">
        <v>2217</v>
      </c>
      <c r="N169" s="36" t="s">
        <v>2218</v>
      </c>
      <c r="O169" s="36" t="s">
        <v>2187</v>
      </c>
      <c r="P169" s="36" t="s">
        <v>2217</v>
      </c>
      <c r="Q169" s="36" t="s">
        <v>2219</v>
      </c>
      <c r="R169" s="36" t="s">
        <v>2220</v>
      </c>
      <c r="S169" s="42" t="s">
        <v>5106</v>
      </c>
      <c r="T169" s="43" t="s">
        <v>2221</v>
      </c>
      <c r="U169" s="44" t="s">
        <v>2222</v>
      </c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5"/>
      <c r="AH169" s="1"/>
      <c r="AI169" s="1"/>
      <c r="AJ169" s="1"/>
    </row>
    <row r="170" spans="1:36">
      <c r="A170" s="36" t="s">
        <v>2186</v>
      </c>
      <c r="B170" s="36" t="s">
        <v>2187</v>
      </c>
      <c r="C170" s="36" t="s">
        <v>2223</v>
      </c>
      <c r="D170" s="36" t="s">
        <v>2224</v>
      </c>
      <c r="E170" s="38" t="s">
        <v>2223</v>
      </c>
      <c r="F170" s="36"/>
      <c r="G170" s="36" t="s">
        <v>2225</v>
      </c>
      <c r="H170" s="36" t="s">
        <v>2226</v>
      </c>
      <c r="I170" s="40"/>
      <c r="J170" s="36" t="s">
        <v>159</v>
      </c>
      <c r="K170" s="36" t="s">
        <v>94</v>
      </c>
      <c r="L170" s="36" t="s">
        <v>2099</v>
      </c>
      <c r="M170" s="36" t="s">
        <v>2227</v>
      </c>
      <c r="N170" s="36" t="s">
        <v>2228</v>
      </c>
      <c r="O170" s="36" t="s">
        <v>2187</v>
      </c>
      <c r="P170" s="36" t="s">
        <v>2227</v>
      </c>
      <c r="Q170" s="36" t="s">
        <v>2229</v>
      </c>
      <c r="R170" s="36" t="s">
        <v>2230</v>
      </c>
      <c r="S170" s="42" t="s">
        <v>5076</v>
      </c>
      <c r="T170" s="43" t="s">
        <v>2231</v>
      </c>
      <c r="U170" s="44" t="s">
        <v>2232</v>
      </c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5"/>
      <c r="AH170" s="1"/>
      <c r="AI170" s="1"/>
      <c r="AJ170" s="1"/>
    </row>
    <row r="171" spans="1:36">
      <c r="A171" s="36" t="s">
        <v>2186</v>
      </c>
      <c r="B171" s="36" t="s">
        <v>2187</v>
      </c>
      <c r="C171" s="36" t="s">
        <v>2233</v>
      </c>
      <c r="D171" s="36" t="s">
        <v>2234</v>
      </c>
      <c r="E171" s="38" t="s">
        <v>2233</v>
      </c>
      <c r="F171" s="36"/>
      <c r="G171" s="36" t="s">
        <v>2225</v>
      </c>
      <c r="H171" s="36" t="s">
        <v>2226</v>
      </c>
      <c r="I171" s="40"/>
      <c r="J171" s="36" t="s">
        <v>230</v>
      </c>
      <c r="K171" s="36" t="s">
        <v>94</v>
      </c>
      <c r="L171" s="36" t="s">
        <v>2099</v>
      </c>
      <c r="M171" s="36" t="s">
        <v>2235</v>
      </c>
      <c r="N171" s="36" t="s">
        <v>2236</v>
      </c>
      <c r="O171" s="36" t="s">
        <v>2187</v>
      </c>
      <c r="P171" s="36" t="s">
        <v>2235</v>
      </c>
      <c r="Q171" s="36" t="s">
        <v>2237</v>
      </c>
      <c r="R171" s="36" t="s">
        <v>2238</v>
      </c>
      <c r="S171" s="42" t="s">
        <v>5105</v>
      </c>
      <c r="T171" s="43" t="s">
        <v>2240</v>
      </c>
      <c r="U171" s="44" t="s">
        <v>2241</v>
      </c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5"/>
      <c r="AH171" s="1"/>
      <c r="AI171" s="1"/>
      <c r="AJ171" s="1"/>
    </row>
    <row r="172" spans="1:36">
      <c r="A172" s="36" t="s">
        <v>2186</v>
      </c>
      <c r="B172" s="36" t="s">
        <v>2187</v>
      </c>
      <c r="C172" s="36" t="s">
        <v>2242</v>
      </c>
      <c r="D172" s="57" t="s">
        <v>2243</v>
      </c>
      <c r="E172" s="38" t="s">
        <v>2244</v>
      </c>
      <c r="F172" s="36"/>
      <c r="G172" s="36" t="s">
        <v>2225</v>
      </c>
      <c r="H172" s="36" t="s">
        <v>2226</v>
      </c>
      <c r="I172" s="40"/>
      <c r="J172" s="36" t="s">
        <v>94</v>
      </c>
      <c r="K172" s="36" t="s">
        <v>94</v>
      </c>
      <c r="L172" s="36" t="s">
        <v>2099</v>
      </c>
      <c r="M172" s="36" t="s">
        <v>2245</v>
      </c>
      <c r="N172" s="36" t="s">
        <v>2246</v>
      </c>
      <c r="O172" s="36" t="s">
        <v>2187</v>
      </c>
      <c r="P172" s="36" t="s">
        <v>2245</v>
      </c>
      <c r="Q172" s="36" t="s">
        <v>2247</v>
      </c>
      <c r="R172" s="36" t="s">
        <v>2248</v>
      </c>
      <c r="S172" s="42" t="s">
        <v>5072</v>
      </c>
      <c r="T172" s="43" t="s">
        <v>2250</v>
      </c>
      <c r="U172" s="44" t="s">
        <v>2232</v>
      </c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5"/>
      <c r="AH172" s="1"/>
      <c r="AI172" s="1"/>
      <c r="AJ172" s="1"/>
    </row>
    <row r="173" spans="1:36">
      <c r="A173" s="36" t="s">
        <v>2186</v>
      </c>
      <c r="B173" s="36" t="s">
        <v>2187</v>
      </c>
      <c r="C173" s="36" t="s">
        <v>2251</v>
      </c>
      <c r="D173" s="36" t="s">
        <v>2252</v>
      </c>
      <c r="E173" s="38" t="s">
        <v>2251</v>
      </c>
      <c r="F173" s="36"/>
      <c r="G173" s="36" t="s">
        <v>2225</v>
      </c>
      <c r="H173" s="36" t="s">
        <v>2226</v>
      </c>
      <c r="I173" s="40" t="s">
        <v>130</v>
      </c>
      <c r="J173" s="36" t="s">
        <v>94</v>
      </c>
      <c r="K173" s="36" t="s">
        <v>94</v>
      </c>
      <c r="L173" s="36" t="s">
        <v>2099</v>
      </c>
      <c r="M173" s="36" t="s">
        <v>2253</v>
      </c>
      <c r="N173" s="36" t="s">
        <v>2254</v>
      </c>
      <c r="O173" s="36" t="s">
        <v>2187</v>
      </c>
      <c r="P173" s="36" t="s">
        <v>2253</v>
      </c>
      <c r="Q173" s="36" t="s">
        <v>2255</v>
      </c>
      <c r="R173" s="36" t="s">
        <v>164</v>
      </c>
      <c r="S173" s="42" t="s">
        <v>5071</v>
      </c>
      <c r="T173" s="43" t="s">
        <v>2256</v>
      </c>
      <c r="U173" s="44" t="s">
        <v>2222</v>
      </c>
      <c r="V173" s="43" t="s">
        <v>130</v>
      </c>
      <c r="W173" s="43" t="s">
        <v>130</v>
      </c>
      <c r="X173" s="43" t="s">
        <v>130</v>
      </c>
      <c r="Y173" s="43" t="s">
        <v>130</v>
      </c>
      <c r="Z173" s="43" t="s">
        <v>130</v>
      </c>
      <c r="AA173" s="43" t="s">
        <v>130</v>
      </c>
      <c r="AB173" s="43" t="s">
        <v>130</v>
      </c>
      <c r="AC173" s="43"/>
      <c r="AD173" s="43"/>
      <c r="AE173" s="43"/>
      <c r="AF173" s="43"/>
      <c r="AG173" s="45"/>
      <c r="AH173" s="1"/>
      <c r="AI173" s="1"/>
      <c r="AJ173" s="1"/>
    </row>
    <row r="174" spans="1:36">
      <c r="A174" s="36" t="s">
        <v>2186</v>
      </c>
      <c r="B174" s="36" t="s">
        <v>2187</v>
      </c>
      <c r="C174" s="36" t="s">
        <v>2257</v>
      </c>
      <c r="D174" s="36" t="s">
        <v>2258</v>
      </c>
      <c r="E174" s="38" t="s">
        <v>2257</v>
      </c>
      <c r="F174" s="36"/>
      <c r="G174" s="36" t="s">
        <v>2225</v>
      </c>
      <c r="H174" s="36" t="s">
        <v>2226</v>
      </c>
      <c r="I174" s="40" t="s">
        <v>130</v>
      </c>
      <c r="J174" s="36" t="s">
        <v>94</v>
      </c>
      <c r="K174" s="36" t="s">
        <v>94</v>
      </c>
      <c r="L174" s="36" t="s">
        <v>2099</v>
      </c>
      <c r="M174" s="36" t="s">
        <v>2259</v>
      </c>
      <c r="N174" s="36" t="s">
        <v>2260</v>
      </c>
      <c r="O174" s="36" t="s">
        <v>2187</v>
      </c>
      <c r="P174" s="36" t="s">
        <v>2259</v>
      </c>
      <c r="Q174" s="36" t="s">
        <v>2262</v>
      </c>
      <c r="R174" s="36" t="s">
        <v>164</v>
      </c>
      <c r="S174" s="42" t="s">
        <v>5083</v>
      </c>
      <c r="T174" s="43" t="s">
        <v>2263</v>
      </c>
      <c r="U174" s="44" t="s">
        <v>2222</v>
      </c>
      <c r="V174" s="43"/>
      <c r="W174" s="43"/>
      <c r="X174" s="43" t="s">
        <v>130</v>
      </c>
      <c r="Y174" s="43" t="s">
        <v>130</v>
      </c>
      <c r="Z174" s="43" t="s">
        <v>130</v>
      </c>
      <c r="AA174" s="43" t="s">
        <v>130</v>
      </c>
      <c r="AB174" s="43" t="s">
        <v>130</v>
      </c>
      <c r="AC174" s="43"/>
      <c r="AD174" s="43"/>
      <c r="AE174" s="43"/>
      <c r="AF174" s="43"/>
      <c r="AG174" s="45"/>
      <c r="AH174" s="1"/>
      <c r="AI174" s="1"/>
      <c r="AJ174" s="1"/>
    </row>
    <row r="175" spans="1:36">
      <c r="A175" s="36" t="s">
        <v>2186</v>
      </c>
      <c r="B175" s="36" t="s">
        <v>2187</v>
      </c>
      <c r="C175" s="36" t="s">
        <v>2264</v>
      </c>
      <c r="D175" s="57" t="s">
        <v>2265</v>
      </c>
      <c r="E175" s="38" t="s">
        <v>2264</v>
      </c>
      <c r="F175" s="36"/>
      <c r="G175" s="36" t="s">
        <v>2266</v>
      </c>
      <c r="H175" s="36" t="s">
        <v>2267</v>
      </c>
      <c r="I175" s="40" t="s">
        <v>130</v>
      </c>
      <c r="J175" s="36" t="s">
        <v>94</v>
      </c>
      <c r="K175" s="36" t="s">
        <v>94</v>
      </c>
      <c r="L175" s="36" t="s">
        <v>2099</v>
      </c>
      <c r="M175" s="36" t="s">
        <v>2268</v>
      </c>
      <c r="N175" s="36" t="s">
        <v>2269</v>
      </c>
      <c r="O175" s="36" t="s">
        <v>2187</v>
      </c>
      <c r="P175" s="36" t="s">
        <v>2268</v>
      </c>
      <c r="Q175" s="36" t="s">
        <v>2270</v>
      </c>
      <c r="R175" s="36" t="s">
        <v>164</v>
      </c>
      <c r="S175" s="42" t="s">
        <v>5068</v>
      </c>
      <c r="T175" s="43" t="s">
        <v>2271</v>
      </c>
      <c r="U175" s="44" t="s">
        <v>2273</v>
      </c>
      <c r="V175" s="43"/>
      <c r="W175" s="43"/>
      <c r="X175" s="43"/>
      <c r="Y175" s="43"/>
      <c r="Z175" s="43"/>
      <c r="AA175" s="43" t="s">
        <v>130</v>
      </c>
      <c r="AB175" s="43" t="s">
        <v>130</v>
      </c>
      <c r="AC175" s="43"/>
      <c r="AD175" s="43"/>
      <c r="AE175" s="43"/>
      <c r="AF175" s="43"/>
      <c r="AG175" s="45"/>
      <c r="AH175" s="1"/>
      <c r="AI175" s="1"/>
      <c r="AJ175" s="1"/>
    </row>
    <row r="176" spans="1:36">
      <c r="A176" s="36" t="s">
        <v>2186</v>
      </c>
      <c r="B176" s="36" t="s">
        <v>2187</v>
      </c>
      <c r="C176" s="36" t="s">
        <v>2274</v>
      </c>
      <c r="D176" s="57" t="s">
        <v>2275</v>
      </c>
      <c r="E176" s="38" t="s">
        <v>2274</v>
      </c>
      <c r="F176" s="36"/>
      <c r="G176" s="36" t="s">
        <v>2266</v>
      </c>
      <c r="H176" s="36" t="s">
        <v>2267</v>
      </c>
      <c r="I176" s="40"/>
      <c r="J176" s="36" t="s">
        <v>159</v>
      </c>
      <c r="K176" s="36" t="s">
        <v>94</v>
      </c>
      <c r="L176" s="36" t="s">
        <v>2099</v>
      </c>
      <c r="M176" s="36" t="s">
        <v>2276</v>
      </c>
      <c r="N176" s="36" t="s">
        <v>2277</v>
      </c>
      <c r="O176" s="36" t="s">
        <v>2187</v>
      </c>
      <c r="P176" s="36" t="s">
        <v>2276</v>
      </c>
      <c r="Q176" s="36" t="s">
        <v>2278</v>
      </c>
      <c r="R176" s="36" t="s">
        <v>2083</v>
      </c>
      <c r="S176" s="42" t="s">
        <v>5132</v>
      </c>
      <c r="T176" s="43" t="s">
        <v>2279</v>
      </c>
      <c r="U176" s="44" t="s">
        <v>2280</v>
      </c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5"/>
      <c r="AH176" s="1"/>
      <c r="AI176" s="1"/>
      <c r="AJ176" s="1"/>
    </row>
    <row r="177" spans="1:36">
      <c r="A177" s="36" t="s">
        <v>2186</v>
      </c>
      <c r="B177" s="36" t="s">
        <v>2187</v>
      </c>
      <c r="C177" s="36" t="s">
        <v>2283</v>
      </c>
      <c r="D177" s="36" t="s">
        <v>2284</v>
      </c>
      <c r="E177" s="38" t="s">
        <v>2283</v>
      </c>
      <c r="F177" s="36"/>
      <c r="G177" s="36" t="s">
        <v>2266</v>
      </c>
      <c r="H177" s="36" t="s">
        <v>2267</v>
      </c>
      <c r="I177" s="40" t="s">
        <v>130</v>
      </c>
      <c r="J177" s="36" t="s">
        <v>94</v>
      </c>
      <c r="K177" s="36" t="s">
        <v>94</v>
      </c>
      <c r="L177" s="36" t="s">
        <v>2099</v>
      </c>
      <c r="M177" s="36" t="s">
        <v>2285</v>
      </c>
      <c r="N177" s="36" t="s">
        <v>2286</v>
      </c>
      <c r="O177" s="36" t="s">
        <v>2187</v>
      </c>
      <c r="P177" s="36" t="s">
        <v>2287</v>
      </c>
      <c r="Q177" s="36" t="s">
        <v>2288</v>
      </c>
      <c r="R177" s="36" t="s">
        <v>164</v>
      </c>
      <c r="S177" s="42" t="s">
        <v>5079</v>
      </c>
      <c r="T177" s="43" t="s">
        <v>2289</v>
      </c>
      <c r="U177" s="44" t="s">
        <v>2273</v>
      </c>
      <c r="V177" s="43" t="s">
        <v>130</v>
      </c>
      <c r="W177" s="43" t="s">
        <v>130</v>
      </c>
      <c r="X177" s="43" t="s">
        <v>130</v>
      </c>
      <c r="Y177" s="43" t="s">
        <v>130</v>
      </c>
      <c r="Z177" s="43" t="s">
        <v>130</v>
      </c>
      <c r="AA177" s="43" t="s">
        <v>130</v>
      </c>
      <c r="AB177" s="43" t="s">
        <v>130</v>
      </c>
      <c r="AC177" s="43"/>
      <c r="AD177" s="43"/>
      <c r="AE177" s="43"/>
      <c r="AF177" s="43"/>
      <c r="AG177" s="45"/>
      <c r="AH177" s="1"/>
      <c r="AI177" s="1"/>
      <c r="AJ177" s="1"/>
    </row>
    <row r="178" spans="1:36">
      <c r="A178" s="36" t="s">
        <v>2186</v>
      </c>
      <c r="B178" s="36" t="s">
        <v>2187</v>
      </c>
      <c r="C178" s="36" t="s">
        <v>2290</v>
      </c>
      <c r="D178" s="36" t="s">
        <v>2292</v>
      </c>
      <c r="E178" s="38" t="s">
        <v>2290</v>
      </c>
      <c r="F178" s="36"/>
      <c r="G178" s="36" t="s">
        <v>2266</v>
      </c>
      <c r="H178" s="36" t="s">
        <v>2267</v>
      </c>
      <c r="I178" s="40"/>
      <c r="J178" s="36" t="s">
        <v>94</v>
      </c>
      <c r="K178" s="36" t="s">
        <v>94</v>
      </c>
      <c r="L178" s="36" t="s">
        <v>2099</v>
      </c>
      <c r="M178" s="36" t="s">
        <v>2294</v>
      </c>
      <c r="N178" s="36" t="s">
        <v>2295</v>
      </c>
      <c r="O178" s="36" t="s">
        <v>2187</v>
      </c>
      <c r="P178" s="36" t="s">
        <v>2294</v>
      </c>
      <c r="Q178" s="36" t="s">
        <v>2296</v>
      </c>
      <c r="R178" s="36" t="s">
        <v>1847</v>
      </c>
      <c r="S178" s="42" t="s">
        <v>5074</v>
      </c>
      <c r="T178" s="43" t="s">
        <v>2297</v>
      </c>
      <c r="U178" s="44" t="s">
        <v>2298</v>
      </c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5"/>
      <c r="AH178" s="1"/>
      <c r="AI178" s="1"/>
      <c r="AJ178" s="1"/>
    </row>
    <row r="179" spans="1:36">
      <c r="A179" s="36" t="s">
        <v>2186</v>
      </c>
      <c r="B179" s="36" t="s">
        <v>2187</v>
      </c>
      <c r="C179" s="36" t="s">
        <v>2299</v>
      </c>
      <c r="D179" s="36" t="s">
        <v>2300</v>
      </c>
      <c r="E179" s="38" t="s">
        <v>2299</v>
      </c>
      <c r="F179" s="36"/>
      <c r="G179" s="36" t="s">
        <v>2266</v>
      </c>
      <c r="H179" s="36" t="s">
        <v>2267</v>
      </c>
      <c r="I179" s="40"/>
      <c r="J179" s="36" t="s">
        <v>94</v>
      </c>
      <c r="K179" s="36" t="s">
        <v>94</v>
      </c>
      <c r="L179" s="36" t="s">
        <v>2099</v>
      </c>
      <c r="M179" s="36" t="s">
        <v>2302</v>
      </c>
      <c r="N179" s="36" t="s">
        <v>2303</v>
      </c>
      <c r="O179" s="36" t="s">
        <v>2187</v>
      </c>
      <c r="P179" s="36" t="s">
        <v>2302</v>
      </c>
      <c r="Q179" s="36" t="s">
        <v>2304</v>
      </c>
      <c r="R179" s="36" t="s">
        <v>2305</v>
      </c>
      <c r="S179" s="42" t="s">
        <v>5080</v>
      </c>
      <c r="T179" s="43" t="s">
        <v>2306</v>
      </c>
      <c r="U179" s="44" t="s">
        <v>2307</v>
      </c>
      <c r="V179" s="43"/>
      <c r="W179" s="43"/>
      <c r="X179" s="43"/>
      <c r="Y179" s="43"/>
      <c r="Z179" s="43"/>
      <c r="AA179" s="43"/>
      <c r="AB179" s="43" t="s">
        <v>130</v>
      </c>
      <c r="AC179" s="43"/>
      <c r="AD179" s="43"/>
      <c r="AE179" s="43"/>
      <c r="AF179" s="43"/>
      <c r="AG179" s="45"/>
      <c r="AH179" s="1"/>
      <c r="AI179" s="1"/>
      <c r="AJ179" s="1"/>
    </row>
    <row r="180" spans="1:36">
      <c r="A180" s="36" t="s">
        <v>2186</v>
      </c>
      <c r="B180" s="36" t="s">
        <v>2308</v>
      </c>
      <c r="C180" s="36" t="s">
        <v>2309</v>
      </c>
      <c r="D180" s="61" t="s">
        <v>2310</v>
      </c>
      <c r="E180" s="38" t="s">
        <v>2309</v>
      </c>
      <c r="F180" s="36"/>
      <c r="G180" s="36" t="s">
        <v>435</v>
      </c>
      <c r="H180" s="36" t="s">
        <v>2311</v>
      </c>
      <c r="I180" s="40" t="s">
        <v>130</v>
      </c>
      <c r="J180" s="36" t="s">
        <v>94</v>
      </c>
      <c r="K180" s="36" t="s">
        <v>94</v>
      </c>
      <c r="L180" s="36" t="s">
        <v>2099</v>
      </c>
      <c r="M180" s="36" t="s">
        <v>2312</v>
      </c>
      <c r="N180" s="36" t="s">
        <v>2313</v>
      </c>
      <c r="O180" s="36" t="s">
        <v>2308</v>
      </c>
      <c r="P180" s="36" t="s">
        <v>2312</v>
      </c>
      <c r="Q180" s="36" t="s">
        <v>2314</v>
      </c>
      <c r="R180" s="36" t="s">
        <v>164</v>
      </c>
      <c r="S180" s="42" t="s">
        <v>5068</v>
      </c>
      <c r="T180" s="43" t="s">
        <v>2316</v>
      </c>
      <c r="U180" s="44" t="s">
        <v>2317</v>
      </c>
      <c r="V180" s="43"/>
      <c r="W180" s="43"/>
      <c r="X180" s="43" t="s">
        <v>130</v>
      </c>
      <c r="Y180" s="43" t="s">
        <v>130</v>
      </c>
      <c r="Z180" s="43" t="s">
        <v>130</v>
      </c>
      <c r="AA180" s="43" t="s">
        <v>130</v>
      </c>
      <c r="AB180" s="43" t="s">
        <v>130</v>
      </c>
      <c r="AC180" s="43"/>
      <c r="AD180" s="43"/>
      <c r="AE180" s="43"/>
      <c r="AF180" s="43"/>
      <c r="AG180" s="45"/>
      <c r="AH180" s="1"/>
      <c r="AI180" s="1"/>
      <c r="AJ180" s="1"/>
    </row>
    <row r="181" spans="1:36">
      <c r="A181" s="36" t="s">
        <v>2186</v>
      </c>
      <c r="B181" s="36" t="s">
        <v>2308</v>
      </c>
      <c r="C181" s="36" t="s">
        <v>2318</v>
      </c>
      <c r="D181" s="36" t="s">
        <v>2319</v>
      </c>
      <c r="E181" s="38" t="s">
        <v>2318</v>
      </c>
      <c r="F181" s="36"/>
      <c r="G181" s="36" t="s">
        <v>435</v>
      </c>
      <c r="H181" s="36" t="s">
        <v>2311</v>
      </c>
      <c r="I181" s="40" t="s">
        <v>130</v>
      </c>
      <c r="J181" s="36" t="s">
        <v>94</v>
      </c>
      <c r="K181" s="36" t="s">
        <v>94</v>
      </c>
      <c r="L181" s="36" t="s">
        <v>2099</v>
      </c>
      <c r="M181" s="36" t="s">
        <v>2320</v>
      </c>
      <c r="N181" s="36" t="s">
        <v>2321</v>
      </c>
      <c r="O181" s="36" t="s">
        <v>2308</v>
      </c>
      <c r="P181" s="36" t="s">
        <v>2320</v>
      </c>
      <c r="Q181" s="36" t="s">
        <v>2322</v>
      </c>
      <c r="R181" s="36" t="s">
        <v>551</v>
      </c>
      <c r="S181" s="42" t="s">
        <v>5076</v>
      </c>
      <c r="T181" s="43" t="s">
        <v>2326</v>
      </c>
      <c r="U181" s="44" t="s">
        <v>2327</v>
      </c>
      <c r="V181" s="43" t="s">
        <v>130</v>
      </c>
      <c r="W181" s="43" t="s">
        <v>130</v>
      </c>
      <c r="X181" s="43" t="s">
        <v>130</v>
      </c>
      <c r="Y181" s="43" t="s">
        <v>130</v>
      </c>
      <c r="Z181" s="43" t="s">
        <v>130</v>
      </c>
      <c r="AA181" s="43" t="s">
        <v>130</v>
      </c>
      <c r="AB181" s="43" t="s">
        <v>130</v>
      </c>
      <c r="AC181" s="43"/>
      <c r="AD181" s="43"/>
      <c r="AE181" s="43"/>
      <c r="AF181" s="43"/>
      <c r="AG181" s="45"/>
      <c r="AH181" s="1"/>
      <c r="AI181" s="1"/>
      <c r="AJ181" s="1"/>
    </row>
    <row r="182" spans="1:36">
      <c r="A182" s="36" t="s">
        <v>2186</v>
      </c>
      <c r="B182" s="36" t="s">
        <v>2308</v>
      </c>
      <c r="C182" s="36" t="s">
        <v>2328</v>
      </c>
      <c r="D182" s="61" t="s">
        <v>2329</v>
      </c>
      <c r="E182" s="38" t="s">
        <v>2328</v>
      </c>
      <c r="F182" s="36"/>
      <c r="G182" s="36" t="s">
        <v>435</v>
      </c>
      <c r="H182" s="36" t="s">
        <v>2311</v>
      </c>
      <c r="I182" s="40" t="s">
        <v>130</v>
      </c>
      <c r="J182" s="36" t="s">
        <v>94</v>
      </c>
      <c r="K182" s="36" t="s">
        <v>94</v>
      </c>
      <c r="L182" s="36" t="s">
        <v>2099</v>
      </c>
      <c r="M182" s="36" t="s">
        <v>2330</v>
      </c>
      <c r="N182" s="36" t="s">
        <v>2331</v>
      </c>
      <c r="O182" s="36" t="s">
        <v>2308</v>
      </c>
      <c r="P182" s="36" t="s">
        <v>2330</v>
      </c>
      <c r="Q182" s="36" t="s">
        <v>2332</v>
      </c>
      <c r="R182" s="36" t="s">
        <v>551</v>
      </c>
      <c r="S182" s="42" t="s">
        <v>5079</v>
      </c>
      <c r="T182" s="43" t="s">
        <v>120</v>
      </c>
      <c r="U182" s="44" t="s">
        <v>2317</v>
      </c>
      <c r="V182" s="43" t="s">
        <v>130</v>
      </c>
      <c r="W182" s="43" t="s">
        <v>130</v>
      </c>
      <c r="X182" s="43" t="s">
        <v>130</v>
      </c>
      <c r="Y182" s="43" t="s">
        <v>130</v>
      </c>
      <c r="Z182" s="43" t="s">
        <v>130</v>
      </c>
      <c r="AA182" s="43" t="s">
        <v>130</v>
      </c>
      <c r="AB182" s="43" t="s">
        <v>130</v>
      </c>
      <c r="AC182" s="43"/>
      <c r="AD182" s="43"/>
      <c r="AE182" s="43"/>
      <c r="AF182" s="43"/>
      <c r="AG182" s="45"/>
      <c r="AH182" s="1"/>
      <c r="AI182" s="1"/>
      <c r="AJ182" s="1"/>
    </row>
    <row r="183" spans="1:36">
      <c r="A183" s="36" t="s">
        <v>2186</v>
      </c>
      <c r="B183" s="36" t="s">
        <v>2308</v>
      </c>
      <c r="C183" s="36" t="s">
        <v>2334</v>
      </c>
      <c r="D183" s="36" t="s">
        <v>2335</v>
      </c>
      <c r="E183" s="38" t="s">
        <v>2334</v>
      </c>
      <c r="F183" s="36"/>
      <c r="G183" s="36" t="s">
        <v>435</v>
      </c>
      <c r="H183" s="36" t="s">
        <v>2311</v>
      </c>
      <c r="I183" s="40"/>
      <c r="J183" s="36" t="s">
        <v>1014</v>
      </c>
      <c r="K183" s="36" t="s">
        <v>94</v>
      </c>
      <c r="L183" s="36" t="s">
        <v>2099</v>
      </c>
      <c r="M183" s="36" t="s">
        <v>2336</v>
      </c>
      <c r="N183" s="36" t="s">
        <v>2337</v>
      </c>
      <c r="O183" s="36" t="s">
        <v>2308</v>
      </c>
      <c r="P183" s="36" t="s">
        <v>2336</v>
      </c>
      <c r="Q183" s="36" t="s">
        <v>2338</v>
      </c>
      <c r="R183" s="36" t="s">
        <v>2339</v>
      </c>
      <c r="S183" s="42" t="s">
        <v>5070</v>
      </c>
      <c r="T183" s="43" t="s">
        <v>170</v>
      </c>
      <c r="U183" s="44" t="s">
        <v>2317</v>
      </c>
      <c r="V183" s="43" t="s">
        <v>130</v>
      </c>
      <c r="W183" s="43" t="s">
        <v>130</v>
      </c>
      <c r="X183" s="43" t="s">
        <v>130</v>
      </c>
      <c r="Y183" s="43" t="s">
        <v>130</v>
      </c>
      <c r="Z183" s="43"/>
      <c r="AA183" s="43"/>
      <c r="AB183" s="43"/>
      <c r="AC183" s="43"/>
      <c r="AD183" s="43"/>
      <c r="AE183" s="43"/>
      <c r="AF183" s="43"/>
      <c r="AG183" s="45"/>
      <c r="AH183" s="1"/>
      <c r="AI183" s="1"/>
      <c r="AJ183" s="1"/>
    </row>
    <row r="184" spans="1:36">
      <c r="A184" s="36" t="s">
        <v>2186</v>
      </c>
      <c r="B184" s="36" t="s">
        <v>2308</v>
      </c>
      <c r="C184" s="36" t="s">
        <v>2340</v>
      </c>
      <c r="D184" s="36" t="s">
        <v>2341</v>
      </c>
      <c r="E184" s="38" t="s">
        <v>2342</v>
      </c>
      <c r="F184" s="36"/>
      <c r="G184" s="36" t="s">
        <v>435</v>
      </c>
      <c r="H184" s="36" t="s">
        <v>2311</v>
      </c>
      <c r="I184" s="40"/>
      <c r="J184" s="36" t="s">
        <v>230</v>
      </c>
      <c r="K184" s="36" t="s">
        <v>94</v>
      </c>
      <c r="L184" s="36" t="s">
        <v>2099</v>
      </c>
      <c r="M184" s="36" t="s">
        <v>2343</v>
      </c>
      <c r="N184" s="36" t="s">
        <v>2345</v>
      </c>
      <c r="O184" s="36" t="s">
        <v>2308</v>
      </c>
      <c r="P184" s="36" t="s">
        <v>2343</v>
      </c>
      <c r="Q184" s="36" t="s">
        <v>2347</v>
      </c>
      <c r="R184" s="36" t="s">
        <v>2348</v>
      </c>
      <c r="S184" s="42" t="s">
        <v>5081</v>
      </c>
      <c r="T184" s="43" t="s">
        <v>2349</v>
      </c>
      <c r="U184" s="44" t="s">
        <v>2327</v>
      </c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5"/>
      <c r="AH184" s="1"/>
      <c r="AI184" s="1"/>
      <c r="AJ184" s="1"/>
    </row>
    <row r="185" spans="1:36">
      <c r="A185" s="36" t="s">
        <v>2186</v>
      </c>
      <c r="B185" s="36" t="s">
        <v>2308</v>
      </c>
      <c r="C185" s="36" t="s">
        <v>2342</v>
      </c>
      <c r="D185" s="36" t="s">
        <v>2350</v>
      </c>
      <c r="E185" s="38" t="s">
        <v>2351</v>
      </c>
      <c r="F185" s="36"/>
      <c r="G185" s="36" t="s">
        <v>435</v>
      </c>
      <c r="H185" s="36" t="s">
        <v>2311</v>
      </c>
      <c r="I185" s="40"/>
      <c r="J185" s="36" t="s">
        <v>230</v>
      </c>
      <c r="K185" s="36" t="s">
        <v>94</v>
      </c>
      <c r="L185" s="36" t="s">
        <v>2099</v>
      </c>
      <c r="M185" s="36" t="s">
        <v>2352</v>
      </c>
      <c r="N185" s="36" t="s">
        <v>2353</v>
      </c>
      <c r="O185" s="36" t="s">
        <v>2308</v>
      </c>
      <c r="P185" s="36" t="s">
        <v>2352</v>
      </c>
      <c r="Q185" s="36" t="s">
        <v>2356</v>
      </c>
      <c r="R185" s="36" t="s">
        <v>1782</v>
      </c>
      <c r="S185" s="42" t="s">
        <v>5082</v>
      </c>
      <c r="T185" s="43" t="s">
        <v>2357</v>
      </c>
      <c r="U185" s="44" t="s">
        <v>2327</v>
      </c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5"/>
      <c r="AH185" s="1"/>
      <c r="AI185" s="1"/>
      <c r="AJ185" s="1"/>
    </row>
    <row r="186" spans="1:36">
      <c r="A186" s="36" t="s">
        <v>2186</v>
      </c>
      <c r="B186" s="36" t="s">
        <v>2308</v>
      </c>
      <c r="C186" s="36" t="s">
        <v>2351</v>
      </c>
      <c r="D186" s="130" t="s">
        <v>2360</v>
      </c>
      <c r="E186" s="38"/>
      <c r="F186" s="36"/>
      <c r="G186" s="36" t="s">
        <v>435</v>
      </c>
      <c r="H186" s="36" t="s">
        <v>2311</v>
      </c>
      <c r="I186" s="40" t="s">
        <v>130</v>
      </c>
      <c r="J186" s="36" t="s">
        <v>94</v>
      </c>
      <c r="K186" s="36" t="s">
        <v>94</v>
      </c>
      <c r="L186" s="36" t="s">
        <v>2099</v>
      </c>
      <c r="M186" s="36"/>
      <c r="N186" s="36"/>
      <c r="O186" s="36" t="s">
        <v>2308</v>
      </c>
      <c r="P186" s="36" t="s">
        <v>2361</v>
      </c>
      <c r="Q186" s="36" t="s">
        <v>2362</v>
      </c>
      <c r="R186" s="36" t="s">
        <v>551</v>
      </c>
      <c r="S186" s="42" t="s">
        <v>5071</v>
      </c>
      <c r="T186" s="43"/>
      <c r="U186" s="44" t="s">
        <v>2327</v>
      </c>
      <c r="V186" s="43" t="s">
        <v>130</v>
      </c>
      <c r="W186" s="43" t="s">
        <v>130</v>
      </c>
      <c r="X186" s="43" t="s">
        <v>130</v>
      </c>
      <c r="Y186" s="43" t="s">
        <v>130</v>
      </c>
      <c r="Z186" s="43" t="s">
        <v>130</v>
      </c>
      <c r="AA186" s="43" t="s">
        <v>130</v>
      </c>
      <c r="AB186" s="43" t="s">
        <v>130</v>
      </c>
      <c r="AC186" s="43"/>
      <c r="AD186" s="43"/>
      <c r="AE186" s="43"/>
      <c r="AF186" s="43"/>
      <c r="AG186" s="45"/>
      <c r="AH186" s="1"/>
      <c r="AI186" s="1"/>
      <c r="AJ186" s="1"/>
    </row>
    <row r="187" spans="1:36">
      <c r="A187" s="36" t="s">
        <v>2186</v>
      </c>
      <c r="B187" s="36" t="s">
        <v>2308</v>
      </c>
      <c r="C187" s="36" t="s">
        <v>2365</v>
      </c>
      <c r="D187" s="36" t="s">
        <v>2366</v>
      </c>
      <c r="E187" s="38" t="s">
        <v>2365</v>
      </c>
      <c r="F187" s="36"/>
      <c r="G187" s="36" t="s">
        <v>2367</v>
      </c>
      <c r="H187" s="36" t="s">
        <v>2368</v>
      </c>
      <c r="I187" s="40"/>
      <c r="J187" s="36" t="s">
        <v>230</v>
      </c>
      <c r="K187" s="36" t="s">
        <v>94</v>
      </c>
      <c r="L187" s="36" t="s">
        <v>2099</v>
      </c>
      <c r="M187" s="36" t="s">
        <v>2369</v>
      </c>
      <c r="N187" s="36" t="s">
        <v>2370</v>
      </c>
      <c r="O187" s="36" t="s">
        <v>2308</v>
      </c>
      <c r="P187" s="36" t="s">
        <v>2371</v>
      </c>
      <c r="Q187" s="36" t="s">
        <v>2372</v>
      </c>
      <c r="R187" s="36" t="s">
        <v>2373</v>
      </c>
      <c r="S187" s="42" t="s">
        <v>5105</v>
      </c>
      <c r="T187" s="43" t="s">
        <v>269</v>
      </c>
      <c r="U187" s="44" t="s">
        <v>2374</v>
      </c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5"/>
      <c r="AH187" s="1"/>
      <c r="AI187" s="1"/>
      <c r="AJ187" s="1"/>
    </row>
    <row r="188" spans="1:36">
      <c r="A188" s="36" t="s">
        <v>2186</v>
      </c>
      <c r="B188" s="36" t="s">
        <v>2308</v>
      </c>
      <c r="C188" s="36" t="s">
        <v>2376</v>
      </c>
      <c r="D188" s="36" t="s">
        <v>2377</v>
      </c>
      <c r="E188" s="38" t="s">
        <v>2376</v>
      </c>
      <c r="F188" s="36"/>
      <c r="G188" s="36" t="s">
        <v>2367</v>
      </c>
      <c r="H188" s="36" t="s">
        <v>2368</v>
      </c>
      <c r="I188" s="40"/>
      <c r="J188" s="36" t="s">
        <v>94</v>
      </c>
      <c r="K188" s="36" t="s">
        <v>94</v>
      </c>
      <c r="L188" s="36" t="s">
        <v>2099</v>
      </c>
      <c r="M188" s="36" t="s">
        <v>2371</v>
      </c>
      <c r="N188" s="36" t="s">
        <v>2378</v>
      </c>
      <c r="O188" s="36" t="s">
        <v>2308</v>
      </c>
      <c r="P188" s="36" t="s">
        <v>2379</v>
      </c>
      <c r="Q188" s="36" t="s">
        <v>2380</v>
      </c>
      <c r="R188" s="36" t="s">
        <v>2381</v>
      </c>
      <c r="S188" s="42" t="s">
        <v>5084</v>
      </c>
      <c r="T188" s="43" t="s">
        <v>2382</v>
      </c>
      <c r="U188" s="44" t="s">
        <v>2374</v>
      </c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5"/>
      <c r="AH188" s="1"/>
      <c r="AI188" s="1"/>
      <c r="AJ188" s="1"/>
    </row>
    <row r="189" spans="1:36">
      <c r="A189" s="36" t="s">
        <v>2186</v>
      </c>
      <c r="B189" s="36" t="s">
        <v>2308</v>
      </c>
      <c r="C189" s="36" t="s">
        <v>2383</v>
      </c>
      <c r="D189" s="61" t="s">
        <v>2384</v>
      </c>
      <c r="E189" s="38" t="s">
        <v>2383</v>
      </c>
      <c r="F189" s="36"/>
      <c r="G189" s="36" t="s">
        <v>2367</v>
      </c>
      <c r="H189" s="36" t="s">
        <v>2368</v>
      </c>
      <c r="I189" s="40" t="s">
        <v>130</v>
      </c>
      <c r="J189" s="36" t="s">
        <v>94</v>
      </c>
      <c r="K189" s="36" t="s">
        <v>94</v>
      </c>
      <c r="L189" s="36" t="s">
        <v>2099</v>
      </c>
      <c r="M189" s="36" t="s">
        <v>2312</v>
      </c>
      <c r="N189" s="36" t="s">
        <v>2387</v>
      </c>
      <c r="O189" s="36" t="s">
        <v>2308</v>
      </c>
      <c r="P189" s="36" t="s">
        <v>2388</v>
      </c>
      <c r="Q189" s="36" t="s">
        <v>2389</v>
      </c>
      <c r="R189" s="36" t="s">
        <v>551</v>
      </c>
      <c r="S189" s="42" t="s">
        <v>5069</v>
      </c>
      <c r="T189" s="43" t="s">
        <v>187</v>
      </c>
      <c r="U189" s="44" t="s">
        <v>2390</v>
      </c>
      <c r="V189" s="43" t="s">
        <v>130</v>
      </c>
      <c r="W189" s="43" t="s">
        <v>130</v>
      </c>
      <c r="X189" s="43" t="s">
        <v>130</v>
      </c>
      <c r="Y189" s="43" t="s">
        <v>130</v>
      </c>
      <c r="Z189" s="43" t="s">
        <v>130</v>
      </c>
      <c r="AA189" s="43" t="s">
        <v>130</v>
      </c>
      <c r="AB189" s="43" t="s">
        <v>130</v>
      </c>
      <c r="AC189" s="43"/>
      <c r="AD189" s="43"/>
      <c r="AE189" s="43"/>
      <c r="AF189" s="43"/>
      <c r="AG189" s="45"/>
      <c r="AH189" s="1"/>
      <c r="AI189" s="1"/>
      <c r="AJ189" s="1"/>
    </row>
    <row r="190" spans="1:36">
      <c r="A190" s="36" t="s">
        <v>2186</v>
      </c>
      <c r="B190" s="36" t="s">
        <v>2308</v>
      </c>
      <c r="C190" s="36" t="s">
        <v>2391</v>
      </c>
      <c r="D190" s="36" t="s">
        <v>2392</v>
      </c>
      <c r="E190" s="38" t="s">
        <v>2391</v>
      </c>
      <c r="F190" s="36"/>
      <c r="G190" s="36" t="s">
        <v>2367</v>
      </c>
      <c r="H190" s="36" t="s">
        <v>2368</v>
      </c>
      <c r="I190" s="40"/>
      <c r="J190" s="36" t="s">
        <v>1014</v>
      </c>
      <c r="K190" s="36" t="s">
        <v>94</v>
      </c>
      <c r="L190" s="36" t="s">
        <v>2099</v>
      </c>
      <c r="M190" s="36" t="s">
        <v>2393</v>
      </c>
      <c r="N190" s="36" t="s">
        <v>2394</v>
      </c>
      <c r="O190" s="36" t="s">
        <v>2308</v>
      </c>
      <c r="P190" s="36" t="s">
        <v>2395</v>
      </c>
      <c r="Q190" s="36" t="s">
        <v>2396</v>
      </c>
      <c r="R190" s="36" t="s">
        <v>2397</v>
      </c>
      <c r="S190" s="42" t="s">
        <v>5077</v>
      </c>
      <c r="T190" s="43" t="s">
        <v>288</v>
      </c>
      <c r="U190" s="44" t="s">
        <v>2390</v>
      </c>
      <c r="V190" s="43" t="s">
        <v>130</v>
      </c>
      <c r="W190" s="43" t="s">
        <v>130</v>
      </c>
      <c r="X190" s="43" t="s">
        <v>130</v>
      </c>
      <c r="Y190" s="43" t="s">
        <v>130</v>
      </c>
      <c r="Z190" s="43"/>
      <c r="AA190" s="43"/>
      <c r="AB190" s="43" t="s">
        <v>130</v>
      </c>
      <c r="AC190" s="43"/>
      <c r="AD190" s="43"/>
      <c r="AE190" s="43"/>
      <c r="AF190" s="43"/>
      <c r="AG190" s="45"/>
      <c r="AH190" s="1"/>
      <c r="AI190" s="1"/>
      <c r="AJ190" s="1"/>
    </row>
    <row r="191" spans="1:36">
      <c r="A191" s="36" t="s">
        <v>2186</v>
      </c>
      <c r="B191" s="36" t="s">
        <v>2308</v>
      </c>
      <c r="C191" s="36" t="s">
        <v>2399</v>
      </c>
      <c r="D191" s="36" t="s">
        <v>2400</v>
      </c>
      <c r="E191" s="38" t="s">
        <v>2399</v>
      </c>
      <c r="F191" s="36"/>
      <c r="G191" s="36" t="s">
        <v>2367</v>
      </c>
      <c r="H191" s="36" t="s">
        <v>2368</v>
      </c>
      <c r="I191" s="40" t="s">
        <v>130</v>
      </c>
      <c r="J191" s="36" t="s">
        <v>94</v>
      </c>
      <c r="K191" s="36" t="s">
        <v>94</v>
      </c>
      <c r="L191" s="36" t="s">
        <v>2099</v>
      </c>
      <c r="M191" s="36" t="s">
        <v>2401</v>
      </c>
      <c r="N191" s="36" t="s">
        <v>2402</v>
      </c>
      <c r="O191" s="36" t="s">
        <v>2308</v>
      </c>
      <c r="P191" s="36" t="s">
        <v>2401</v>
      </c>
      <c r="Q191" s="36" t="s">
        <v>2403</v>
      </c>
      <c r="R191" s="36" t="s">
        <v>164</v>
      </c>
      <c r="S191" s="42" t="s">
        <v>5085</v>
      </c>
      <c r="T191" s="43" t="s">
        <v>152</v>
      </c>
      <c r="U191" s="44" t="s">
        <v>2404</v>
      </c>
      <c r="V191" s="43" t="s">
        <v>130</v>
      </c>
      <c r="W191" s="43" t="s">
        <v>130</v>
      </c>
      <c r="X191" s="43" t="s">
        <v>130</v>
      </c>
      <c r="Y191" s="43" t="s">
        <v>130</v>
      </c>
      <c r="Z191" s="43" t="s">
        <v>130</v>
      </c>
      <c r="AA191" s="43" t="s">
        <v>130</v>
      </c>
      <c r="AB191" s="43" t="s">
        <v>130</v>
      </c>
      <c r="AC191" s="43"/>
      <c r="AD191" s="43"/>
      <c r="AE191" s="43"/>
      <c r="AF191" s="43"/>
      <c r="AG191" s="45"/>
      <c r="AH191" s="1"/>
      <c r="AI191" s="1"/>
      <c r="AJ191" s="1"/>
    </row>
    <row r="192" spans="1:36">
      <c r="A192" s="36" t="s">
        <v>2186</v>
      </c>
      <c r="B192" s="36" t="s">
        <v>2308</v>
      </c>
      <c r="C192" s="36" t="s">
        <v>2405</v>
      </c>
      <c r="D192" s="36" t="s">
        <v>2406</v>
      </c>
      <c r="E192" s="38" t="s">
        <v>2405</v>
      </c>
      <c r="F192" s="36"/>
      <c r="G192" s="36" t="s">
        <v>2367</v>
      </c>
      <c r="H192" s="36" t="s">
        <v>2368</v>
      </c>
      <c r="I192" s="40"/>
      <c r="J192" s="36" t="s">
        <v>230</v>
      </c>
      <c r="K192" s="36" t="s">
        <v>94</v>
      </c>
      <c r="L192" s="36" t="s">
        <v>2099</v>
      </c>
      <c r="M192" s="36" t="s">
        <v>2330</v>
      </c>
      <c r="N192" s="36" t="s">
        <v>2407</v>
      </c>
      <c r="O192" s="36" t="s">
        <v>2308</v>
      </c>
      <c r="P192" s="36" t="s">
        <v>2369</v>
      </c>
      <c r="Q192" s="36" t="s">
        <v>2408</v>
      </c>
      <c r="R192" s="36" t="s">
        <v>2409</v>
      </c>
      <c r="S192" s="42" t="s">
        <v>5078</v>
      </c>
      <c r="T192" s="43" t="s">
        <v>2410</v>
      </c>
      <c r="U192" s="44" t="s">
        <v>2390</v>
      </c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5"/>
      <c r="AH192" s="1"/>
      <c r="AI192" s="1"/>
      <c r="AJ192" s="1"/>
    </row>
    <row r="193" spans="1:36">
      <c r="A193" s="36" t="s">
        <v>2186</v>
      </c>
      <c r="B193" s="36" t="s">
        <v>2411</v>
      </c>
      <c r="C193" s="36" t="s">
        <v>2412</v>
      </c>
      <c r="D193" s="36" t="s">
        <v>2413</v>
      </c>
      <c r="E193" s="38" t="s">
        <v>2414</v>
      </c>
      <c r="F193" s="36"/>
      <c r="G193" s="36" t="s">
        <v>2415</v>
      </c>
      <c r="H193" s="36" t="s">
        <v>2416</v>
      </c>
      <c r="I193" s="40"/>
      <c r="J193" s="36" t="s">
        <v>94</v>
      </c>
      <c r="K193" s="36" t="s">
        <v>94</v>
      </c>
      <c r="L193" s="36" t="s">
        <v>2099</v>
      </c>
      <c r="M193" s="36" t="s">
        <v>2417</v>
      </c>
      <c r="N193" s="36" t="s">
        <v>2418</v>
      </c>
      <c r="O193" s="36" t="s">
        <v>2419</v>
      </c>
      <c r="P193" s="36" t="s">
        <v>2420</v>
      </c>
      <c r="Q193" s="36" t="s">
        <v>2421</v>
      </c>
      <c r="R193" s="36" t="s">
        <v>2422</v>
      </c>
      <c r="S193" s="42" t="s">
        <v>5078</v>
      </c>
      <c r="T193" s="43" t="s">
        <v>2424</v>
      </c>
      <c r="U193" s="44" t="s">
        <v>2425</v>
      </c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5"/>
      <c r="AH193" s="1"/>
      <c r="AI193" s="1"/>
      <c r="AJ193" s="1"/>
    </row>
    <row r="194" spans="1:36">
      <c r="A194" s="36" t="s">
        <v>2186</v>
      </c>
      <c r="B194" s="36" t="s">
        <v>2411</v>
      </c>
      <c r="C194" s="36" t="s">
        <v>2426</v>
      </c>
      <c r="D194" s="57" t="s">
        <v>2427</v>
      </c>
      <c r="E194" s="38" t="s">
        <v>2428</v>
      </c>
      <c r="F194" s="36"/>
      <c r="G194" s="36" t="s">
        <v>2415</v>
      </c>
      <c r="H194" s="36" t="s">
        <v>2416</v>
      </c>
      <c r="I194" s="40" t="s">
        <v>130</v>
      </c>
      <c r="J194" s="36" t="s">
        <v>94</v>
      </c>
      <c r="K194" s="36" t="s">
        <v>94</v>
      </c>
      <c r="L194" s="36" t="s">
        <v>2099</v>
      </c>
      <c r="M194" s="36" t="s">
        <v>2429</v>
      </c>
      <c r="N194" s="36" t="s">
        <v>2430</v>
      </c>
      <c r="O194" s="36" t="s">
        <v>2419</v>
      </c>
      <c r="P194" s="36" t="s">
        <v>2431</v>
      </c>
      <c r="Q194" s="36" t="s">
        <v>2432</v>
      </c>
      <c r="R194" s="36" t="s">
        <v>551</v>
      </c>
      <c r="S194" s="42" t="s">
        <v>5132</v>
      </c>
      <c r="T194" s="43" t="s">
        <v>2434</v>
      </c>
      <c r="U194" s="44" t="s">
        <v>2425</v>
      </c>
      <c r="V194" s="43" t="s">
        <v>130</v>
      </c>
      <c r="W194" s="43" t="s">
        <v>130</v>
      </c>
      <c r="X194" s="43" t="s">
        <v>130</v>
      </c>
      <c r="Y194" s="43" t="s">
        <v>130</v>
      </c>
      <c r="Z194" s="43" t="s">
        <v>130</v>
      </c>
      <c r="AA194" s="43" t="s">
        <v>130</v>
      </c>
      <c r="AB194" s="43" t="s">
        <v>130</v>
      </c>
      <c r="AC194" s="43"/>
      <c r="AD194" s="43"/>
      <c r="AE194" s="43"/>
      <c r="AF194" s="43"/>
      <c r="AG194" s="45"/>
      <c r="AH194" s="1"/>
      <c r="AI194" s="1"/>
      <c r="AJ194" s="1"/>
    </row>
    <row r="195" spans="1:36">
      <c r="A195" s="36" t="s">
        <v>2186</v>
      </c>
      <c r="B195" s="36" t="s">
        <v>2411</v>
      </c>
      <c r="C195" s="36" t="s">
        <v>2435</v>
      </c>
      <c r="D195" s="57" t="s">
        <v>2436</v>
      </c>
      <c r="E195" s="38" t="s">
        <v>2437</v>
      </c>
      <c r="F195" s="36"/>
      <c r="G195" s="36" t="s">
        <v>2415</v>
      </c>
      <c r="H195" s="36" t="s">
        <v>2416</v>
      </c>
      <c r="I195" s="40" t="s">
        <v>130</v>
      </c>
      <c r="J195" s="36" t="s">
        <v>94</v>
      </c>
      <c r="K195" s="36" t="s">
        <v>94</v>
      </c>
      <c r="L195" s="36" t="s">
        <v>2099</v>
      </c>
      <c r="M195" s="36" t="s">
        <v>2438</v>
      </c>
      <c r="N195" s="36" t="s">
        <v>2439</v>
      </c>
      <c r="O195" s="36" t="s">
        <v>2419</v>
      </c>
      <c r="P195" s="36" t="s">
        <v>2440</v>
      </c>
      <c r="Q195" s="36" t="s">
        <v>2441</v>
      </c>
      <c r="R195" s="36" t="s">
        <v>551</v>
      </c>
      <c r="S195" s="42" t="s">
        <v>5072</v>
      </c>
      <c r="T195" s="43" t="s">
        <v>2442</v>
      </c>
      <c r="U195" s="44" t="s">
        <v>2443</v>
      </c>
      <c r="V195" s="43" t="s">
        <v>130</v>
      </c>
      <c r="W195" s="43" t="s">
        <v>130</v>
      </c>
      <c r="X195" s="43" t="s">
        <v>130</v>
      </c>
      <c r="Y195" s="43" t="s">
        <v>130</v>
      </c>
      <c r="Z195" s="43" t="s">
        <v>130</v>
      </c>
      <c r="AA195" s="43" t="s">
        <v>130</v>
      </c>
      <c r="AB195" s="43" t="s">
        <v>130</v>
      </c>
      <c r="AC195" s="43"/>
      <c r="AD195" s="43"/>
      <c r="AE195" s="43"/>
      <c r="AF195" s="43"/>
      <c r="AG195" s="45"/>
      <c r="AH195" s="1"/>
      <c r="AI195" s="1"/>
      <c r="AJ195" s="1"/>
    </row>
    <row r="196" spans="1:36">
      <c r="A196" s="36" t="s">
        <v>2186</v>
      </c>
      <c r="B196" s="36" t="s">
        <v>2411</v>
      </c>
      <c r="C196" s="36" t="s">
        <v>2445</v>
      </c>
      <c r="D196" s="36" t="s">
        <v>2446</v>
      </c>
      <c r="E196" s="38" t="s">
        <v>2447</v>
      </c>
      <c r="F196" s="36"/>
      <c r="G196" s="36" t="s">
        <v>2415</v>
      </c>
      <c r="H196" s="36" t="s">
        <v>2416</v>
      </c>
      <c r="I196" s="40"/>
      <c r="J196" s="36" t="s">
        <v>94</v>
      </c>
      <c r="K196" s="36" t="s">
        <v>94</v>
      </c>
      <c r="L196" s="36" t="s">
        <v>2099</v>
      </c>
      <c r="M196" s="36" t="s">
        <v>2449</v>
      </c>
      <c r="N196" s="36" t="s">
        <v>2450</v>
      </c>
      <c r="O196" s="36" t="s">
        <v>2419</v>
      </c>
      <c r="P196" s="36" t="s">
        <v>2451</v>
      </c>
      <c r="Q196" s="36" t="s">
        <v>2452</v>
      </c>
      <c r="R196" s="36" t="s">
        <v>2453</v>
      </c>
      <c r="S196" s="42" t="s">
        <v>5073</v>
      </c>
      <c r="T196" s="43" t="s">
        <v>2454</v>
      </c>
      <c r="U196" s="44" t="s">
        <v>2443</v>
      </c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5"/>
      <c r="AH196" s="1"/>
      <c r="AI196" s="1"/>
      <c r="AJ196" s="1"/>
    </row>
    <row r="197" spans="1:36">
      <c r="A197" s="36" t="s">
        <v>2186</v>
      </c>
      <c r="B197" s="36" t="s">
        <v>2411</v>
      </c>
      <c r="C197" s="36" t="s">
        <v>2455</v>
      </c>
      <c r="D197" s="36" t="s">
        <v>2456</v>
      </c>
      <c r="E197" s="38" t="s">
        <v>2457</v>
      </c>
      <c r="F197" s="36"/>
      <c r="G197" s="36" t="s">
        <v>2415</v>
      </c>
      <c r="H197" s="36" t="s">
        <v>2416</v>
      </c>
      <c r="I197" s="40"/>
      <c r="J197" s="36" t="s">
        <v>94</v>
      </c>
      <c r="K197" s="36" t="s">
        <v>94</v>
      </c>
      <c r="L197" s="36" t="s">
        <v>2099</v>
      </c>
      <c r="M197" s="36" t="s">
        <v>2458</v>
      </c>
      <c r="N197" s="36" t="s">
        <v>2459</v>
      </c>
      <c r="O197" s="36" t="s">
        <v>2419</v>
      </c>
      <c r="P197" s="36" t="s">
        <v>2460</v>
      </c>
      <c r="Q197" s="36" t="s">
        <v>2461</v>
      </c>
      <c r="R197" s="36" t="s">
        <v>2462</v>
      </c>
      <c r="S197" s="42" t="s">
        <v>5074</v>
      </c>
      <c r="T197" s="43" t="s">
        <v>2464</v>
      </c>
      <c r="U197" s="44" t="s">
        <v>2425</v>
      </c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5"/>
      <c r="AH197" s="1"/>
      <c r="AI197" s="1"/>
      <c r="AJ197" s="1"/>
    </row>
    <row r="198" spans="1:36">
      <c r="A198" s="36" t="s">
        <v>2186</v>
      </c>
      <c r="B198" s="36" t="s">
        <v>2411</v>
      </c>
      <c r="C198" s="36" t="s">
        <v>2465</v>
      </c>
      <c r="D198" s="36" t="s">
        <v>2466</v>
      </c>
      <c r="E198" s="38" t="s">
        <v>2467</v>
      </c>
      <c r="F198" s="36"/>
      <c r="G198" s="36" t="s">
        <v>2468</v>
      </c>
      <c r="H198" s="36" t="s">
        <v>2469</v>
      </c>
      <c r="I198" s="40"/>
      <c r="J198" s="36" t="s">
        <v>159</v>
      </c>
      <c r="K198" s="36" t="s">
        <v>94</v>
      </c>
      <c r="L198" s="36" t="s">
        <v>2099</v>
      </c>
      <c r="M198" s="36" t="s">
        <v>2470</v>
      </c>
      <c r="N198" s="36" t="s">
        <v>2471</v>
      </c>
      <c r="O198" s="36" t="s">
        <v>2472</v>
      </c>
      <c r="P198" s="36" t="s">
        <v>2470</v>
      </c>
      <c r="Q198" s="36" t="s">
        <v>2473</v>
      </c>
      <c r="R198" s="36" t="s">
        <v>2474</v>
      </c>
      <c r="S198" s="42" t="s">
        <v>5105</v>
      </c>
      <c r="T198" s="43" t="s">
        <v>2475</v>
      </c>
      <c r="U198" s="44" t="s">
        <v>2476</v>
      </c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5"/>
      <c r="AH198" s="1"/>
      <c r="AI198" s="1"/>
      <c r="AJ198" s="1"/>
    </row>
    <row r="199" spans="1:36">
      <c r="A199" s="36" t="s">
        <v>2186</v>
      </c>
      <c r="B199" s="36" t="s">
        <v>2411</v>
      </c>
      <c r="C199" s="36" t="s">
        <v>2477</v>
      </c>
      <c r="D199" s="36" t="s">
        <v>2478</v>
      </c>
      <c r="E199" s="38" t="s">
        <v>2479</v>
      </c>
      <c r="F199" s="36"/>
      <c r="G199" s="36" t="s">
        <v>2468</v>
      </c>
      <c r="H199" s="36" t="s">
        <v>2469</v>
      </c>
      <c r="I199" s="40"/>
      <c r="J199" s="36" t="s">
        <v>94</v>
      </c>
      <c r="K199" s="36" t="s">
        <v>94</v>
      </c>
      <c r="L199" s="36" t="s">
        <v>2099</v>
      </c>
      <c r="M199" s="36" t="s">
        <v>2480</v>
      </c>
      <c r="N199" s="36" t="s">
        <v>2481</v>
      </c>
      <c r="O199" s="36" t="s">
        <v>2472</v>
      </c>
      <c r="P199" s="36" t="s">
        <v>2480</v>
      </c>
      <c r="Q199" s="36" t="s">
        <v>2482</v>
      </c>
      <c r="R199" s="36" t="s">
        <v>2483</v>
      </c>
      <c r="S199" s="42" t="s">
        <v>5084</v>
      </c>
      <c r="T199" s="43" t="s">
        <v>2484</v>
      </c>
      <c r="U199" s="44" t="s">
        <v>2476</v>
      </c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5"/>
      <c r="AH199" s="1"/>
      <c r="AI199" s="1"/>
      <c r="AJ199" s="1"/>
    </row>
    <row r="200" spans="1:36">
      <c r="A200" s="36" t="s">
        <v>2186</v>
      </c>
      <c r="B200" s="36" t="s">
        <v>2411</v>
      </c>
      <c r="C200" s="36" t="s">
        <v>2485</v>
      </c>
      <c r="D200" s="36" t="s">
        <v>2486</v>
      </c>
      <c r="E200" s="38" t="s">
        <v>2487</v>
      </c>
      <c r="F200" s="36"/>
      <c r="G200" s="36" t="s">
        <v>2468</v>
      </c>
      <c r="H200" s="36" t="s">
        <v>2469</v>
      </c>
      <c r="I200" s="40" t="s">
        <v>130</v>
      </c>
      <c r="J200" s="36" t="s">
        <v>94</v>
      </c>
      <c r="K200" s="36" t="s">
        <v>94</v>
      </c>
      <c r="L200" s="36" t="s">
        <v>2099</v>
      </c>
      <c r="M200" s="36" t="s">
        <v>2488</v>
      </c>
      <c r="N200" s="36" t="s">
        <v>2489</v>
      </c>
      <c r="O200" s="36" t="s">
        <v>2472</v>
      </c>
      <c r="P200" s="36" t="s">
        <v>2488</v>
      </c>
      <c r="Q200" s="36" t="s">
        <v>2491</v>
      </c>
      <c r="R200" s="36" t="s">
        <v>551</v>
      </c>
      <c r="S200" s="42" t="s">
        <v>5069</v>
      </c>
      <c r="T200" s="43" t="s">
        <v>2492</v>
      </c>
      <c r="U200" s="44" t="s">
        <v>2493</v>
      </c>
      <c r="V200" s="43" t="s">
        <v>130</v>
      </c>
      <c r="W200" s="43" t="s">
        <v>130</v>
      </c>
      <c r="X200" s="43" t="s">
        <v>130</v>
      </c>
      <c r="Y200" s="43" t="s">
        <v>130</v>
      </c>
      <c r="Z200" s="43" t="s">
        <v>130</v>
      </c>
      <c r="AA200" s="43" t="s">
        <v>130</v>
      </c>
      <c r="AB200" s="43" t="s">
        <v>130</v>
      </c>
      <c r="AC200" s="43"/>
      <c r="AD200" s="43"/>
      <c r="AE200" s="43"/>
      <c r="AF200" s="43"/>
      <c r="AG200" s="45"/>
      <c r="AH200" s="1"/>
      <c r="AI200" s="1"/>
      <c r="AJ200" s="1"/>
    </row>
    <row r="201" spans="1:36">
      <c r="A201" s="36" t="s">
        <v>2186</v>
      </c>
      <c r="B201" s="36" t="s">
        <v>2411</v>
      </c>
      <c r="C201" s="36" t="s">
        <v>2494</v>
      </c>
      <c r="D201" s="36" t="s">
        <v>2495</v>
      </c>
      <c r="E201" s="38" t="s">
        <v>2496</v>
      </c>
      <c r="F201" s="36"/>
      <c r="G201" s="36" t="s">
        <v>2468</v>
      </c>
      <c r="H201" s="36" t="s">
        <v>2469</v>
      </c>
      <c r="I201" s="40"/>
      <c r="J201" s="36" t="s">
        <v>94</v>
      </c>
      <c r="K201" s="36" t="s">
        <v>94</v>
      </c>
      <c r="L201" s="36" t="s">
        <v>2099</v>
      </c>
      <c r="M201" s="36" t="s">
        <v>2497</v>
      </c>
      <c r="N201" s="36" t="s">
        <v>2498</v>
      </c>
      <c r="O201" s="36" t="s">
        <v>2472</v>
      </c>
      <c r="P201" s="36" t="s">
        <v>2497</v>
      </c>
      <c r="Q201" s="36" t="s">
        <v>2499</v>
      </c>
      <c r="R201" s="36" t="s">
        <v>2500</v>
      </c>
      <c r="S201" s="42" t="s">
        <v>5077</v>
      </c>
      <c r="T201" s="43" t="s">
        <v>2501</v>
      </c>
      <c r="U201" s="44" t="s">
        <v>2493</v>
      </c>
      <c r="V201" s="43" t="s">
        <v>130</v>
      </c>
      <c r="W201" s="43"/>
      <c r="X201" s="43"/>
      <c r="Y201" s="43"/>
      <c r="Z201" s="43"/>
      <c r="AA201" s="43"/>
      <c r="AB201" s="43" t="s">
        <v>130</v>
      </c>
      <c r="AC201" s="43"/>
      <c r="AD201" s="43"/>
      <c r="AE201" s="43"/>
      <c r="AF201" s="43"/>
      <c r="AG201" s="45"/>
      <c r="AH201" s="1"/>
      <c r="AI201" s="1"/>
      <c r="AJ201" s="1"/>
    </row>
    <row r="202" spans="1:36">
      <c r="A202" s="36" t="s">
        <v>2186</v>
      </c>
      <c r="B202" s="36" t="s">
        <v>2411</v>
      </c>
      <c r="C202" s="36" t="s">
        <v>2504</v>
      </c>
      <c r="D202" s="36" t="s">
        <v>2505</v>
      </c>
      <c r="E202" s="38" t="s">
        <v>2506</v>
      </c>
      <c r="F202" s="36"/>
      <c r="G202" s="36" t="s">
        <v>2468</v>
      </c>
      <c r="H202" s="36" t="s">
        <v>2469</v>
      </c>
      <c r="I202" s="40"/>
      <c r="J202" s="36" t="s">
        <v>230</v>
      </c>
      <c r="K202" s="36" t="s">
        <v>94</v>
      </c>
      <c r="L202" s="36" t="s">
        <v>2099</v>
      </c>
      <c r="M202" s="36" t="s">
        <v>2507</v>
      </c>
      <c r="N202" s="36" t="s">
        <v>2508</v>
      </c>
      <c r="O202" s="36" t="s">
        <v>2472</v>
      </c>
      <c r="P202" s="36" t="s">
        <v>2507</v>
      </c>
      <c r="Q202" s="36" t="s">
        <v>2509</v>
      </c>
      <c r="R202" s="36" t="s">
        <v>2510</v>
      </c>
      <c r="S202" s="42" t="s">
        <v>5085</v>
      </c>
      <c r="T202" s="43" t="s">
        <v>2511</v>
      </c>
      <c r="U202" s="44" t="s">
        <v>2512</v>
      </c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5"/>
      <c r="AH202" s="1"/>
      <c r="AI202" s="1"/>
      <c r="AJ202" s="1"/>
    </row>
    <row r="203" spans="1:36">
      <c r="A203" s="36" t="s">
        <v>2186</v>
      </c>
      <c r="B203" s="36" t="s">
        <v>2411</v>
      </c>
      <c r="C203" s="36" t="s">
        <v>2514</v>
      </c>
      <c r="D203" s="36" t="s">
        <v>2515</v>
      </c>
      <c r="E203" s="38" t="s">
        <v>2516</v>
      </c>
      <c r="F203" s="36"/>
      <c r="G203" s="36" t="s">
        <v>2517</v>
      </c>
      <c r="H203" s="36" t="s">
        <v>2518</v>
      </c>
      <c r="I203" s="40"/>
      <c r="J203" s="36" t="s">
        <v>159</v>
      </c>
      <c r="K203" s="36" t="s">
        <v>94</v>
      </c>
      <c r="L203" s="36" t="s">
        <v>2099</v>
      </c>
      <c r="M203" s="36" t="s">
        <v>2519</v>
      </c>
      <c r="N203" s="36" t="s">
        <v>2520</v>
      </c>
      <c r="O203" s="36" t="s">
        <v>2521</v>
      </c>
      <c r="P203" s="36" t="s">
        <v>2522</v>
      </c>
      <c r="Q203" s="36" t="s">
        <v>2523</v>
      </c>
      <c r="R203" s="36" t="s">
        <v>2524</v>
      </c>
      <c r="S203" s="42" t="s">
        <v>5133</v>
      </c>
      <c r="T203" s="43" t="s">
        <v>2525</v>
      </c>
      <c r="U203" s="44" t="s">
        <v>2526</v>
      </c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5"/>
      <c r="AH203" s="1"/>
      <c r="AI203" s="1"/>
      <c r="AJ203" s="1"/>
    </row>
    <row r="204" spans="1:36">
      <c r="A204" s="36" t="s">
        <v>2186</v>
      </c>
      <c r="B204" s="36" t="s">
        <v>2411</v>
      </c>
      <c r="C204" s="36" t="s">
        <v>2527</v>
      </c>
      <c r="D204" s="36" t="s">
        <v>2528</v>
      </c>
      <c r="E204" s="38" t="s">
        <v>2529</v>
      </c>
      <c r="F204" s="36"/>
      <c r="G204" s="36" t="s">
        <v>2517</v>
      </c>
      <c r="H204" s="36" t="s">
        <v>2518</v>
      </c>
      <c r="I204" s="40"/>
      <c r="J204" s="36" t="s">
        <v>94</v>
      </c>
      <c r="K204" s="36" t="s">
        <v>94</v>
      </c>
      <c r="L204" s="36" t="s">
        <v>2099</v>
      </c>
      <c r="M204" s="36" t="s">
        <v>2531</v>
      </c>
      <c r="N204" s="36" t="s">
        <v>2532</v>
      </c>
      <c r="O204" s="36" t="s">
        <v>2521</v>
      </c>
      <c r="P204" s="36" t="s">
        <v>2533</v>
      </c>
      <c r="Q204" s="36" t="s">
        <v>2534</v>
      </c>
      <c r="R204" s="36" t="s">
        <v>2535</v>
      </c>
      <c r="S204" s="42" t="s">
        <v>5131</v>
      </c>
      <c r="T204" s="43" t="s">
        <v>2536</v>
      </c>
      <c r="U204" s="44" t="s">
        <v>2526</v>
      </c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5"/>
      <c r="AH204" s="1"/>
      <c r="AI204" s="1"/>
      <c r="AJ204" s="1"/>
    </row>
    <row r="205" spans="1:36">
      <c r="A205" s="36" t="s">
        <v>2186</v>
      </c>
      <c r="B205" s="36" t="s">
        <v>2411</v>
      </c>
      <c r="C205" s="36" t="s">
        <v>2537</v>
      </c>
      <c r="D205" s="36" t="s">
        <v>2538</v>
      </c>
      <c r="E205" s="38" t="s">
        <v>2539</v>
      </c>
      <c r="F205" s="36"/>
      <c r="G205" s="36" t="s">
        <v>2517</v>
      </c>
      <c r="H205" s="36" t="s">
        <v>2518</v>
      </c>
      <c r="I205" s="40" t="s">
        <v>130</v>
      </c>
      <c r="J205" s="36" t="s">
        <v>94</v>
      </c>
      <c r="K205" s="36" t="s">
        <v>94</v>
      </c>
      <c r="L205" s="36" t="s">
        <v>2099</v>
      </c>
      <c r="M205" s="36" t="s">
        <v>2540</v>
      </c>
      <c r="N205" s="36" t="s">
        <v>2541</v>
      </c>
      <c r="O205" s="36" t="s">
        <v>2521</v>
      </c>
      <c r="P205" s="36" t="s">
        <v>2542</v>
      </c>
      <c r="Q205" s="36" t="s">
        <v>2543</v>
      </c>
      <c r="R205" s="36" t="s">
        <v>551</v>
      </c>
      <c r="S205" s="42" t="s">
        <v>5134</v>
      </c>
      <c r="T205" s="43" t="s">
        <v>2546</v>
      </c>
      <c r="U205" s="44" t="s">
        <v>2547</v>
      </c>
      <c r="V205" s="43" t="s">
        <v>130</v>
      </c>
      <c r="W205" s="43" t="s">
        <v>130</v>
      </c>
      <c r="X205" s="43" t="s">
        <v>130</v>
      </c>
      <c r="Y205" s="43" t="s">
        <v>130</v>
      </c>
      <c r="Z205" s="43" t="s">
        <v>130</v>
      </c>
      <c r="AA205" s="43" t="s">
        <v>130</v>
      </c>
      <c r="AB205" s="43"/>
      <c r="AC205" s="43"/>
      <c r="AD205" s="43"/>
      <c r="AE205" s="43"/>
      <c r="AF205" s="43"/>
      <c r="AG205" s="45"/>
      <c r="AH205" s="1"/>
      <c r="AI205" s="1"/>
      <c r="AJ205" s="1"/>
    </row>
    <row r="206" spans="1:36">
      <c r="A206" s="36" t="s">
        <v>2186</v>
      </c>
      <c r="B206" s="36" t="s">
        <v>2411</v>
      </c>
      <c r="C206" s="36" t="s">
        <v>2548</v>
      </c>
      <c r="D206" s="36" t="s">
        <v>2549</v>
      </c>
      <c r="E206" s="38" t="s">
        <v>2550</v>
      </c>
      <c r="F206" s="36"/>
      <c r="G206" s="36" t="s">
        <v>2517</v>
      </c>
      <c r="H206" s="36" t="s">
        <v>2518</v>
      </c>
      <c r="I206" s="40"/>
      <c r="J206" s="36" t="s">
        <v>94</v>
      </c>
      <c r="K206" s="36" t="s">
        <v>94</v>
      </c>
      <c r="L206" s="36" t="s">
        <v>2099</v>
      </c>
      <c r="M206" s="36" t="s">
        <v>2551</v>
      </c>
      <c r="N206" s="36" t="s">
        <v>2552</v>
      </c>
      <c r="O206" s="36" t="s">
        <v>2521</v>
      </c>
      <c r="P206" s="36" t="s">
        <v>2553</v>
      </c>
      <c r="Q206" s="36" t="s">
        <v>2554</v>
      </c>
      <c r="R206" s="36" t="s">
        <v>2555</v>
      </c>
      <c r="S206" s="42" t="s">
        <v>5135</v>
      </c>
      <c r="T206" s="43" t="s">
        <v>2556</v>
      </c>
      <c r="U206" s="44" t="s">
        <v>2558</v>
      </c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5"/>
      <c r="AH206" s="1"/>
      <c r="AI206" s="1"/>
      <c r="AJ206" s="1"/>
    </row>
    <row r="207" spans="1:36">
      <c r="A207" s="36" t="s">
        <v>2186</v>
      </c>
      <c r="B207" s="36" t="s">
        <v>2411</v>
      </c>
      <c r="C207" s="36" t="s">
        <v>2560</v>
      </c>
      <c r="D207" s="61" t="s">
        <v>2561</v>
      </c>
      <c r="E207" s="38" t="s">
        <v>2562</v>
      </c>
      <c r="F207" s="36"/>
      <c r="G207" s="36" t="s">
        <v>2517</v>
      </c>
      <c r="H207" s="36" t="s">
        <v>2518</v>
      </c>
      <c r="I207" s="40"/>
      <c r="J207" s="36" t="s">
        <v>94</v>
      </c>
      <c r="K207" s="36" t="s">
        <v>94</v>
      </c>
      <c r="L207" s="36" t="s">
        <v>2099</v>
      </c>
      <c r="M207" s="36" t="s">
        <v>2563</v>
      </c>
      <c r="N207" s="36" t="s">
        <v>2564</v>
      </c>
      <c r="O207" s="36" t="s">
        <v>2521</v>
      </c>
      <c r="P207" s="36" t="s">
        <v>2565</v>
      </c>
      <c r="Q207" s="36" t="s">
        <v>2566</v>
      </c>
      <c r="R207" s="36" t="s">
        <v>2567</v>
      </c>
      <c r="S207" s="42" t="s">
        <v>5098</v>
      </c>
      <c r="T207" s="43" t="s">
        <v>2568</v>
      </c>
      <c r="U207" s="44" t="s">
        <v>2558</v>
      </c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5"/>
      <c r="AH207" s="1"/>
      <c r="AI207" s="1"/>
      <c r="AJ207" s="1"/>
    </row>
    <row r="208" spans="1:36">
      <c r="A208" s="36" t="s">
        <v>2186</v>
      </c>
      <c r="B208" s="36" t="s">
        <v>2411</v>
      </c>
      <c r="C208" s="36" t="s">
        <v>2569</v>
      </c>
      <c r="D208" s="57" t="s">
        <v>2570</v>
      </c>
      <c r="E208" s="38" t="s">
        <v>2571</v>
      </c>
      <c r="F208" s="36"/>
      <c r="G208" s="36" t="s">
        <v>2572</v>
      </c>
      <c r="H208" s="36" t="s">
        <v>2573</v>
      </c>
      <c r="I208" s="40"/>
      <c r="J208" s="36" t="s">
        <v>94</v>
      </c>
      <c r="K208" s="36" t="s">
        <v>94</v>
      </c>
      <c r="L208" s="36" t="s">
        <v>2099</v>
      </c>
      <c r="M208" s="36" t="s">
        <v>2574</v>
      </c>
      <c r="N208" s="36" t="s">
        <v>2575</v>
      </c>
      <c r="O208" s="36" t="s">
        <v>2472</v>
      </c>
      <c r="P208" s="36" t="s">
        <v>2574</v>
      </c>
      <c r="Q208" s="36" t="s">
        <v>2576</v>
      </c>
      <c r="R208" s="36" t="s">
        <v>2577</v>
      </c>
      <c r="S208" s="42" t="s">
        <v>5076</v>
      </c>
      <c r="T208" s="43" t="s">
        <v>2579</v>
      </c>
      <c r="U208" s="44" t="s">
        <v>2580</v>
      </c>
      <c r="V208" s="43"/>
      <c r="W208" s="43"/>
      <c r="X208" s="43"/>
      <c r="Y208" s="43"/>
      <c r="Z208" s="43"/>
      <c r="AA208" s="43"/>
      <c r="AB208" s="43" t="s">
        <v>130</v>
      </c>
      <c r="AC208" s="43"/>
      <c r="AD208" s="43"/>
      <c r="AE208" s="43"/>
      <c r="AF208" s="43"/>
      <c r="AG208" s="45"/>
      <c r="AH208" s="1"/>
      <c r="AI208" s="1"/>
      <c r="AJ208" s="1"/>
    </row>
    <row r="209" spans="1:36">
      <c r="A209" s="36" t="s">
        <v>2186</v>
      </c>
      <c r="B209" s="36" t="s">
        <v>2411</v>
      </c>
      <c r="C209" s="36" t="s">
        <v>2581</v>
      </c>
      <c r="D209" s="36" t="s">
        <v>2582</v>
      </c>
      <c r="E209" s="38" t="s">
        <v>2583</v>
      </c>
      <c r="F209" s="36"/>
      <c r="G209" s="36" t="s">
        <v>2572</v>
      </c>
      <c r="H209" s="36" t="s">
        <v>2573</v>
      </c>
      <c r="I209" s="40"/>
      <c r="J209" s="36" t="s">
        <v>94</v>
      </c>
      <c r="K209" s="36" t="s">
        <v>94</v>
      </c>
      <c r="L209" s="36" t="s">
        <v>2099</v>
      </c>
      <c r="M209" s="36" t="s">
        <v>2584</v>
      </c>
      <c r="N209" s="36" t="s">
        <v>2585</v>
      </c>
      <c r="O209" s="36" t="s">
        <v>2472</v>
      </c>
      <c r="P209" s="36" t="s">
        <v>2584</v>
      </c>
      <c r="Q209" s="36" t="s">
        <v>2586</v>
      </c>
      <c r="R209" s="36" t="s">
        <v>2587</v>
      </c>
      <c r="S209" s="42" t="s">
        <v>5081</v>
      </c>
      <c r="T209" s="43" t="s">
        <v>2588</v>
      </c>
      <c r="U209" s="44" t="s">
        <v>2580</v>
      </c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5"/>
      <c r="AH209" s="1"/>
      <c r="AI209" s="1"/>
      <c r="AJ209" s="1"/>
    </row>
    <row r="210" spans="1:36">
      <c r="A210" s="36" t="s">
        <v>2186</v>
      </c>
      <c r="B210" s="36" t="s">
        <v>2411</v>
      </c>
      <c r="C210" s="36" t="s">
        <v>2589</v>
      </c>
      <c r="D210" s="36" t="s">
        <v>2590</v>
      </c>
      <c r="E210" s="38" t="s">
        <v>2591</v>
      </c>
      <c r="F210" s="36"/>
      <c r="G210" s="36" t="s">
        <v>2572</v>
      </c>
      <c r="H210" s="36" t="s">
        <v>2573</v>
      </c>
      <c r="I210" s="40" t="s">
        <v>130</v>
      </c>
      <c r="J210" s="36" t="s">
        <v>94</v>
      </c>
      <c r="K210" s="36" t="s">
        <v>94</v>
      </c>
      <c r="L210" s="36" t="s">
        <v>2099</v>
      </c>
      <c r="M210" s="36" t="s">
        <v>2592</v>
      </c>
      <c r="N210" s="135" t="s">
        <v>2593</v>
      </c>
      <c r="O210" s="36" t="s">
        <v>2472</v>
      </c>
      <c r="P210" s="36" t="s">
        <v>2592</v>
      </c>
      <c r="Q210" s="36" t="s">
        <v>2596</v>
      </c>
      <c r="R210" s="36" t="s">
        <v>551</v>
      </c>
      <c r="S210" s="42" t="s">
        <v>5082</v>
      </c>
      <c r="T210" s="43" t="s">
        <v>2597</v>
      </c>
      <c r="U210" s="44" t="s">
        <v>2580</v>
      </c>
      <c r="V210" s="43" t="s">
        <v>130</v>
      </c>
      <c r="W210" s="43" t="s">
        <v>130</v>
      </c>
      <c r="X210" s="43" t="s">
        <v>130</v>
      </c>
      <c r="Y210" s="43" t="s">
        <v>130</v>
      </c>
      <c r="Z210" s="43" t="s">
        <v>130</v>
      </c>
      <c r="AA210" s="43" t="s">
        <v>130</v>
      </c>
      <c r="AB210" s="43" t="s">
        <v>130</v>
      </c>
      <c r="AC210" s="43"/>
      <c r="AD210" s="43"/>
      <c r="AE210" s="43"/>
      <c r="AF210" s="43"/>
      <c r="AG210" s="45"/>
      <c r="AH210" s="1"/>
      <c r="AI210" s="1"/>
      <c r="AJ210" s="1"/>
    </row>
    <row r="211" spans="1:36">
      <c r="A211" s="36" t="s">
        <v>2186</v>
      </c>
      <c r="B211" s="36" t="s">
        <v>2411</v>
      </c>
      <c r="C211" s="36" t="s">
        <v>2598</v>
      </c>
      <c r="D211" s="36" t="s">
        <v>2593</v>
      </c>
      <c r="E211" s="38" t="s">
        <v>2599</v>
      </c>
      <c r="F211" s="36"/>
      <c r="G211" s="36" t="s">
        <v>2572</v>
      </c>
      <c r="H211" s="36" t="s">
        <v>2573</v>
      </c>
      <c r="I211" s="40"/>
      <c r="J211" s="36" t="s">
        <v>159</v>
      </c>
      <c r="K211" s="36" t="s">
        <v>94</v>
      </c>
      <c r="L211" s="36" t="s">
        <v>2099</v>
      </c>
      <c r="M211" s="36" t="s">
        <v>2600</v>
      </c>
      <c r="N211" s="36" t="s">
        <v>2601</v>
      </c>
      <c r="O211" s="36" t="s">
        <v>2472</v>
      </c>
      <c r="P211" s="36" t="s">
        <v>2600</v>
      </c>
      <c r="Q211" s="36" t="s">
        <v>2603</v>
      </c>
      <c r="R211" s="36" t="s">
        <v>2604</v>
      </c>
      <c r="S211" s="42" t="s">
        <v>5071</v>
      </c>
      <c r="T211" s="43" t="s">
        <v>2605</v>
      </c>
      <c r="U211" s="44" t="s">
        <v>976</v>
      </c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5"/>
      <c r="AH211" s="1"/>
      <c r="AI211" s="1"/>
      <c r="AJ211" s="1"/>
    </row>
    <row r="212" spans="1:36">
      <c r="A212" s="36" t="s">
        <v>2186</v>
      </c>
      <c r="B212" s="36" t="s">
        <v>2411</v>
      </c>
      <c r="C212" s="36" t="s">
        <v>2607</v>
      </c>
      <c r="D212" s="36" t="s">
        <v>2609</v>
      </c>
      <c r="E212" s="38" t="s">
        <v>2610</v>
      </c>
      <c r="F212" s="36"/>
      <c r="G212" s="36" t="s">
        <v>2572</v>
      </c>
      <c r="H212" s="36" t="s">
        <v>2573</v>
      </c>
      <c r="I212" s="40"/>
      <c r="J212" s="36" t="s">
        <v>159</v>
      </c>
      <c r="K212" s="36" t="s">
        <v>94</v>
      </c>
      <c r="L212" s="36" t="s">
        <v>2099</v>
      </c>
      <c r="M212" s="36" t="s">
        <v>2611</v>
      </c>
      <c r="N212" s="36" t="s">
        <v>2612</v>
      </c>
      <c r="O212" s="36" t="s">
        <v>2472</v>
      </c>
      <c r="P212" s="36" t="s">
        <v>2611</v>
      </c>
      <c r="Q212" s="36" t="s">
        <v>2613</v>
      </c>
      <c r="R212" s="36" t="s">
        <v>2614</v>
      </c>
      <c r="S212" s="42" t="s">
        <v>5083</v>
      </c>
      <c r="T212" s="43" t="s">
        <v>2615</v>
      </c>
      <c r="U212" s="44" t="s">
        <v>976</v>
      </c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5"/>
      <c r="AH212" s="1"/>
      <c r="AI212" s="1"/>
      <c r="AJ212" s="1"/>
    </row>
    <row r="213" spans="1:36">
      <c r="A213" s="36" t="s">
        <v>2186</v>
      </c>
      <c r="B213" s="36" t="s">
        <v>2411</v>
      </c>
      <c r="C213" s="36" t="s">
        <v>2616</v>
      </c>
      <c r="D213" s="36" t="s">
        <v>2617</v>
      </c>
      <c r="E213" s="38" t="s">
        <v>2618</v>
      </c>
      <c r="F213" s="36"/>
      <c r="G213" s="36" t="s">
        <v>2619</v>
      </c>
      <c r="H213" s="36" t="s">
        <v>2620</v>
      </c>
      <c r="I213" s="40"/>
      <c r="J213" s="36" t="s">
        <v>159</v>
      </c>
      <c r="K213" s="36" t="s">
        <v>94</v>
      </c>
      <c r="L213" s="36" t="s">
        <v>2099</v>
      </c>
      <c r="M213" s="36" t="s">
        <v>2621</v>
      </c>
      <c r="N213" s="36" t="s">
        <v>2622</v>
      </c>
      <c r="O213" s="36" t="s">
        <v>2472</v>
      </c>
      <c r="P213" s="36" t="s">
        <v>2621</v>
      </c>
      <c r="Q213" s="36" t="s">
        <v>2625</v>
      </c>
      <c r="R213" s="36" t="s">
        <v>2626</v>
      </c>
      <c r="S213" s="42" t="s">
        <v>5068</v>
      </c>
      <c r="T213" s="43" t="s">
        <v>2627</v>
      </c>
      <c r="U213" s="44" t="s">
        <v>2628</v>
      </c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5"/>
      <c r="AH213" s="1"/>
      <c r="AI213" s="1"/>
      <c r="AJ213" s="1"/>
    </row>
    <row r="214" spans="1:36">
      <c r="A214" s="36" t="s">
        <v>2186</v>
      </c>
      <c r="B214" s="36" t="s">
        <v>2411</v>
      </c>
      <c r="C214" s="36" t="s">
        <v>2629</v>
      </c>
      <c r="D214" s="36" t="s">
        <v>2630</v>
      </c>
      <c r="E214" s="38" t="s">
        <v>2631</v>
      </c>
      <c r="F214" s="36"/>
      <c r="G214" s="36" t="s">
        <v>2619</v>
      </c>
      <c r="H214" s="36" t="s">
        <v>2620</v>
      </c>
      <c r="I214" s="40"/>
      <c r="J214" s="36" t="s">
        <v>159</v>
      </c>
      <c r="K214" s="36" t="s">
        <v>94</v>
      </c>
      <c r="L214" s="36" t="s">
        <v>2099</v>
      </c>
      <c r="M214" s="36" t="s">
        <v>2632</v>
      </c>
      <c r="N214" s="36" t="s">
        <v>2633</v>
      </c>
      <c r="O214" s="36" t="s">
        <v>2472</v>
      </c>
      <c r="P214" s="36" t="s">
        <v>2632</v>
      </c>
      <c r="Q214" s="36" t="s">
        <v>2634</v>
      </c>
      <c r="R214" s="36" t="s">
        <v>2635</v>
      </c>
      <c r="S214" s="42" t="s">
        <v>5079</v>
      </c>
      <c r="T214" s="43" t="s">
        <v>2636</v>
      </c>
      <c r="U214" s="44" t="s">
        <v>2628</v>
      </c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5"/>
      <c r="AH214" s="1"/>
      <c r="AI214" s="1"/>
      <c r="AJ214" s="1"/>
    </row>
    <row r="215" spans="1:36">
      <c r="A215" s="36" t="s">
        <v>2186</v>
      </c>
      <c r="B215" s="36" t="s">
        <v>2411</v>
      </c>
      <c r="C215" s="36" t="s">
        <v>2638</v>
      </c>
      <c r="D215" s="36" t="s">
        <v>2639</v>
      </c>
      <c r="E215" s="38" t="s">
        <v>2640</v>
      </c>
      <c r="F215" s="36"/>
      <c r="G215" s="36" t="s">
        <v>2619</v>
      </c>
      <c r="H215" s="36" t="s">
        <v>2620</v>
      </c>
      <c r="I215" s="40"/>
      <c r="J215" s="36" t="s">
        <v>159</v>
      </c>
      <c r="K215" s="36" t="s">
        <v>94</v>
      </c>
      <c r="L215" s="36" t="s">
        <v>2099</v>
      </c>
      <c r="M215" s="36" t="s">
        <v>2641</v>
      </c>
      <c r="N215" s="36" t="s">
        <v>2642</v>
      </c>
      <c r="O215" s="36" t="s">
        <v>2472</v>
      </c>
      <c r="P215" s="36" t="s">
        <v>2643</v>
      </c>
      <c r="Q215" s="36" t="s">
        <v>2644</v>
      </c>
      <c r="R215" s="36" t="s">
        <v>2645</v>
      </c>
      <c r="S215" s="42" t="s">
        <v>5106</v>
      </c>
      <c r="T215" s="43" t="s">
        <v>2646</v>
      </c>
      <c r="U215" s="44" t="s">
        <v>2512</v>
      </c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5"/>
      <c r="AH215" s="1"/>
      <c r="AI215" s="1"/>
      <c r="AJ215" s="1"/>
    </row>
    <row r="216" spans="1:36">
      <c r="A216" s="36" t="s">
        <v>2186</v>
      </c>
      <c r="B216" s="36" t="s">
        <v>2411</v>
      </c>
      <c r="C216" s="36" t="s">
        <v>2649</v>
      </c>
      <c r="D216" s="57" t="s">
        <v>2650</v>
      </c>
      <c r="E216" s="38" t="s">
        <v>2651</v>
      </c>
      <c r="F216" s="36"/>
      <c r="G216" s="36" t="s">
        <v>2619</v>
      </c>
      <c r="H216" s="36" t="s">
        <v>2620</v>
      </c>
      <c r="I216" s="40"/>
      <c r="J216" s="36" t="s">
        <v>230</v>
      </c>
      <c r="K216" s="36" t="s">
        <v>94</v>
      </c>
      <c r="L216" s="36" t="s">
        <v>2099</v>
      </c>
      <c r="M216" s="36" t="s">
        <v>2652</v>
      </c>
      <c r="N216" s="36" t="s">
        <v>2653</v>
      </c>
      <c r="O216" s="36" t="s">
        <v>2472</v>
      </c>
      <c r="P216" s="36" t="s">
        <v>2652</v>
      </c>
      <c r="Q216" s="36" t="s">
        <v>2654</v>
      </c>
      <c r="R216" s="36" t="s">
        <v>2655</v>
      </c>
      <c r="S216" s="42" t="s">
        <v>5070</v>
      </c>
      <c r="T216" s="43" t="s">
        <v>2656</v>
      </c>
      <c r="U216" s="44" t="s">
        <v>2657</v>
      </c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5"/>
      <c r="AH216" s="1"/>
      <c r="AI216" s="1"/>
      <c r="AJ216" s="1"/>
    </row>
    <row r="217" spans="1:36">
      <c r="A217" s="36" t="s">
        <v>2186</v>
      </c>
      <c r="B217" s="36" t="s">
        <v>2411</v>
      </c>
      <c r="C217" s="36" t="s">
        <v>2658</v>
      </c>
      <c r="D217" s="36" t="s">
        <v>2659</v>
      </c>
      <c r="E217" s="38" t="s">
        <v>2660</v>
      </c>
      <c r="F217" s="36"/>
      <c r="G217" s="36" t="s">
        <v>2619</v>
      </c>
      <c r="H217" s="36" t="s">
        <v>2620</v>
      </c>
      <c r="I217" s="40" t="s">
        <v>130</v>
      </c>
      <c r="J217" s="36" t="s">
        <v>362</v>
      </c>
      <c r="K217" s="36" t="s">
        <v>94</v>
      </c>
      <c r="L217" s="36" t="s">
        <v>2099</v>
      </c>
      <c r="M217" s="36" t="s">
        <v>2661</v>
      </c>
      <c r="N217" s="36" t="s">
        <v>2662</v>
      </c>
      <c r="O217" s="36" t="s">
        <v>2472</v>
      </c>
      <c r="P217" s="36" t="s">
        <v>2661</v>
      </c>
      <c r="Q217" s="36" t="s">
        <v>2663</v>
      </c>
      <c r="R217" s="36" t="s">
        <v>2664</v>
      </c>
      <c r="S217" s="42" t="s">
        <v>5080</v>
      </c>
      <c r="T217" s="43" t="s">
        <v>2665</v>
      </c>
      <c r="U217" s="44" t="s">
        <v>2657</v>
      </c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5"/>
      <c r="AH217" s="1"/>
      <c r="AI217" s="1"/>
      <c r="AJ217" s="1"/>
    </row>
    <row r="218" spans="1:36">
      <c r="A218" s="36" t="s">
        <v>2186</v>
      </c>
      <c r="B218" s="36" t="s">
        <v>2411</v>
      </c>
      <c r="C218" s="36" t="s">
        <v>2666</v>
      </c>
      <c r="D218" s="36" t="s">
        <v>2667</v>
      </c>
      <c r="E218" s="38" t="s">
        <v>2668</v>
      </c>
      <c r="F218" s="36"/>
      <c r="G218" s="36" t="s">
        <v>435</v>
      </c>
      <c r="H218" s="36" t="s">
        <v>2669</v>
      </c>
      <c r="I218" s="40"/>
      <c r="J218" s="36" t="s">
        <v>1822</v>
      </c>
      <c r="K218" s="36" t="s">
        <v>80</v>
      </c>
      <c r="L218" s="36" t="s">
        <v>2099</v>
      </c>
      <c r="M218" s="36"/>
      <c r="N218" s="36" t="s">
        <v>2670</v>
      </c>
      <c r="O218" s="36" t="s">
        <v>2419</v>
      </c>
      <c r="P218" s="36" t="s">
        <v>2671</v>
      </c>
      <c r="Q218" s="36" t="s">
        <v>2672</v>
      </c>
      <c r="R218" s="36" t="s">
        <v>2673</v>
      </c>
      <c r="S218" s="42" t="s">
        <v>5099</v>
      </c>
      <c r="T218" s="43"/>
      <c r="U218" s="44" t="s">
        <v>2675</v>
      </c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5"/>
      <c r="AH218" s="1"/>
      <c r="AI218" s="1"/>
      <c r="AJ218" s="1"/>
    </row>
    <row r="219" spans="1:36">
      <c r="A219" s="36" t="s">
        <v>2186</v>
      </c>
      <c r="B219" s="36" t="s">
        <v>2411</v>
      </c>
      <c r="C219" s="36" t="s">
        <v>2676</v>
      </c>
      <c r="D219" s="36" t="s">
        <v>2677</v>
      </c>
      <c r="E219" s="38" t="s">
        <v>2678</v>
      </c>
      <c r="F219" s="36"/>
      <c r="G219" s="36" t="s">
        <v>2679</v>
      </c>
      <c r="H219" s="36" t="s">
        <v>2680</v>
      </c>
      <c r="I219" s="40"/>
      <c r="J219" s="36" t="s">
        <v>159</v>
      </c>
      <c r="K219" s="36" t="s">
        <v>94</v>
      </c>
      <c r="L219" s="36" t="s">
        <v>2099</v>
      </c>
      <c r="M219" s="36" t="s">
        <v>2681</v>
      </c>
      <c r="N219" s="36" t="s">
        <v>2682</v>
      </c>
      <c r="O219" s="36" t="s">
        <v>2419</v>
      </c>
      <c r="P219" s="36" t="s">
        <v>2683</v>
      </c>
      <c r="Q219" s="36" t="s">
        <v>2684</v>
      </c>
      <c r="R219" s="36" t="s">
        <v>2685</v>
      </c>
      <c r="S219" s="42" t="s">
        <v>5075</v>
      </c>
      <c r="T219" s="43" t="s">
        <v>2686</v>
      </c>
      <c r="U219" s="44" t="s">
        <v>2687</v>
      </c>
      <c r="V219" s="43" t="s">
        <v>130</v>
      </c>
      <c r="W219" s="43" t="s">
        <v>130</v>
      </c>
      <c r="X219" s="43"/>
      <c r="Y219" s="43"/>
      <c r="Z219" s="43"/>
      <c r="AA219" s="43"/>
      <c r="AB219" s="43"/>
      <c r="AC219" s="43"/>
      <c r="AD219" s="43"/>
      <c r="AE219" s="43"/>
      <c r="AF219" s="43"/>
      <c r="AG219" s="45"/>
      <c r="AH219" s="1"/>
      <c r="AI219" s="1"/>
      <c r="AJ219" s="1"/>
    </row>
    <row r="220" spans="1:36">
      <c r="A220" s="36" t="s">
        <v>2186</v>
      </c>
      <c r="B220" s="36" t="s">
        <v>2411</v>
      </c>
      <c r="C220" s="36" t="s">
        <v>2690</v>
      </c>
      <c r="D220" s="36" t="s">
        <v>2691</v>
      </c>
      <c r="E220" s="38" t="s">
        <v>2692</v>
      </c>
      <c r="F220" s="36"/>
      <c r="G220" s="36" t="s">
        <v>2679</v>
      </c>
      <c r="H220" s="36" t="s">
        <v>2680</v>
      </c>
      <c r="I220" s="40"/>
      <c r="J220" s="36" t="s">
        <v>159</v>
      </c>
      <c r="K220" s="36" t="s">
        <v>94</v>
      </c>
      <c r="L220" s="36" t="s">
        <v>2099</v>
      </c>
      <c r="M220" s="36" t="s">
        <v>2693</v>
      </c>
      <c r="N220" s="36" t="s">
        <v>2694</v>
      </c>
      <c r="O220" s="36" t="s">
        <v>2419</v>
      </c>
      <c r="P220" s="36" t="s">
        <v>2695</v>
      </c>
      <c r="Q220" s="36" t="s">
        <v>2696</v>
      </c>
      <c r="R220" s="36" t="s">
        <v>2697</v>
      </c>
      <c r="S220" s="42" t="s">
        <v>5097</v>
      </c>
      <c r="T220" s="43" t="s">
        <v>2698</v>
      </c>
      <c r="U220" s="44" t="s">
        <v>2687</v>
      </c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5"/>
      <c r="AH220" s="1"/>
      <c r="AI220" s="1"/>
      <c r="AJ220" s="1"/>
    </row>
    <row r="221" spans="1:36">
      <c r="A221" s="36" t="s">
        <v>2186</v>
      </c>
      <c r="B221" s="36" t="s">
        <v>2411</v>
      </c>
      <c r="C221" s="36" t="s">
        <v>2699</v>
      </c>
      <c r="D221" s="36" t="s">
        <v>2700</v>
      </c>
      <c r="E221" s="38" t="s">
        <v>2701</v>
      </c>
      <c r="F221" s="36"/>
      <c r="G221" s="36" t="s">
        <v>2679</v>
      </c>
      <c r="H221" s="36" t="s">
        <v>2680</v>
      </c>
      <c r="I221" s="40"/>
      <c r="J221" s="36" t="s">
        <v>94</v>
      </c>
      <c r="K221" s="36" t="s">
        <v>94</v>
      </c>
      <c r="L221" s="36" t="s">
        <v>2099</v>
      </c>
      <c r="M221" s="36" t="s">
        <v>2704</v>
      </c>
      <c r="N221" s="36" t="s">
        <v>2705</v>
      </c>
      <c r="O221" s="36" t="s">
        <v>2419</v>
      </c>
      <c r="P221" s="36" t="s">
        <v>2706</v>
      </c>
      <c r="Q221" s="36" t="s">
        <v>2707</v>
      </c>
      <c r="R221" s="36" t="s">
        <v>2708</v>
      </c>
      <c r="S221" s="42" t="s">
        <v>5115</v>
      </c>
      <c r="T221" s="43" t="s">
        <v>2709</v>
      </c>
      <c r="U221" s="44" t="s">
        <v>2687</v>
      </c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5"/>
      <c r="AH221" s="1"/>
      <c r="AI221" s="1"/>
      <c r="AJ221" s="1"/>
    </row>
    <row r="222" spans="1:36">
      <c r="A222" s="36" t="s">
        <v>2186</v>
      </c>
      <c r="B222" s="36" t="s">
        <v>2411</v>
      </c>
      <c r="C222" s="36" t="s">
        <v>2710</v>
      </c>
      <c r="D222" s="36" t="s">
        <v>2711</v>
      </c>
      <c r="E222" s="38" t="s">
        <v>2712</v>
      </c>
      <c r="F222" s="36"/>
      <c r="G222" s="36" t="s">
        <v>2679</v>
      </c>
      <c r="H222" s="36" t="s">
        <v>2680</v>
      </c>
      <c r="I222" s="40"/>
      <c r="J222" s="36" t="s">
        <v>159</v>
      </c>
      <c r="K222" s="36" t="s">
        <v>94</v>
      </c>
      <c r="L222" s="36" t="s">
        <v>2099</v>
      </c>
      <c r="M222" s="36" t="s">
        <v>2713</v>
      </c>
      <c r="N222" s="36" t="s">
        <v>2714</v>
      </c>
      <c r="O222" s="36" t="s">
        <v>2419</v>
      </c>
      <c r="P222" s="36" t="s">
        <v>2716</v>
      </c>
      <c r="Q222" s="36" t="s">
        <v>2717</v>
      </c>
      <c r="R222" s="36" t="s">
        <v>2718</v>
      </c>
      <c r="S222" s="42" t="s">
        <v>5136</v>
      </c>
      <c r="T222" s="43" t="s">
        <v>2719</v>
      </c>
      <c r="U222" s="44" t="s">
        <v>2720</v>
      </c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5"/>
      <c r="AH222" s="1"/>
      <c r="AI222" s="1"/>
      <c r="AJ222" s="1"/>
    </row>
    <row r="223" spans="1:36">
      <c r="A223" s="36" t="s">
        <v>2186</v>
      </c>
      <c r="B223" s="36" t="s">
        <v>2411</v>
      </c>
      <c r="C223" s="36" t="s">
        <v>2721</v>
      </c>
      <c r="D223" s="36" t="s">
        <v>2722</v>
      </c>
      <c r="E223" s="38" t="s">
        <v>2723</v>
      </c>
      <c r="F223" s="36"/>
      <c r="G223" s="36" t="s">
        <v>2679</v>
      </c>
      <c r="H223" s="36" t="s">
        <v>2680</v>
      </c>
      <c r="I223" s="40"/>
      <c r="J223" s="36" t="s">
        <v>230</v>
      </c>
      <c r="K223" s="36" t="s">
        <v>94</v>
      </c>
      <c r="L223" s="36" t="s">
        <v>2099</v>
      </c>
      <c r="M223" s="36" t="s">
        <v>2724</v>
      </c>
      <c r="N223" s="36" t="s">
        <v>2725</v>
      </c>
      <c r="O223" s="36" t="s">
        <v>2419</v>
      </c>
      <c r="P223" s="36" t="s">
        <v>2726</v>
      </c>
      <c r="Q223" s="36" t="s">
        <v>2727</v>
      </c>
      <c r="R223" s="36" t="s">
        <v>2728</v>
      </c>
      <c r="S223" s="42" t="s">
        <v>5137</v>
      </c>
      <c r="T223" s="43" t="s">
        <v>2729</v>
      </c>
      <c r="U223" s="44" t="s">
        <v>2720</v>
      </c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5"/>
      <c r="AH223" s="1"/>
      <c r="AI223" s="1"/>
      <c r="AJ223" s="1"/>
    </row>
    <row r="224" spans="1:36">
      <c r="A224" s="36" t="s">
        <v>1740</v>
      </c>
      <c r="B224" s="36" t="s">
        <v>2732</v>
      </c>
      <c r="C224" s="36" t="s">
        <v>2733</v>
      </c>
      <c r="D224" s="1" t="s">
        <v>513</v>
      </c>
      <c r="E224" s="38" t="s">
        <v>2734</v>
      </c>
      <c r="F224" s="36" t="s">
        <v>130</v>
      </c>
      <c r="G224" s="36" t="s">
        <v>2735</v>
      </c>
      <c r="H224" s="36" t="s">
        <v>2736</v>
      </c>
      <c r="I224" s="40" t="s">
        <v>130</v>
      </c>
      <c r="J224" s="36" t="s">
        <v>94</v>
      </c>
      <c r="K224" s="36" t="s">
        <v>94</v>
      </c>
      <c r="L224" s="36" t="s">
        <v>2099</v>
      </c>
      <c r="M224" s="36" t="s">
        <v>2737</v>
      </c>
      <c r="N224" s="36" t="s">
        <v>2738</v>
      </c>
      <c r="O224" s="36" t="s">
        <v>2732</v>
      </c>
      <c r="P224" s="36" t="s">
        <v>2737</v>
      </c>
      <c r="Q224" s="36" t="s">
        <v>2739</v>
      </c>
      <c r="R224" s="36" t="s">
        <v>164</v>
      </c>
      <c r="S224" s="42" t="s">
        <v>5068</v>
      </c>
      <c r="T224" s="43" t="s">
        <v>2740</v>
      </c>
      <c r="U224" s="44" t="s">
        <v>2741</v>
      </c>
      <c r="V224" s="43" t="s">
        <v>130</v>
      </c>
      <c r="W224" s="43"/>
      <c r="X224" s="43" t="s">
        <v>130</v>
      </c>
      <c r="Y224" s="43" t="s">
        <v>130</v>
      </c>
      <c r="Z224" s="43" t="s">
        <v>130</v>
      </c>
      <c r="AA224" s="43" t="s">
        <v>130</v>
      </c>
      <c r="AB224" s="43" t="s">
        <v>130</v>
      </c>
      <c r="AC224" s="43"/>
      <c r="AD224" s="43"/>
      <c r="AE224" s="43"/>
      <c r="AF224" s="43"/>
      <c r="AG224" s="45"/>
      <c r="AH224" s="1"/>
      <c r="AI224" s="1"/>
      <c r="AJ224" s="1"/>
    </row>
    <row r="225" spans="1:36">
      <c r="A225" s="36" t="s">
        <v>1740</v>
      </c>
      <c r="B225" s="36" t="s">
        <v>2732</v>
      </c>
      <c r="C225" s="36" t="s">
        <v>2742</v>
      </c>
      <c r="D225" s="36" t="s">
        <v>2743</v>
      </c>
      <c r="E225" s="38" t="s">
        <v>2745</v>
      </c>
      <c r="F225" s="36"/>
      <c r="G225" s="36" t="s">
        <v>2735</v>
      </c>
      <c r="H225" s="36" t="s">
        <v>2736</v>
      </c>
      <c r="I225" s="40" t="s">
        <v>130</v>
      </c>
      <c r="J225" s="36" t="s">
        <v>94</v>
      </c>
      <c r="K225" s="36" t="s">
        <v>94</v>
      </c>
      <c r="L225" s="36" t="s">
        <v>2099</v>
      </c>
      <c r="M225" s="36"/>
      <c r="N225" s="36"/>
      <c r="O225" s="36" t="s">
        <v>2732</v>
      </c>
      <c r="P225" s="36" t="s">
        <v>2746</v>
      </c>
      <c r="Q225" s="36" t="s">
        <v>2747</v>
      </c>
      <c r="R225" s="36" t="s">
        <v>164</v>
      </c>
      <c r="S225" s="42" t="s">
        <v>5078</v>
      </c>
      <c r="T225" s="43" t="s">
        <v>2746</v>
      </c>
      <c r="U225" s="44" t="s">
        <v>2741</v>
      </c>
      <c r="V225" s="43" t="s">
        <v>130</v>
      </c>
      <c r="W225" s="43" t="s">
        <v>130</v>
      </c>
      <c r="X225" s="43" t="s">
        <v>130</v>
      </c>
      <c r="Y225" s="43" t="s">
        <v>130</v>
      </c>
      <c r="Z225" s="43" t="s">
        <v>130</v>
      </c>
      <c r="AA225" s="43" t="s">
        <v>130</v>
      </c>
      <c r="AB225" s="43" t="s">
        <v>130</v>
      </c>
      <c r="AC225" s="43"/>
      <c r="AD225" s="43"/>
      <c r="AE225" s="43"/>
      <c r="AF225" s="43"/>
      <c r="AG225" s="45"/>
      <c r="AH225" s="1"/>
      <c r="AI225" s="1"/>
      <c r="AJ225" s="1"/>
    </row>
    <row r="226" spans="1:36">
      <c r="A226" s="36" t="s">
        <v>1740</v>
      </c>
      <c r="B226" s="36" t="s">
        <v>2732</v>
      </c>
      <c r="C226" s="36" t="s">
        <v>2748</v>
      </c>
      <c r="D226" s="36" t="s">
        <v>2749</v>
      </c>
      <c r="E226" s="38" t="s">
        <v>2750</v>
      </c>
      <c r="F226" s="36"/>
      <c r="G226" s="36" t="s">
        <v>2735</v>
      </c>
      <c r="H226" s="36" t="s">
        <v>2736</v>
      </c>
      <c r="I226" s="40" t="s">
        <v>130</v>
      </c>
      <c r="J226" s="36" t="s">
        <v>94</v>
      </c>
      <c r="K226" s="36" t="s">
        <v>94</v>
      </c>
      <c r="L226" s="36" t="s">
        <v>2099</v>
      </c>
      <c r="M226" s="36"/>
      <c r="N226" s="36"/>
      <c r="O226" s="36" t="s">
        <v>2732</v>
      </c>
      <c r="P226" s="36"/>
      <c r="Q226" s="36" t="s">
        <v>2732</v>
      </c>
      <c r="R226" s="36" t="s">
        <v>164</v>
      </c>
      <c r="S226" s="42" t="s">
        <v>5132</v>
      </c>
      <c r="T226" s="43" t="s">
        <v>2752</v>
      </c>
      <c r="U226" s="44" t="s">
        <v>2741</v>
      </c>
      <c r="V226" s="43" t="s">
        <v>130</v>
      </c>
      <c r="W226" s="43" t="s">
        <v>130</v>
      </c>
      <c r="X226" s="43" t="s">
        <v>130</v>
      </c>
      <c r="Y226" s="43" t="s">
        <v>130</v>
      </c>
      <c r="Z226" s="43" t="s">
        <v>130</v>
      </c>
      <c r="AA226" s="43" t="s">
        <v>130</v>
      </c>
      <c r="AB226" s="43" t="s">
        <v>130</v>
      </c>
      <c r="AC226" s="43"/>
      <c r="AD226" s="43"/>
      <c r="AE226" s="43"/>
      <c r="AF226" s="43"/>
      <c r="AG226" s="45"/>
      <c r="AH226" s="1"/>
      <c r="AI226" s="1"/>
      <c r="AJ226" s="1"/>
    </row>
    <row r="227" spans="1:36">
      <c r="A227" s="36" t="s">
        <v>1740</v>
      </c>
      <c r="B227" s="36" t="s">
        <v>2732</v>
      </c>
      <c r="C227" s="36" t="s">
        <v>2753</v>
      </c>
      <c r="D227" s="36" t="s">
        <v>2754</v>
      </c>
      <c r="E227" s="38" t="s">
        <v>2755</v>
      </c>
      <c r="F227" s="36"/>
      <c r="G227" s="36" t="s">
        <v>2735</v>
      </c>
      <c r="H227" s="36" t="s">
        <v>2736</v>
      </c>
      <c r="I227" s="40"/>
      <c r="J227" s="36" t="s">
        <v>94</v>
      </c>
      <c r="K227" s="36" t="s">
        <v>94</v>
      </c>
      <c r="L227" s="36" t="s">
        <v>2099</v>
      </c>
      <c r="M227" s="36" t="s">
        <v>2756</v>
      </c>
      <c r="N227" s="36" t="s">
        <v>2758</v>
      </c>
      <c r="O227" s="36" t="s">
        <v>2732</v>
      </c>
      <c r="P227" s="36" t="s">
        <v>2756</v>
      </c>
      <c r="Q227" s="36" t="s">
        <v>2760</v>
      </c>
      <c r="R227" s="36" t="s">
        <v>2708</v>
      </c>
      <c r="S227" s="42" t="s">
        <v>5079</v>
      </c>
      <c r="T227" s="43" t="s">
        <v>2761</v>
      </c>
      <c r="U227" s="44" t="s">
        <v>2741</v>
      </c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5"/>
      <c r="AH227" s="1"/>
      <c r="AI227" s="1"/>
      <c r="AJ227" s="1"/>
    </row>
    <row r="228" spans="1:36">
      <c r="A228" s="36" t="s">
        <v>1740</v>
      </c>
      <c r="B228" s="36" t="s">
        <v>2732</v>
      </c>
      <c r="C228" s="36" t="s">
        <v>2762</v>
      </c>
      <c r="D228" s="36" t="s">
        <v>2763</v>
      </c>
      <c r="E228" s="38" t="s">
        <v>2764</v>
      </c>
      <c r="F228" s="36" t="s">
        <v>130</v>
      </c>
      <c r="G228" s="36" t="s">
        <v>2735</v>
      </c>
      <c r="H228" s="36" t="s">
        <v>2736</v>
      </c>
      <c r="I228" s="40"/>
      <c r="J228" s="36" t="s">
        <v>230</v>
      </c>
      <c r="K228" s="36" t="s">
        <v>94</v>
      </c>
      <c r="L228" s="36" t="s">
        <v>2099</v>
      </c>
      <c r="M228" s="36" t="s">
        <v>2765</v>
      </c>
      <c r="N228" s="36" t="s">
        <v>2766</v>
      </c>
      <c r="O228" s="36" t="s">
        <v>2732</v>
      </c>
      <c r="P228" s="36" t="s">
        <v>2765</v>
      </c>
      <c r="Q228" s="36" t="s">
        <v>2767</v>
      </c>
      <c r="R228" s="36" t="s">
        <v>2768</v>
      </c>
      <c r="S228" s="42" t="s">
        <v>5106</v>
      </c>
      <c r="T228" s="43" t="s">
        <v>2770</v>
      </c>
      <c r="U228" s="44" t="s">
        <v>2741</v>
      </c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5"/>
      <c r="AH228" s="1"/>
      <c r="AI228" s="1"/>
      <c r="AJ228" s="1"/>
    </row>
    <row r="229" spans="1:36">
      <c r="A229" s="36" t="s">
        <v>1740</v>
      </c>
      <c r="B229" s="36" t="s">
        <v>2732</v>
      </c>
      <c r="C229" s="36" t="s">
        <v>2772</v>
      </c>
      <c r="D229" s="36" t="s">
        <v>2773</v>
      </c>
      <c r="E229" s="38" t="s">
        <v>2774</v>
      </c>
      <c r="F229" s="36"/>
      <c r="G229" s="36" t="s">
        <v>2735</v>
      </c>
      <c r="H229" s="36" t="s">
        <v>2736</v>
      </c>
      <c r="I229" s="40"/>
      <c r="J229" s="36" t="s">
        <v>230</v>
      </c>
      <c r="K229" s="36" t="s">
        <v>94</v>
      </c>
      <c r="L229" s="36" t="s">
        <v>2099</v>
      </c>
      <c r="M229" s="36" t="s">
        <v>2775</v>
      </c>
      <c r="N229" s="36" t="s">
        <v>2776</v>
      </c>
      <c r="O229" s="36" t="s">
        <v>2732</v>
      </c>
      <c r="P229" s="36" t="s">
        <v>2775</v>
      </c>
      <c r="Q229" s="36" t="s">
        <v>2777</v>
      </c>
      <c r="R229" s="36" t="s">
        <v>2778</v>
      </c>
      <c r="S229" s="42" t="s">
        <v>5070</v>
      </c>
      <c r="T229" s="43" t="s">
        <v>2779</v>
      </c>
      <c r="U229" s="44" t="s">
        <v>2741</v>
      </c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5"/>
      <c r="AH229" s="1"/>
      <c r="AI229" s="1"/>
      <c r="AJ229" s="1"/>
    </row>
    <row r="230" spans="1:36">
      <c r="A230" s="36" t="s">
        <v>1740</v>
      </c>
      <c r="B230" s="36" t="s">
        <v>2732</v>
      </c>
      <c r="C230" s="36" t="s">
        <v>2782</v>
      </c>
      <c r="D230" s="36" t="s">
        <v>2783</v>
      </c>
      <c r="E230" s="38" t="s">
        <v>2784</v>
      </c>
      <c r="F230" s="36"/>
      <c r="G230" s="36" t="s">
        <v>2735</v>
      </c>
      <c r="H230" s="36" t="s">
        <v>2736</v>
      </c>
      <c r="I230" s="40" t="s">
        <v>130</v>
      </c>
      <c r="J230" s="36" t="s">
        <v>94</v>
      </c>
      <c r="K230" s="36" t="s">
        <v>94</v>
      </c>
      <c r="L230" s="36" t="s">
        <v>2099</v>
      </c>
      <c r="M230" s="36"/>
      <c r="N230" s="36" t="s">
        <v>2785</v>
      </c>
      <c r="O230" s="36" t="s">
        <v>2732</v>
      </c>
      <c r="P230" s="36" t="s">
        <v>2786</v>
      </c>
      <c r="Q230" s="36" t="s">
        <v>2787</v>
      </c>
      <c r="R230" s="36" t="s">
        <v>164</v>
      </c>
      <c r="S230" s="42" t="s">
        <v>5080</v>
      </c>
      <c r="T230" s="43" t="s">
        <v>2786</v>
      </c>
      <c r="U230" s="44" t="s">
        <v>2741</v>
      </c>
      <c r="V230" s="43" t="s">
        <v>130</v>
      </c>
      <c r="W230" s="43" t="s">
        <v>130</v>
      </c>
      <c r="X230" s="43" t="s">
        <v>130</v>
      </c>
      <c r="Y230" s="43" t="s">
        <v>130</v>
      </c>
      <c r="Z230" s="43" t="s">
        <v>130</v>
      </c>
      <c r="AA230" s="43" t="s">
        <v>130</v>
      </c>
      <c r="AB230" s="43" t="s">
        <v>130</v>
      </c>
      <c r="AC230" s="43"/>
      <c r="AD230" s="43"/>
      <c r="AE230" s="43"/>
      <c r="AF230" s="43"/>
      <c r="AG230" s="45"/>
      <c r="AH230" s="1"/>
      <c r="AI230" s="1"/>
      <c r="AJ230" s="1"/>
    </row>
    <row r="231" spans="1:36">
      <c r="A231" s="36" t="s">
        <v>1740</v>
      </c>
      <c r="B231" s="36" t="s">
        <v>2732</v>
      </c>
      <c r="C231" s="36" t="s">
        <v>2788</v>
      </c>
      <c r="D231" s="36" t="s">
        <v>2789</v>
      </c>
      <c r="E231" s="38" t="s">
        <v>2790</v>
      </c>
      <c r="F231" s="36"/>
      <c r="G231" s="36" t="s">
        <v>2791</v>
      </c>
      <c r="H231" s="36" t="s">
        <v>2792</v>
      </c>
      <c r="I231" s="40" t="s">
        <v>130</v>
      </c>
      <c r="J231" s="36" t="s">
        <v>94</v>
      </c>
      <c r="K231" s="36" t="s">
        <v>94</v>
      </c>
      <c r="L231" s="36" t="s">
        <v>2099</v>
      </c>
      <c r="M231" s="36"/>
      <c r="N231" s="36" t="s">
        <v>2793</v>
      </c>
      <c r="O231" s="36" t="s">
        <v>2732</v>
      </c>
      <c r="P231" s="36" t="s">
        <v>2794</v>
      </c>
      <c r="Q231" s="36" t="s">
        <v>2795</v>
      </c>
      <c r="R231" s="36" t="s">
        <v>164</v>
      </c>
      <c r="S231" s="42" t="s">
        <v>5076</v>
      </c>
      <c r="T231" s="43" t="s">
        <v>2794</v>
      </c>
      <c r="U231" s="44" t="s">
        <v>2796</v>
      </c>
      <c r="V231" s="43" t="s">
        <v>130</v>
      </c>
      <c r="W231" s="43" t="s">
        <v>130</v>
      </c>
      <c r="X231" s="43" t="s">
        <v>130</v>
      </c>
      <c r="Y231" s="43" t="s">
        <v>130</v>
      </c>
      <c r="Z231" s="43" t="s">
        <v>130</v>
      </c>
      <c r="AA231" s="43" t="s">
        <v>130</v>
      </c>
      <c r="AB231" s="43" t="s">
        <v>130</v>
      </c>
      <c r="AC231" s="43"/>
      <c r="AD231" s="43"/>
      <c r="AE231" s="43"/>
      <c r="AF231" s="43"/>
      <c r="AG231" s="45"/>
      <c r="AH231" s="1"/>
      <c r="AI231" s="1"/>
      <c r="AJ231" s="1"/>
    </row>
    <row r="232" spans="1:36">
      <c r="A232" s="36" t="s">
        <v>1740</v>
      </c>
      <c r="B232" s="36" t="s">
        <v>2732</v>
      </c>
      <c r="C232" s="36" t="s">
        <v>2798</v>
      </c>
      <c r="D232" s="36" t="s">
        <v>2799</v>
      </c>
      <c r="E232" s="38" t="s">
        <v>2800</v>
      </c>
      <c r="F232" s="36"/>
      <c r="G232" s="36" t="s">
        <v>2791</v>
      </c>
      <c r="H232" s="36" t="s">
        <v>2792</v>
      </c>
      <c r="I232" s="40" t="s">
        <v>130</v>
      </c>
      <c r="J232" s="36" t="s">
        <v>94</v>
      </c>
      <c r="K232" s="36" t="s">
        <v>94</v>
      </c>
      <c r="L232" s="36" t="s">
        <v>2099</v>
      </c>
      <c r="M232" s="36"/>
      <c r="N232" s="36"/>
      <c r="O232" s="36" t="s">
        <v>2732</v>
      </c>
      <c r="P232" s="36" t="s">
        <v>2801</v>
      </c>
      <c r="Q232" s="36" t="s">
        <v>2802</v>
      </c>
      <c r="R232" s="36" t="s">
        <v>164</v>
      </c>
      <c r="S232" s="42" t="s">
        <v>5105</v>
      </c>
      <c r="T232" s="43" t="s">
        <v>2801</v>
      </c>
      <c r="U232" s="44" t="s">
        <v>2796</v>
      </c>
      <c r="V232" s="43" t="s">
        <v>130</v>
      </c>
      <c r="W232" s="43" t="s">
        <v>130</v>
      </c>
      <c r="X232" s="43" t="s">
        <v>130</v>
      </c>
      <c r="Y232" s="43" t="s">
        <v>130</v>
      </c>
      <c r="Z232" s="43" t="s">
        <v>130</v>
      </c>
      <c r="AA232" s="43" t="s">
        <v>130</v>
      </c>
      <c r="AB232" s="43" t="s">
        <v>130</v>
      </c>
      <c r="AC232" s="43"/>
      <c r="AD232" s="43"/>
      <c r="AE232" s="43"/>
      <c r="AF232" s="43"/>
      <c r="AG232" s="45"/>
      <c r="AH232" s="1"/>
      <c r="AI232" s="1"/>
      <c r="AJ232" s="1"/>
    </row>
    <row r="233" spans="1:36">
      <c r="A233" s="36" t="s">
        <v>1740</v>
      </c>
      <c r="B233" s="36" t="s">
        <v>2732</v>
      </c>
      <c r="C233" s="36" t="s">
        <v>2803</v>
      </c>
      <c r="D233" s="36" t="s">
        <v>2804</v>
      </c>
      <c r="E233" s="38" t="s">
        <v>2805</v>
      </c>
      <c r="F233" s="36"/>
      <c r="G233" s="36" t="s">
        <v>2791</v>
      </c>
      <c r="H233" s="36" t="s">
        <v>2792</v>
      </c>
      <c r="I233" s="40" t="s">
        <v>130</v>
      </c>
      <c r="J233" s="36" t="s">
        <v>94</v>
      </c>
      <c r="K233" s="36" t="s">
        <v>94</v>
      </c>
      <c r="L233" s="36" t="s">
        <v>2099</v>
      </c>
      <c r="M233" s="36"/>
      <c r="N233" s="36"/>
      <c r="O233" s="36" t="s">
        <v>2732</v>
      </c>
      <c r="P233" s="36" t="s">
        <v>2806</v>
      </c>
      <c r="Q233" s="36" t="s">
        <v>2807</v>
      </c>
      <c r="R233" s="36" t="s">
        <v>164</v>
      </c>
      <c r="S233" s="42" t="s">
        <v>5084</v>
      </c>
      <c r="T233" s="43" t="s">
        <v>2806</v>
      </c>
      <c r="U233" s="44" t="s">
        <v>2796</v>
      </c>
      <c r="V233" s="43" t="s">
        <v>130</v>
      </c>
      <c r="W233" s="43" t="s">
        <v>130</v>
      </c>
      <c r="X233" s="43" t="s">
        <v>130</v>
      </c>
      <c r="Y233" s="43" t="s">
        <v>130</v>
      </c>
      <c r="Z233" s="43" t="s">
        <v>130</v>
      </c>
      <c r="AA233" s="43" t="s">
        <v>130</v>
      </c>
      <c r="AB233" s="43" t="s">
        <v>130</v>
      </c>
      <c r="AC233" s="43"/>
      <c r="AD233" s="43"/>
      <c r="AE233" s="43"/>
      <c r="AF233" s="43"/>
      <c r="AG233" s="45"/>
      <c r="AH233" s="1"/>
      <c r="AI233" s="1"/>
      <c r="AJ233" s="1"/>
    </row>
    <row r="234" spans="1:36">
      <c r="A234" s="36" t="s">
        <v>1740</v>
      </c>
      <c r="B234" s="36" t="s">
        <v>2732</v>
      </c>
      <c r="C234" s="36" t="s">
        <v>2809</v>
      </c>
      <c r="D234" s="36" t="s">
        <v>2810</v>
      </c>
      <c r="E234" s="38" t="s">
        <v>2811</v>
      </c>
      <c r="F234" s="36" t="s">
        <v>130</v>
      </c>
      <c r="G234" s="36" t="s">
        <v>2791</v>
      </c>
      <c r="H234" s="36" t="s">
        <v>2792</v>
      </c>
      <c r="I234" s="40" t="s">
        <v>130</v>
      </c>
      <c r="J234" s="36" t="s">
        <v>94</v>
      </c>
      <c r="K234" s="36" t="s">
        <v>94</v>
      </c>
      <c r="L234" s="36" t="s">
        <v>2099</v>
      </c>
      <c r="M234" s="36" t="s">
        <v>2812</v>
      </c>
      <c r="N234" s="36" t="s">
        <v>2813</v>
      </c>
      <c r="O234" s="36" t="s">
        <v>2732</v>
      </c>
      <c r="P234" s="36" t="s">
        <v>2812</v>
      </c>
      <c r="Q234" s="36" t="s">
        <v>2814</v>
      </c>
      <c r="R234" s="36" t="s">
        <v>164</v>
      </c>
      <c r="S234" s="42" t="s">
        <v>5081</v>
      </c>
      <c r="T234" s="43" t="s">
        <v>2815</v>
      </c>
      <c r="U234" s="44" t="s">
        <v>2741</v>
      </c>
      <c r="V234" s="43" t="s">
        <v>130</v>
      </c>
      <c r="W234" s="43" t="s">
        <v>130</v>
      </c>
      <c r="X234" s="43" t="s">
        <v>130</v>
      </c>
      <c r="Y234" s="43" t="s">
        <v>130</v>
      </c>
      <c r="Z234" s="43" t="s">
        <v>130</v>
      </c>
      <c r="AA234" s="43" t="s">
        <v>130</v>
      </c>
      <c r="AB234" s="43" t="s">
        <v>130</v>
      </c>
      <c r="AC234" s="43"/>
      <c r="AD234" s="43"/>
      <c r="AE234" s="43"/>
      <c r="AF234" s="43"/>
      <c r="AG234" s="45"/>
      <c r="AH234" s="1"/>
      <c r="AI234" s="1"/>
      <c r="AJ234" s="1"/>
    </row>
    <row r="235" spans="1:36">
      <c r="A235" s="36" t="s">
        <v>1740</v>
      </c>
      <c r="B235" s="36" t="s">
        <v>2732</v>
      </c>
      <c r="C235" s="36" t="s">
        <v>2816</v>
      </c>
      <c r="D235" s="57" t="s">
        <v>2817</v>
      </c>
      <c r="E235" s="38" t="s">
        <v>2819</v>
      </c>
      <c r="F235" s="36"/>
      <c r="G235" s="36" t="s">
        <v>2791</v>
      </c>
      <c r="H235" s="36" t="s">
        <v>2792</v>
      </c>
      <c r="I235" s="40" t="s">
        <v>130</v>
      </c>
      <c r="J235" s="36" t="s">
        <v>94</v>
      </c>
      <c r="K235" s="36" t="s">
        <v>94</v>
      </c>
      <c r="L235" s="36" t="s">
        <v>2099</v>
      </c>
      <c r="M235" s="36" t="s">
        <v>2820</v>
      </c>
      <c r="N235" s="36" t="s">
        <v>2821</v>
      </c>
      <c r="O235" s="36" t="s">
        <v>2732</v>
      </c>
      <c r="P235" s="36" t="s">
        <v>2820</v>
      </c>
      <c r="Q235" s="36" t="s">
        <v>2822</v>
      </c>
      <c r="R235" s="36" t="s">
        <v>164</v>
      </c>
      <c r="S235" s="42" t="s">
        <v>5082</v>
      </c>
      <c r="T235" s="43" t="s">
        <v>2823</v>
      </c>
      <c r="U235" s="44" t="s">
        <v>2796</v>
      </c>
      <c r="V235" s="43" t="s">
        <v>130</v>
      </c>
      <c r="W235" s="43" t="s">
        <v>130</v>
      </c>
      <c r="X235" s="43" t="s">
        <v>130</v>
      </c>
      <c r="Y235" s="43" t="s">
        <v>130</v>
      </c>
      <c r="Z235" s="43" t="s">
        <v>130</v>
      </c>
      <c r="AA235" s="43" t="s">
        <v>130</v>
      </c>
      <c r="AB235" s="43" t="s">
        <v>130</v>
      </c>
      <c r="AC235" s="43"/>
      <c r="AD235" s="43"/>
      <c r="AE235" s="43"/>
      <c r="AF235" s="43"/>
      <c r="AG235" s="45"/>
      <c r="AH235" s="1"/>
      <c r="AI235" s="1"/>
      <c r="AJ235" s="1"/>
    </row>
    <row r="236" spans="1:36">
      <c r="A236" s="36" t="s">
        <v>1740</v>
      </c>
      <c r="B236" s="36" t="s">
        <v>2732</v>
      </c>
      <c r="C236" s="36" t="s">
        <v>2824</v>
      </c>
      <c r="D236" s="57" t="s">
        <v>2825</v>
      </c>
      <c r="E236" s="38" t="s">
        <v>2826</v>
      </c>
      <c r="F236" s="36"/>
      <c r="G236" s="36" t="s">
        <v>2791</v>
      </c>
      <c r="H236" s="36" t="s">
        <v>2792</v>
      </c>
      <c r="I236" s="40" t="s">
        <v>130</v>
      </c>
      <c r="J236" s="36" t="s">
        <v>94</v>
      </c>
      <c r="K236" s="36" t="s">
        <v>94</v>
      </c>
      <c r="L236" s="36" t="s">
        <v>2099</v>
      </c>
      <c r="M236" s="36" t="s">
        <v>2827</v>
      </c>
      <c r="N236" s="36" t="s">
        <v>2828</v>
      </c>
      <c r="O236" s="36" t="s">
        <v>2732</v>
      </c>
      <c r="P236" s="36" t="s">
        <v>2827</v>
      </c>
      <c r="Q236" s="36" t="s">
        <v>2830</v>
      </c>
      <c r="R236" s="36" t="s">
        <v>164</v>
      </c>
      <c r="S236" s="42" t="s">
        <v>5071</v>
      </c>
      <c r="T236" s="43" t="s">
        <v>2832</v>
      </c>
      <c r="U236" s="44" t="s">
        <v>2741</v>
      </c>
      <c r="V236" s="43" t="s">
        <v>130</v>
      </c>
      <c r="W236" s="43" t="s">
        <v>130</v>
      </c>
      <c r="X236" s="43" t="s">
        <v>130</v>
      </c>
      <c r="Y236" s="43" t="s">
        <v>130</v>
      </c>
      <c r="Z236" s="43" t="s">
        <v>130</v>
      </c>
      <c r="AA236" s="43" t="s">
        <v>130</v>
      </c>
      <c r="AB236" s="43" t="s">
        <v>130</v>
      </c>
      <c r="AC236" s="43"/>
      <c r="AD236" s="43"/>
      <c r="AE236" s="43"/>
      <c r="AF236" s="43"/>
      <c r="AG236" s="45"/>
      <c r="AH236" s="1"/>
      <c r="AI236" s="1"/>
      <c r="AJ236" s="1"/>
    </row>
    <row r="237" spans="1:36">
      <c r="A237" s="36" t="s">
        <v>1740</v>
      </c>
      <c r="B237" s="36" t="s">
        <v>2732</v>
      </c>
      <c r="C237" s="36" t="s">
        <v>2833</v>
      </c>
      <c r="D237" s="36" t="s">
        <v>2834</v>
      </c>
      <c r="E237" s="38" t="s">
        <v>2835</v>
      </c>
      <c r="F237" s="36"/>
      <c r="G237" s="36" t="s">
        <v>2791</v>
      </c>
      <c r="H237" s="36" t="s">
        <v>2792</v>
      </c>
      <c r="I237" s="40"/>
      <c r="J237" s="36" t="s">
        <v>230</v>
      </c>
      <c r="K237" s="36" t="s">
        <v>94</v>
      </c>
      <c r="L237" s="36" t="s">
        <v>2099</v>
      </c>
      <c r="M237" s="36" t="s">
        <v>2836</v>
      </c>
      <c r="N237" s="36" t="s">
        <v>2837</v>
      </c>
      <c r="O237" s="36" t="s">
        <v>2732</v>
      </c>
      <c r="P237" s="36" t="s">
        <v>2836</v>
      </c>
      <c r="Q237" s="36" t="s">
        <v>2838</v>
      </c>
      <c r="R237" s="36" t="s">
        <v>2839</v>
      </c>
      <c r="S237" s="42" t="s">
        <v>5083</v>
      </c>
      <c r="T237" s="43" t="s">
        <v>2841</v>
      </c>
      <c r="U237" s="44" t="s">
        <v>1970</v>
      </c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5"/>
      <c r="AH237" s="1"/>
      <c r="AI237" s="1"/>
      <c r="AJ237" s="1"/>
    </row>
    <row r="238" spans="1:36">
      <c r="A238" s="36" t="s">
        <v>2094</v>
      </c>
      <c r="B238" s="36" t="s">
        <v>2842</v>
      </c>
      <c r="C238" s="36" t="s">
        <v>2843</v>
      </c>
      <c r="D238" s="36" t="s">
        <v>2844</v>
      </c>
      <c r="E238" s="38" t="s">
        <v>2845</v>
      </c>
      <c r="F238" s="36"/>
      <c r="G238" s="36" t="s">
        <v>2846</v>
      </c>
      <c r="H238" s="36" t="s">
        <v>2847</v>
      </c>
      <c r="I238" s="40" t="s">
        <v>130</v>
      </c>
      <c r="J238" s="36" t="s">
        <v>94</v>
      </c>
      <c r="K238" s="36" t="s">
        <v>94</v>
      </c>
      <c r="L238" s="36" t="s">
        <v>2099</v>
      </c>
      <c r="M238" s="36">
        <v>1060</v>
      </c>
      <c r="N238" s="36" t="s">
        <v>2848</v>
      </c>
      <c r="O238" s="36" t="s">
        <v>2842</v>
      </c>
      <c r="P238" s="36">
        <v>1060</v>
      </c>
      <c r="Q238" s="36" t="s">
        <v>2849</v>
      </c>
      <c r="R238" s="36" t="s">
        <v>551</v>
      </c>
      <c r="S238" s="42" t="s">
        <v>5105</v>
      </c>
      <c r="T238" s="43">
        <v>1066</v>
      </c>
      <c r="U238" s="44" t="s">
        <v>2850</v>
      </c>
      <c r="V238" s="43" t="s">
        <v>130</v>
      </c>
      <c r="W238" s="43" t="s">
        <v>130</v>
      </c>
      <c r="X238" s="43" t="s">
        <v>130</v>
      </c>
      <c r="Y238" s="43" t="s">
        <v>130</v>
      </c>
      <c r="Z238" s="43" t="s">
        <v>130</v>
      </c>
      <c r="AA238" s="43" t="s">
        <v>130</v>
      </c>
      <c r="AB238" s="43" t="s">
        <v>130</v>
      </c>
      <c r="AC238" s="43"/>
      <c r="AD238" s="43"/>
      <c r="AE238" s="43"/>
      <c r="AF238" s="43"/>
      <c r="AG238" s="45"/>
      <c r="AH238" s="1"/>
      <c r="AI238" s="1"/>
      <c r="AJ238" s="1"/>
    </row>
    <row r="239" spans="1:36">
      <c r="A239" s="36" t="s">
        <v>2094</v>
      </c>
      <c r="B239" s="36" t="s">
        <v>2842</v>
      </c>
      <c r="C239" s="36" t="s">
        <v>2852</v>
      </c>
      <c r="D239" s="57" t="s">
        <v>2853</v>
      </c>
      <c r="E239" s="38" t="s">
        <v>2854</v>
      </c>
      <c r="F239" s="36"/>
      <c r="G239" s="36" t="s">
        <v>2846</v>
      </c>
      <c r="H239" s="36" t="s">
        <v>2847</v>
      </c>
      <c r="I239" s="40"/>
      <c r="J239" s="36" t="s">
        <v>230</v>
      </c>
      <c r="K239" s="36" t="s">
        <v>94</v>
      </c>
      <c r="L239" s="36" t="s">
        <v>2099</v>
      </c>
      <c r="M239" s="36">
        <v>3050</v>
      </c>
      <c r="N239" s="36" t="s">
        <v>2855</v>
      </c>
      <c r="O239" s="36" t="s">
        <v>2856</v>
      </c>
      <c r="P239" s="36">
        <v>3050</v>
      </c>
      <c r="Q239" s="36" t="s">
        <v>2857</v>
      </c>
      <c r="R239" s="36" t="s">
        <v>2858</v>
      </c>
      <c r="S239" s="42" t="s">
        <v>5084</v>
      </c>
      <c r="T239" s="43">
        <v>3051</v>
      </c>
      <c r="U239" s="44" t="s">
        <v>2126</v>
      </c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5"/>
      <c r="AH239" s="1"/>
      <c r="AI239" s="1"/>
      <c r="AJ239" s="1"/>
    </row>
    <row r="240" spans="1:36">
      <c r="A240" s="36" t="s">
        <v>2094</v>
      </c>
      <c r="B240" s="36" t="s">
        <v>2842</v>
      </c>
      <c r="C240" s="36" t="s">
        <v>2859</v>
      </c>
      <c r="D240" s="36" t="s">
        <v>2861</v>
      </c>
      <c r="E240" s="38" t="s">
        <v>2862</v>
      </c>
      <c r="F240" s="36"/>
      <c r="G240" s="36" t="s">
        <v>2846</v>
      </c>
      <c r="H240" s="36" t="s">
        <v>2847</v>
      </c>
      <c r="I240" s="40" t="s">
        <v>130</v>
      </c>
      <c r="J240" s="36" t="s">
        <v>94</v>
      </c>
      <c r="K240" s="36" t="s">
        <v>94</v>
      </c>
      <c r="L240" s="36" t="s">
        <v>2099</v>
      </c>
      <c r="M240" s="36">
        <v>2010</v>
      </c>
      <c r="N240" s="36" t="s">
        <v>2863</v>
      </c>
      <c r="O240" s="36" t="s">
        <v>2842</v>
      </c>
      <c r="P240" s="36">
        <v>2010</v>
      </c>
      <c r="Q240" s="36" t="s">
        <v>2864</v>
      </c>
      <c r="R240" s="36" t="s">
        <v>551</v>
      </c>
      <c r="S240" s="42" t="s">
        <v>5069</v>
      </c>
      <c r="T240" s="43">
        <v>2019</v>
      </c>
      <c r="U240" s="44" t="s">
        <v>2865</v>
      </c>
      <c r="V240" s="43" t="s">
        <v>130</v>
      </c>
      <c r="W240" s="43" t="s">
        <v>130</v>
      </c>
      <c r="X240" s="43" t="s">
        <v>130</v>
      </c>
      <c r="Y240" s="43" t="s">
        <v>130</v>
      </c>
      <c r="Z240" s="43" t="s">
        <v>130</v>
      </c>
      <c r="AA240" s="43" t="s">
        <v>130</v>
      </c>
      <c r="AB240" s="43" t="s">
        <v>130</v>
      </c>
      <c r="AC240" s="43"/>
      <c r="AD240" s="43"/>
      <c r="AE240" s="43"/>
      <c r="AF240" s="43"/>
      <c r="AG240" s="45"/>
      <c r="AH240" s="1"/>
      <c r="AI240" s="1"/>
      <c r="AJ240" s="1"/>
    </row>
    <row r="241" spans="1:36">
      <c r="A241" s="36" t="s">
        <v>2094</v>
      </c>
      <c r="B241" s="36" t="s">
        <v>2842</v>
      </c>
      <c r="C241" s="36" t="s">
        <v>2866</v>
      </c>
      <c r="D241" s="36" t="s">
        <v>2867</v>
      </c>
      <c r="E241" s="38" t="s">
        <v>2868</v>
      </c>
      <c r="F241" s="36"/>
      <c r="G241" s="36" t="s">
        <v>2846</v>
      </c>
      <c r="H241" s="36" t="s">
        <v>2847</v>
      </c>
      <c r="I241" s="40" t="s">
        <v>130</v>
      </c>
      <c r="J241" s="36" t="s">
        <v>94</v>
      </c>
      <c r="K241" s="36" t="s">
        <v>94</v>
      </c>
      <c r="L241" s="36" t="s">
        <v>2099</v>
      </c>
      <c r="M241" s="36">
        <v>4030</v>
      </c>
      <c r="N241" s="36" t="s">
        <v>2870</v>
      </c>
      <c r="O241" s="36" t="s">
        <v>2842</v>
      </c>
      <c r="P241" s="36">
        <v>4030</v>
      </c>
      <c r="Q241" s="36" t="s">
        <v>2871</v>
      </c>
      <c r="R241" s="36" t="s">
        <v>551</v>
      </c>
      <c r="S241" s="42" t="s">
        <v>5077</v>
      </c>
      <c r="T241" s="43">
        <v>4031</v>
      </c>
      <c r="U241" s="44" t="s">
        <v>2865</v>
      </c>
      <c r="V241" s="43" t="s">
        <v>130</v>
      </c>
      <c r="W241" s="43" t="s">
        <v>130</v>
      </c>
      <c r="X241" s="43" t="s">
        <v>130</v>
      </c>
      <c r="Y241" s="43" t="s">
        <v>130</v>
      </c>
      <c r="Z241" s="43" t="s">
        <v>130</v>
      </c>
      <c r="AA241" s="43" t="s">
        <v>130</v>
      </c>
      <c r="AB241" s="43" t="s">
        <v>130</v>
      </c>
      <c r="AC241" s="43"/>
      <c r="AD241" s="43"/>
      <c r="AE241" s="43"/>
      <c r="AF241" s="43"/>
      <c r="AG241" s="45"/>
      <c r="AH241" s="1"/>
      <c r="AI241" s="1"/>
      <c r="AJ241" s="1"/>
    </row>
    <row r="242" spans="1:36">
      <c r="A242" s="36" t="s">
        <v>2094</v>
      </c>
      <c r="B242" s="36" t="s">
        <v>2842</v>
      </c>
      <c r="C242" s="36" t="s">
        <v>2872</v>
      </c>
      <c r="D242" s="36" t="s">
        <v>2873</v>
      </c>
      <c r="E242" s="38" t="s">
        <v>2874</v>
      </c>
      <c r="F242" s="36"/>
      <c r="G242" s="36" t="s">
        <v>2846</v>
      </c>
      <c r="H242" s="36" t="s">
        <v>2847</v>
      </c>
      <c r="I242" s="40"/>
      <c r="J242" s="36" t="s">
        <v>94</v>
      </c>
      <c r="K242" s="36" t="s">
        <v>94</v>
      </c>
      <c r="L242" s="36" t="s">
        <v>2099</v>
      </c>
      <c r="M242" s="36">
        <v>4050</v>
      </c>
      <c r="N242" s="36" t="s">
        <v>2875</v>
      </c>
      <c r="O242" s="36" t="s">
        <v>2842</v>
      </c>
      <c r="P242" s="36">
        <v>4050</v>
      </c>
      <c r="Q242" s="36" t="s">
        <v>2876</v>
      </c>
      <c r="R242" s="36" t="s">
        <v>2877</v>
      </c>
      <c r="S242" s="42" t="s">
        <v>5070</v>
      </c>
      <c r="T242" s="43">
        <v>4051</v>
      </c>
      <c r="U242" s="44" t="s">
        <v>2850</v>
      </c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5"/>
      <c r="AH242" s="1"/>
      <c r="AI242" s="1"/>
      <c r="AJ242" s="1"/>
    </row>
    <row r="243" spans="1:36">
      <c r="A243" s="36" t="s">
        <v>2094</v>
      </c>
      <c r="B243" s="36" t="s">
        <v>2842</v>
      </c>
      <c r="C243" s="36" t="s">
        <v>2878</v>
      </c>
      <c r="D243" s="36" t="s">
        <v>2879</v>
      </c>
      <c r="E243" s="38" t="s">
        <v>2880</v>
      </c>
      <c r="F243" s="36"/>
      <c r="G243" s="36" t="s">
        <v>2881</v>
      </c>
      <c r="H243" s="36" t="s">
        <v>2882</v>
      </c>
      <c r="I243" s="40" t="s">
        <v>130</v>
      </c>
      <c r="J243" s="36" t="s">
        <v>94</v>
      </c>
      <c r="K243" s="36" t="s">
        <v>94</v>
      </c>
      <c r="L243" s="36" t="s">
        <v>2099</v>
      </c>
      <c r="M243" s="36">
        <v>5010</v>
      </c>
      <c r="N243" s="36" t="s">
        <v>2883</v>
      </c>
      <c r="O243" s="36" t="s">
        <v>2842</v>
      </c>
      <c r="P243" s="36">
        <v>5010</v>
      </c>
      <c r="Q243" s="36" t="s">
        <v>2884</v>
      </c>
      <c r="R243" s="36" t="s">
        <v>164</v>
      </c>
      <c r="S243" s="42" t="s">
        <v>5133</v>
      </c>
      <c r="T243" s="43">
        <v>5110</v>
      </c>
      <c r="U243" s="44" t="s">
        <v>2885</v>
      </c>
      <c r="V243" s="43" t="s">
        <v>130</v>
      </c>
      <c r="W243" s="43"/>
      <c r="X243" s="43" t="s">
        <v>130</v>
      </c>
      <c r="Y243" s="43" t="s">
        <v>130</v>
      </c>
      <c r="Z243" s="43" t="s">
        <v>130</v>
      </c>
      <c r="AA243" s="43" t="s">
        <v>130</v>
      </c>
      <c r="AB243" s="43" t="s">
        <v>130</v>
      </c>
      <c r="AC243" s="43"/>
      <c r="AD243" s="43"/>
      <c r="AE243" s="43"/>
      <c r="AF243" s="43"/>
      <c r="AG243" s="45"/>
      <c r="AH243" s="1"/>
      <c r="AI243" s="1"/>
      <c r="AJ243" s="1"/>
    </row>
    <row r="244" spans="1:36">
      <c r="A244" s="36" t="s">
        <v>2094</v>
      </c>
      <c r="B244" s="36" t="s">
        <v>2842</v>
      </c>
      <c r="C244" s="36" t="s">
        <v>2886</v>
      </c>
      <c r="D244" s="61" t="s">
        <v>2887</v>
      </c>
      <c r="E244" s="38" t="s">
        <v>2888</v>
      </c>
      <c r="F244" s="36"/>
      <c r="G244" s="36" t="s">
        <v>2881</v>
      </c>
      <c r="H244" s="36" t="s">
        <v>2882</v>
      </c>
      <c r="I244" s="40" t="s">
        <v>130</v>
      </c>
      <c r="J244" s="36" t="s">
        <v>362</v>
      </c>
      <c r="K244" s="36" t="s">
        <v>94</v>
      </c>
      <c r="L244" s="36" t="s">
        <v>2099</v>
      </c>
      <c r="M244" s="36">
        <v>5020</v>
      </c>
      <c r="N244" s="36" t="s">
        <v>2890</v>
      </c>
      <c r="O244" s="36" t="s">
        <v>2842</v>
      </c>
      <c r="P244" s="36">
        <v>5020</v>
      </c>
      <c r="Q244" s="36" t="s">
        <v>2891</v>
      </c>
      <c r="R244" s="36" t="s">
        <v>2881</v>
      </c>
      <c r="S244" s="42" t="s">
        <v>5131</v>
      </c>
      <c r="T244" s="43">
        <v>5030</v>
      </c>
      <c r="U244" s="44" t="s">
        <v>2885</v>
      </c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5"/>
      <c r="AH244" s="1"/>
      <c r="AI244" s="1"/>
      <c r="AJ244" s="1"/>
    </row>
    <row r="245" spans="1:36">
      <c r="A245" s="36" t="s">
        <v>2094</v>
      </c>
      <c r="B245" s="36" t="s">
        <v>2842</v>
      </c>
      <c r="C245" s="36" t="s">
        <v>2892</v>
      </c>
      <c r="D245" s="36" t="s">
        <v>2893</v>
      </c>
      <c r="E245" s="38" t="s">
        <v>2878</v>
      </c>
      <c r="F245" s="36"/>
      <c r="G245" s="36" t="s">
        <v>2881</v>
      </c>
      <c r="H245" s="36" t="s">
        <v>2882</v>
      </c>
      <c r="I245" s="40" t="s">
        <v>130</v>
      </c>
      <c r="J245" s="36" t="s">
        <v>94</v>
      </c>
      <c r="K245" s="36" t="s">
        <v>94</v>
      </c>
      <c r="L245" s="36" t="s">
        <v>2099</v>
      </c>
      <c r="M245" s="36">
        <v>5040</v>
      </c>
      <c r="N245" s="36" t="s">
        <v>2894</v>
      </c>
      <c r="O245" s="36" t="s">
        <v>2842</v>
      </c>
      <c r="P245" s="36">
        <v>5040</v>
      </c>
      <c r="Q245" s="36" t="s">
        <v>2895</v>
      </c>
      <c r="R245" s="36" t="s">
        <v>164</v>
      </c>
      <c r="S245" s="42" t="s">
        <v>5080</v>
      </c>
      <c r="T245" s="43">
        <v>5041</v>
      </c>
      <c r="U245" s="44" t="s">
        <v>2885</v>
      </c>
      <c r="V245" s="43" t="s">
        <v>130</v>
      </c>
      <c r="W245" s="43" t="s">
        <v>130</v>
      </c>
      <c r="X245" s="43" t="s">
        <v>130</v>
      </c>
      <c r="Y245" s="43" t="s">
        <v>130</v>
      </c>
      <c r="Z245" s="43" t="s">
        <v>130</v>
      </c>
      <c r="AA245" s="43" t="s">
        <v>130</v>
      </c>
      <c r="AB245" s="43" t="s">
        <v>130</v>
      </c>
      <c r="AC245" s="43"/>
      <c r="AD245" s="43"/>
      <c r="AE245" s="43"/>
      <c r="AF245" s="43"/>
      <c r="AG245" s="45"/>
      <c r="AH245" s="1"/>
      <c r="AI245" s="1"/>
      <c r="AJ245" s="1"/>
    </row>
    <row r="246" spans="1:36">
      <c r="A246" s="36" t="s">
        <v>2094</v>
      </c>
      <c r="B246" s="36" t="s">
        <v>2842</v>
      </c>
      <c r="C246" s="36" t="s">
        <v>2896</v>
      </c>
      <c r="D246" s="57" t="s">
        <v>2897</v>
      </c>
      <c r="E246" s="38" t="s">
        <v>2898</v>
      </c>
      <c r="F246" s="36"/>
      <c r="G246" s="36" t="s">
        <v>2899</v>
      </c>
      <c r="H246" s="36" t="s">
        <v>2900</v>
      </c>
      <c r="I246" s="40"/>
      <c r="J246" s="36" t="s">
        <v>230</v>
      </c>
      <c r="K246" s="36" t="s">
        <v>94</v>
      </c>
      <c r="L246" s="36" t="s">
        <v>2099</v>
      </c>
      <c r="M246" s="36">
        <v>4001</v>
      </c>
      <c r="N246" s="36" t="s">
        <v>2901</v>
      </c>
      <c r="O246" s="36" t="s">
        <v>2095</v>
      </c>
      <c r="P246" s="36" t="s">
        <v>2902</v>
      </c>
      <c r="Q246" s="36" t="s">
        <v>2903</v>
      </c>
      <c r="R246" s="36" t="s">
        <v>2904</v>
      </c>
      <c r="S246" s="42" t="s">
        <v>5072</v>
      </c>
      <c r="T246" s="43">
        <v>4002</v>
      </c>
      <c r="U246" s="44" t="s">
        <v>2905</v>
      </c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5"/>
      <c r="AH246" s="1"/>
      <c r="AI246" s="1"/>
      <c r="AJ246" s="1"/>
    </row>
    <row r="247" spans="1:36">
      <c r="A247" s="36" t="s">
        <v>2094</v>
      </c>
      <c r="B247" s="36" t="s">
        <v>2842</v>
      </c>
      <c r="C247" s="36" t="s">
        <v>2906</v>
      </c>
      <c r="D247" s="36" t="s">
        <v>2907</v>
      </c>
      <c r="E247" s="38" t="s">
        <v>2906</v>
      </c>
      <c r="F247" s="36"/>
      <c r="G247" s="36" t="s">
        <v>2899</v>
      </c>
      <c r="H247" s="36" t="s">
        <v>2900</v>
      </c>
      <c r="I247" s="40"/>
      <c r="J247" s="36" t="s">
        <v>94</v>
      </c>
      <c r="K247" s="36" t="s">
        <v>94</v>
      </c>
      <c r="L247" s="36" t="s">
        <v>2099</v>
      </c>
      <c r="M247" s="36">
        <v>4003</v>
      </c>
      <c r="N247" s="36" t="s">
        <v>2908</v>
      </c>
      <c r="O247" s="36" t="s">
        <v>2095</v>
      </c>
      <c r="P247" s="36" t="s">
        <v>2909</v>
      </c>
      <c r="Q247" s="36" t="s">
        <v>2910</v>
      </c>
      <c r="R247" s="36" t="s">
        <v>2911</v>
      </c>
      <c r="S247" s="42" t="s">
        <v>5136</v>
      </c>
      <c r="T247" s="43">
        <v>4007</v>
      </c>
      <c r="U247" s="44" t="s">
        <v>2905</v>
      </c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5"/>
      <c r="AH247" s="1"/>
      <c r="AI247" s="1"/>
      <c r="AJ247" s="1"/>
    </row>
    <row r="248" spans="1:36">
      <c r="A248" s="36" t="s">
        <v>2094</v>
      </c>
      <c r="B248" s="36" t="s">
        <v>2842</v>
      </c>
      <c r="C248" s="36" t="s">
        <v>2912</v>
      </c>
      <c r="D248" s="61" t="s">
        <v>2913</v>
      </c>
      <c r="E248" s="38" t="s">
        <v>2912</v>
      </c>
      <c r="F248" s="36"/>
      <c r="G248" s="36" t="s">
        <v>2899</v>
      </c>
      <c r="H248" s="36" t="s">
        <v>2900</v>
      </c>
      <c r="I248" s="40" t="s">
        <v>130</v>
      </c>
      <c r="J248" s="36" t="s">
        <v>80</v>
      </c>
      <c r="K248" s="36" t="s">
        <v>80</v>
      </c>
      <c r="L248" s="36" t="s">
        <v>2099</v>
      </c>
      <c r="M248" s="36">
        <v>2020</v>
      </c>
      <c r="N248" s="36" t="s">
        <v>2914</v>
      </c>
      <c r="O248" s="36" t="s">
        <v>2842</v>
      </c>
      <c r="P248" s="36">
        <v>2020</v>
      </c>
      <c r="Q248" s="36" t="s">
        <v>2915</v>
      </c>
      <c r="R248" s="36" t="s">
        <v>551</v>
      </c>
      <c r="S248" s="42" t="s">
        <v>5068</v>
      </c>
      <c r="T248" s="43">
        <v>2021</v>
      </c>
      <c r="U248" s="44" t="s">
        <v>2917</v>
      </c>
      <c r="V248" s="43" t="s">
        <v>130</v>
      </c>
      <c r="W248" s="43"/>
      <c r="X248" s="43" t="s">
        <v>130</v>
      </c>
      <c r="Y248" s="43" t="s">
        <v>130</v>
      </c>
      <c r="Z248" s="43" t="s">
        <v>130</v>
      </c>
      <c r="AA248" s="43" t="s">
        <v>130</v>
      </c>
      <c r="AB248" s="43"/>
      <c r="AC248" s="43"/>
      <c r="AD248" s="43"/>
      <c r="AE248" s="43"/>
      <c r="AF248" s="43"/>
      <c r="AG248" s="45"/>
      <c r="AH248" s="1"/>
      <c r="AI248" s="1"/>
      <c r="AJ248" s="1"/>
    </row>
    <row r="249" spans="1:36">
      <c r="A249" s="36" t="s">
        <v>2094</v>
      </c>
      <c r="B249" s="36" t="s">
        <v>2842</v>
      </c>
      <c r="C249" s="36" t="s">
        <v>2918</v>
      </c>
      <c r="D249" s="57" t="s">
        <v>2919</v>
      </c>
      <c r="E249" s="38" t="s">
        <v>2920</v>
      </c>
      <c r="F249" s="36"/>
      <c r="G249" s="36" t="s">
        <v>2899</v>
      </c>
      <c r="H249" s="36" t="s">
        <v>2900</v>
      </c>
      <c r="I249" s="40" t="s">
        <v>130</v>
      </c>
      <c r="J249" s="36" t="s">
        <v>94</v>
      </c>
      <c r="K249" s="36" t="s">
        <v>94</v>
      </c>
      <c r="L249" s="36" t="s">
        <v>2099</v>
      </c>
      <c r="M249" s="36">
        <v>1070</v>
      </c>
      <c r="N249" s="36" t="s">
        <v>2921</v>
      </c>
      <c r="O249" s="36" t="s">
        <v>2842</v>
      </c>
      <c r="P249" s="36">
        <v>1070</v>
      </c>
      <c r="Q249" s="36" t="s">
        <v>2922</v>
      </c>
      <c r="R249" s="36" t="s">
        <v>164</v>
      </c>
      <c r="S249" s="42" t="s">
        <v>5079</v>
      </c>
      <c r="T249" s="43">
        <v>1071</v>
      </c>
      <c r="U249" s="44" t="s">
        <v>2917</v>
      </c>
      <c r="V249" s="43" t="s">
        <v>130</v>
      </c>
      <c r="W249" s="43" t="s">
        <v>130</v>
      </c>
      <c r="X249" s="43" t="s">
        <v>130</v>
      </c>
      <c r="Y249" s="43" t="s">
        <v>130</v>
      </c>
      <c r="Z249" s="43" t="s">
        <v>130</v>
      </c>
      <c r="AA249" s="43" t="s">
        <v>130</v>
      </c>
      <c r="AB249" s="43" t="s">
        <v>130</v>
      </c>
      <c r="AC249" s="43"/>
      <c r="AD249" s="43"/>
      <c r="AE249" s="43"/>
      <c r="AF249" s="43"/>
      <c r="AG249" s="45"/>
      <c r="AH249" s="1"/>
      <c r="AI249" s="1"/>
      <c r="AJ249" s="1"/>
    </row>
    <row r="250" spans="1:36">
      <c r="A250" s="36" t="s">
        <v>2094</v>
      </c>
      <c r="B250" s="36" t="s">
        <v>2842</v>
      </c>
      <c r="C250" s="36" t="s">
        <v>2923</v>
      </c>
      <c r="D250" s="57" t="s">
        <v>2924</v>
      </c>
      <c r="E250" s="38" t="s">
        <v>2925</v>
      </c>
      <c r="F250" s="36"/>
      <c r="G250" s="36" t="s">
        <v>2899</v>
      </c>
      <c r="H250" s="36" t="s">
        <v>2900</v>
      </c>
      <c r="I250" s="40"/>
      <c r="J250" s="36" t="s">
        <v>230</v>
      </c>
      <c r="K250" s="36" t="s">
        <v>94</v>
      </c>
      <c r="L250" s="36" t="s">
        <v>2099</v>
      </c>
      <c r="M250" s="36">
        <v>8050</v>
      </c>
      <c r="N250" s="36"/>
      <c r="O250" s="36" t="s">
        <v>2856</v>
      </c>
      <c r="P250" s="36">
        <v>8050</v>
      </c>
      <c r="Q250" s="36" t="s">
        <v>2928</v>
      </c>
      <c r="R250" s="36" t="s">
        <v>2929</v>
      </c>
      <c r="S250" s="42" t="s">
        <v>5114</v>
      </c>
      <c r="T250" s="43">
        <v>8051</v>
      </c>
      <c r="U250" s="44" t="s">
        <v>2917</v>
      </c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5"/>
      <c r="AH250" s="1"/>
      <c r="AI250" s="1"/>
      <c r="AJ250" s="1"/>
    </row>
    <row r="251" spans="1:36">
      <c r="A251" s="36" t="s">
        <v>1740</v>
      </c>
      <c r="B251" s="36" t="s">
        <v>2930</v>
      </c>
      <c r="C251" s="36" t="s">
        <v>2931</v>
      </c>
      <c r="D251" s="57" t="s">
        <v>2932</v>
      </c>
      <c r="E251" s="38" t="s">
        <v>2933</v>
      </c>
      <c r="F251" s="36"/>
      <c r="G251" s="36" t="s">
        <v>2934</v>
      </c>
      <c r="H251" s="36" t="s">
        <v>2935</v>
      </c>
      <c r="I251" s="40"/>
      <c r="J251" s="36" t="s">
        <v>94</v>
      </c>
      <c r="K251" s="36" t="s">
        <v>94</v>
      </c>
      <c r="L251" s="36" t="s">
        <v>2099</v>
      </c>
      <c r="M251" s="36" t="s">
        <v>2936</v>
      </c>
      <c r="N251" s="36" t="s">
        <v>2937</v>
      </c>
      <c r="O251" s="36" t="s">
        <v>2938</v>
      </c>
      <c r="P251" s="36" t="s">
        <v>2936</v>
      </c>
      <c r="Q251" s="36" t="s">
        <v>2939</v>
      </c>
      <c r="R251" s="36" t="s">
        <v>2940</v>
      </c>
      <c r="S251" s="42" t="s">
        <v>5076</v>
      </c>
      <c r="T251" s="43" t="s">
        <v>2942</v>
      </c>
      <c r="U251" s="44" t="s">
        <v>2943</v>
      </c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5"/>
      <c r="AH251" s="1"/>
      <c r="AI251" s="1"/>
      <c r="AJ251" s="1"/>
    </row>
    <row r="252" spans="1:36">
      <c r="A252" s="36" t="s">
        <v>1740</v>
      </c>
      <c r="B252" s="36" t="s">
        <v>2930</v>
      </c>
      <c r="C252" s="36" t="s">
        <v>2945</v>
      </c>
      <c r="D252" s="36" t="s">
        <v>2946</v>
      </c>
      <c r="E252" s="38" t="s">
        <v>2947</v>
      </c>
      <c r="F252" s="36"/>
      <c r="G252" s="36" t="s">
        <v>2934</v>
      </c>
      <c r="H252" s="36" t="s">
        <v>2935</v>
      </c>
      <c r="I252" s="40"/>
      <c r="J252" s="36" t="s">
        <v>94</v>
      </c>
      <c r="K252" s="36" t="s">
        <v>94</v>
      </c>
      <c r="L252" s="36" t="s">
        <v>2099</v>
      </c>
      <c r="M252" s="36" t="s">
        <v>2948</v>
      </c>
      <c r="N252" s="36" t="s">
        <v>2949</v>
      </c>
      <c r="O252" s="36" t="s">
        <v>2938</v>
      </c>
      <c r="P252" s="36" t="s">
        <v>2948</v>
      </c>
      <c r="Q252" s="36" t="s">
        <v>2950</v>
      </c>
      <c r="R252" s="36" t="s">
        <v>2951</v>
      </c>
      <c r="S252" s="42" t="s">
        <v>5105</v>
      </c>
      <c r="T252" s="43" t="s">
        <v>2952</v>
      </c>
      <c r="U252" s="44" t="s">
        <v>2943</v>
      </c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5"/>
      <c r="AH252" s="1"/>
      <c r="AI252" s="1"/>
      <c r="AJ252" s="1"/>
    </row>
    <row r="253" spans="1:36">
      <c r="A253" s="36" t="s">
        <v>1740</v>
      </c>
      <c r="B253" s="36" t="s">
        <v>2930</v>
      </c>
      <c r="C253" s="36" t="s">
        <v>2953</v>
      </c>
      <c r="D253" s="36" t="s">
        <v>2954</v>
      </c>
      <c r="E253" s="38" t="s">
        <v>2955</v>
      </c>
      <c r="F253" s="36"/>
      <c r="G253" s="36" t="s">
        <v>2934</v>
      </c>
      <c r="H253" s="36" t="s">
        <v>2935</v>
      </c>
      <c r="I253" s="40"/>
      <c r="J253" s="36" t="s">
        <v>1014</v>
      </c>
      <c r="K253" s="36" t="s">
        <v>94</v>
      </c>
      <c r="L253" s="36" t="s">
        <v>2099</v>
      </c>
      <c r="M253" s="36" t="s">
        <v>2956</v>
      </c>
      <c r="N253" s="36" t="s">
        <v>2957</v>
      </c>
      <c r="O253" s="36" t="s">
        <v>2938</v>
      </c>
      <c r="P253" s="36" t="s">
        <v>2956</v>
      </c>
      <c r="Q253" s="36" t="s">
        <v>2958</v>
      </c>
      <c r="R253" s="36" t="s">
        <v>2959</v>
      </c>
      <c r="S253" s="42" t="s">
        <v>5084</v>
      </c>
      <c r="T253" s="43" t="s">
        <v>2961</v>
      </c>
      <c r="U253" s="44" t="s">
        <v>2011</v>
      </c>
      <c r="V253" s="43" t="s">
        <v>130</v>
      </c>
      <c r="W253" s="43" t="s">
        <v>130</v>
      </c>
      <c r="X253" s="43" t="s">
        <v>130</v>
      </c>
      <c r="Y253" s="43" t="s">
        <v>130</v>
      </c>
      <c r="Z253" s="43"/>
      <c r="AA253" s="43"/>
      <c r="AB253" s="43"/>
      <c r="AC253" s="43"/>
      <c r="AD253" s="43"/>
      <c r="AE253" s="43"/>
      <c r="AF253" s="43"/>
      <c r="AG253" s="45"/>
      <c r="AH253" s="1"/>
      <c r="AI253" s="1"/>
      <c r="AJ253" s="1"/>
    </row>
    <row r="254" spans="1:36">
      <c r="A254" s="36" t="s">
        <v>1740</v>
      </c>
      <c r="B254" s="36" t="s">
        <v>2930</v>
      </c>
      <c r="C254" s="36" t="s">
        <v>2962</v>
      </c>
      <c r="D254" s="36" t="s">
        <v>2963</v>
      </c>
      <c r="E254" s="38" t="s">
        <v>2964</v>
      </c>
      <c r="F254" s="36"/>
      <c r="G254" s="36" t="s">
        <v>2934</v>
      </c>
      <c r="H254" s="36" t="s">
        <v>2935</v>
      </c>
      <c r="I254" s="40" t="s">
        <v>130</v>
      </c>
      <c r="J254" s="36" t="s">
        <v>94</v>
      </c>
      <c r="K254" s="36" t="s">
        <v>94</v>
      </c>
      <c r="L254" s="36" t="s">
        <v>2099</v>
      </c>
      <c r="M254" s="36" t="s">
        <v>2965</v>
      </c>
      <c r="N254" s="36" t="s">
        <v>2966</v>
      </c>
      <c r="O254" s="36" t="s">
        <v>2938</v>
      </c>
      <c r="P254" s="36" t="s">
        <v>2965</v>
      </c>
      <c r="Q254" s="36" t="s">
        <v>2967</v>
      </c>
      <c r="R254" s="36" t="s">
        <v>164</v>
      </c>
      <c r="S254" s="42" t="s">
        <v>5069</v>
      </c>
      <c r="T254" s="43" t="s">
        <v>2968</v>
      </c>
      <c r="U254" s="44" t="s">
        <v>2011</v>
      </c>
      <c r="V254" s="43" t="s">
        <v>130</v>
      </c>
      <c r="W254" s="43" t="s">
        <v>130</v>
      </c>
      <c r="X254" s="43" t="s">
        <v>130</v>
      </c>
      <c r="Y254" s="43" t="s">
        <v>130</v>
      </c>
      <c r="Z254" s="43" t="s">
        <v>130</v>
      </c>
      <c r="AA254" s="43" t="s">
        <v>130</v>
      </c>
      <c r="AB254" s="43" t="s">
        <v>130</v>
      </c>
      <c r="AC254" s="43"/>
      <c r="AD254" s="43"/>
      <c r="AE254" s="43"/>
      <c r="AF254" s="43"/>
      <c r="AG254" s="45"/>
      <c r="AH254" s="1"/>
      <c r="AI254" s="1"/>
      <c r="AJ254" s="1"/>
    </row>
    <row r="255" spans="1:36">
      <c r="A255" s="36" t="s">
        <v>1740</v>
      </c>
      <c r="B255" s="36" t="s">
        <v>2930</v>
      </c>
      <c r="C255" s="36" t="s">
        <v>2970</v>
      </c>
      <c r="D255" s="36" t="s">
        <v>2971</v>
      </c>
      <c r="E255" s="38" t="s">
        <v>2972</v>
      </c>
      <c r="F255" s="36"/>
      <c r="G255" s="36" t="s">
        <v>2934</v>
      </c>
      <c r="H255" s="36" t="s">
        <v>2935</v>
      </c>
      <c r="I255" s="40"/>
      <c r="J255" s="36" t="s">
        <v>159</v>
      </c>
      <c r="K255" s="36" t="s">
        <v>94</v>
      </c>
      <c r="L255" s="36" t="s">
        <v>2099</v>
      </c>
      <c r="M255" s="36" t="s">
        <v>2973</v>
      </c>
      <c r="N255" s="36" t="s">
        <v>2974</v>
      </c>
      <c r="O255" s="36" t="s">
        <v>2938</v>
      </c>
      <c r="P255" s="36" t="s">
        <v>2973</v>
      </c>
      <c r="Q255" s="36" t="s">
        <v>2975</v>
      </c>
      <c r="R255" s="36" t="s">
        <v>2976</v>
      </c>
      <c r="S255" s="42" t="s">
        <v>5077</v>
      </c>
      <c r="T255" s="43" t="s">
        <v>2977</v>
      </c>
      <c r="U255" s="44" t="s">
        <v>2796</v>
      </c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5"/>
      <c r="AH255" s="1"/>
      <c r="AI255" s="1"/>
      <c r="AJ255" s="1"/>
    </row>
    <row r="256" spans="1:36">
      <c r="A256" s="36" t="s">
        <v>1740</v>
      </c>
      <c r="B256" s="36" t="s">
        <v>2930</v>
      </c>
      <c r="C256" s="36" t="s">
        <v>2980</v>
      </c>
      <c r="D256" s="36" t="s">
        <v>2981</v>
      </c>
      <c r="E256" s="38" t="s">
        <v>2982</v>
      </c>
      <c r="F256" s="36"/>
      <c r="G256" s="36" t="s">
        <v>2983</v>
      </c>
      <c r="H256" s="36" t="s">
        <v>2984</v>
      </c>
      <c r="I256" s="40" t="s">
        <v>130</v>
      </c>
      <c r="J256" s="36" t="s">
        <v>132</v>
      </c>
      <c r="K256" s="36" t="s">
        <v>94</v>
      </c>
      <c r="L256" s="36" t="s">
        <v>2099</v>
      </c>
      <c r="M256" s="36"/>
      <c r="N256" s="36" t="s">
        <v>2985</v>
      </c>
      <c r="O256" s="36" t="s">
        <v>2930</v>
      </c>
      <c r="P256" s="36" t="s">
        <v>2986</v>
      </c>
      <c r="Q256" s="36" t="s">
        <v>2987</v>
      </c>
      <c r="R256" s="36" t="s">
        <v>2988</v>
      </c>
      <c r="S256" s="42" t="s">
        <v>5068</v>
      </c>
      <c r="T256" s="43" t="s">
        <v>2986</v>
      </c>
      <c r="U256" s="44" t="s">
        <v>461</v>
      </c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5"/>
      <c r="AH256" s="1"/>
      <c r="AI256" s="1"/>
      <c r="AJ256" s="1"/>
    </row>
    <row r="257" spans="1:36">
      <c r="A257" s="36" t="s">
        <v>1740</v>
      </c>
      <c r="B257" s="36" t="s">
        <v>2930</v>
      </c>
      <c r="C257" s="36" t="s">
        <v>2989</v>
      </c>
      <c r="D257" s="36" t="s">
        <v>2990</v>
      </c>
      <c r="E257" s="38" t="s">
        <v>2991</v>
      </c>
      <c r="F257" s="36"/>
      <c r="G257" s="36" t="s">
        <v>2983</v>
      </c>
      <c r="H257" s="36" t="s">
        <v>2984</v>
      </c>
      <c r="I257" s="40"/>
      <c r="J257" s="36" t="s">
        <v>230</v>
      </c>
      <c r="K257" s="36" t="s">
        <v>94</v>
      </c>
      <c r="L257" s="36" t="s">
        <v>2099</v>
      </c>
      <c r="M257" s="36" t="s">
        <v>2993</v>
      </c>
      <c r="N257" s="36" t="s">
        <v>2994</v>
      </c>
      <c r="O257" s="36" t="s">
        <v>2930</v>
      </c>
      <c r="P257" s="36" t="s">
        <v>2993</v>
      </c>
      <c r="Q257" s="36" t="s">
        <v>2995</v>
      </c>
      <c r="R257" s="36" t="s">
        <v>2996</v>
      </c>
      <c r="S257" s="42" t="s">
        <v>5079</v>
      </c>
      <c r="T257" s="43" t="s">
        <v>2997</v>
      </c>
      <c r="U257" s="44" t="s">
        <v>461</v>
      </c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5"/>
      <c r="AH257" s="1"/>
      <c r="AI257" s="1"/>
      <c r="AJ257" s="1"/>
    </row>
    <row r="258" spans="1:36">
      <c r="A258" s="36" t="s">
        <v>1740</v>
      </c>
      <c r="B258" s="36" t="s">
        <v>2930</v>
      </c>
      <c r="C258" s="36" t="s">
        <v>2998</v>
      </c>
      <c r="D258" s="36" t="s">
        <v>2999</v>
      </c>
      <c r="E258" s="38" t="s">
        <v>3000</v>
      </c>
      <c r="F258" s="36"/>
      <c r="G258" s="36" t="s">
        <v>2983</v>
      </c>
      <c r="H258" s="36" t="s">
        <v>2984</v>
      </c>
      <c r="I258" s="40"/>
      <c r="J258" s="36" t="s">
        <v>230</v>
      </c>
      <c r="K258" s="36" t="s">
        <v>94</v>
      </c>
      <c r="L258" s="36" t="s">
        <v>2099</v>
      </c>
      <c r="M258" s="36" t="s">
        <v>3001</v>
      </c>
      <c r="N258" s="36" t="s">
        <v>3002</v>
      </c>
      <c r="O258" s="36" t="s">
        <v>2930</v>
      </c>
      <c r="P258" s="36" t="s">
        <v>3001</v>
      </c>
      <c r="Q258" s="36" t="s">
        <v>3003</v>
      </c>
      <c r="R258" s="36" t="s">
        <v>3004</v>
      </c>
      <c r="S258" s="42" t="s">
        <v>5106</v>
      </c>
      <c r="T258" s="43" t="s">
        <v>3005</v>
      </c>
      <c r="U258" s="44" t="s">
        <v>3006</v>
      </c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5"/>
      <c r="AH258" s="1"/>
      <c r="AI258" s="1"/>
      <c r="AJ258" s="1"/>
    </row>
    <row r="259" spans="1:36">
      <c r="A259" s="36" t="s">
        <v>1740</v>
      </c>
      <c r="B259" s="36" t="s">
        <v>2930</v>
      </c>
      <c r="C259" s="36" t="s">
        <v>3009</v>
      </c>
      <c r="D259" s="36" t="s">
        <v>3010</v>
      </c>
      <c r="E259" s="38" t="s">
        <v>3011</v>
      </c>
      <c r="F259" s="36"/>
      <c r="G259" s="36" t="s">
        <v>2983</v>
      </c>
      <c r="H259" s="36" t="s">
        <v>2984</v>
      </c>
      <c r="I259" s="40" t="s">
        <v>130</v>
      </c>
      <c r="J259" s="36" t="s">
        <v>94</v>
      </c>
      <c r="K259" s="36" t="s">
        <v>94</v>
      </c>
      <c r="L259" s="36" t="s">
        <v>2099</v>
      </c>
      <c r="M259" s="36"/>
      <c r="N259" s="36" t="s">
        <v>3012</v>
      </c>
      <c r="O259" s="36" t="s">
        <v>2930</v>
      </c>
      <c r="P259" s="36" t="s">
        <v>3013</v>
      </c>
      <c r="Q259" s="36" t="s">
        <v>3014</v>
      </c>
      <c r="R259" s="36" t="s">
        <v>164</v>
      </c>
      <c r="S259" s="42" t="s">
        <v>5070</v>
      </c>
      <c r="T259" s="43" t="s">
        <v>3013</v>
      </c>
      <c r="U259" s="44" t="s">
        <v>3006</v>
      </c>
      <c r="V259" s="43" t="s">
        <v>130</v>
      </c>
      <c r="W259" s="43" t="s">
        <v>130</v>
      </c>
      <c r="X259" s="43" t="s">
        <v>130</v>
      </c>
      <c r="Y259" s="43" t="s">
        <v>130</v>
      </c>
      <c r="Z259" s="43" t="s">
        <v>130</v>
      </c>
      <c r="AA259" s="43" t="s">
        <v>130</v>
      </c>
      <c r="AB259" s="43" t="s">
        <v>130</v>
      </c>
      <c r="AC259" s="43"/>
      <c r="AD259" s="43"/>
      <c r="AE259" s="43"/>
      <c r="AF259" s="43"/>
      <c r="AG259" s="45"/>
      <c r="AH259" s="1"/>
      <c r="AI259" s="1"/>
      <c r="AJ259" s="1"/>
    </row>
    <row r="260" spans="1:36">
      <c r="A260" s="36" t="s">
        <v>1740</v>
      </c>
      <c r="B260" s="36" t="s">
        <v>2930</v>
      </c>
      <c r="C260" s="36" t="s">
        <v>3017</v>
      </c>
      <c r="D260" s="36" t="s">
        <v>3018</v>
      </c>
      <c r="E260" s="38" t="s">
        <v>3019</v>
      </c>
      <c r="F260" s="36"/>
      <c r="G260" s="36" t="s">
        <v>435</v>
      </c>
      <c r="H260" s="36" t="s">
        <v>3020</v>
      </c>
      <c r="I260" s="40" t="s">
        <v>130</v>
      </c>
      <c r="J260" s="36" t="s">
        <v>94</v>
      </c>
      <c r="K260" s="36" t="s">
        <v>94</v>
      </c>
      <c r="L260" s="36" t="s">
        <v>2099</v>
      </c>
      <c r="M260" s="36" t="s">
        <v>3021</v>
      </c>
      <c r="N260" s="36" t="s">
        <v>3022</v>
      </c>
      <c r="O260" s="36" t="s">
        <v>2938</v>
      </c>
      <c r="P260" s="36" t="s">
        <v>3023</v>
      </c>
      <c r="Q260" s="36" t="s">
        <v>3024</v>
      </c>
      <c r="R260" s="36" t="s">
        <v>164</v>
      </c>
      <c r="S260" s="42" t="s">
        <v>5074</v>
      </c>
      <c r="T260" s="43"/>
      <c r="U260" s="44" t="s">
        <v>2796</v>
      </c>
      <c r="V260" s="43" t="s">
        <v>130</v>
      </c>
      <c r="W260" s="43"/>
      <c r="X260" s="43" t="s">
        <v>130</v>
      </c>
      <c r="Y260" s="43" t="s">
        <v>130</v>
      </c>
      <c r="Z260" s="43" t="s">
        <v>130</v>
      </c>
      <c r="AA260" s="43" t="s">
        <v>130</v>
      </c>
      <c r="AB260" s="43" t="s">
        <v>130</v>
      </c>
      <c r="AC260" s="43"/>
      <c r="AD260" s="43"/>
      <c r="AE260" s="43"/>
      <c r="AF260" s="43"/>
      <c r="AG260" s="45"/>
      <c r="AH260" s="1"/>
      <c r="AI260" s="1"/>
      <c r="AJ260" s="1"/>
    </row>
    <row r="261" spans="1:36">
      <c r="A261" s="36" t="s">
        <v>1740</v>
      </c>
      <c r="B261" s="36" t="s">
        <v>2930</v>
      </c>
      <c r="C261" s="36" t="s">
        <v>3025</v>
      </c>
      <c r="D261" s="36" t="s">
        <v>3026</v>
      </c>
      <c r="E261" s="38" t="s">
        <v>3027</v>
      </c>
      <c r="F261" s="36"/>
      <c r="G261" s="36" t="s">
        <v>3029</v>
      </c>
      <c r="H261" s="36" t="s">
        <v>3030</v>
      </c>
      <c r="I261" s="40" t="s">
        <v>130</v>
      </c>
      <c r="J261" s="36" t="s">
        <v>94</v>
      </c>
      <c r="K261" s="36" t="s">
        <v>94</v>
      </c>
      <c r="L261" s="36" t="s">
        <v>2099</v>
      </c>
      <c r="M261" s="36" t="s">
        <v>3032</v>
      </c>
      <c r="N261" s="36" t="s">
        <v>3033</v>
      </c>
      <c r="O261" s="36" t="s">
        <v>2930</v>
      </c>
      <c r="P261" s="36" t="s">
        <v>3034</v>
      </c>
      <c r="Q261" s="36" t="s">
        <v>3035</v>
      </c>
      <c r="R261" s="36" t="s">
        <v>164</v>
      </c>
      <c r="S261" s="42" t="s">
        <v>5075</v>
      </c>
      <c r="T261" s="43" t="s">
        <v>3036</v>
      </c>
      <c r="U261" s="44" t="s">
        <v>3037</v>
      </c>
      <c r="V261" s="43" t="s">
        <v>130</v>
      </c>
      <c r="W261" s="43" t="s">
        <v>130</v>
      </c>
      <c r="X261" s="43" t="s">
        <v>130</v>
      </c>
      <c r="Y261" s="43" t="s">
        <v>130</v>
      </c>
      <c r="Z261" s="43" t="s">
        <v>130</v>
      </c>
      <c r="AA261" s="43" t="s">
        <v>130</v>
      </c>
      <c r="AB261" s="43" t="s">
        <v>130</v>
      </c>
      <c r="AC261" s="43"/>
      <c r="AD261" s="43"/>
      <c r="AE261" s="43"/>
      <c r="AF261" s="43"/>
      <c r="AG261" s="45"/>
      <c r="AH261" s="1"/>
      <c r="AI261" s="1"/>
      <c r="AJ261" s="1"/>
    </row>
    <row r="262" spans="1:36">
      <c r="A262" s="36" t="s">
        <v>1740</v>
      </c>
      <c r="B262" s="36" t="s">
        <v>2930</v>
      </c>
      <c r="C262" s="36" t="s">
        <v>3038</v>
      </c>
      <c r="D262" s="36" t="s">
        <v>3039</v>
      </c>
      <c r="E262" s="38" t="s">
        <v>3040</v>
      </c>
      <c r="F262" s="36"/>
      <c r="G262" s="36" t="s">
        <v>3029</v>
      </c>
      <c r="H262" s="36" t="s">
        <v>3030</v>
      </c>
      <c r="I262" s="40" t="s">
        <v>130</v>
      </c>
      <c r="J262" s="36" t="s">
        <v>362</v>
      </c>
      <c r="K262" s="36" t="s">
        <v>94</v>
      </c>
      <c r="L262" s="36" t="s">
        <v>2099</v>
      </c>
      <c r="M262" s="36"/>
      <c r="N262" s="36" t="s">
        <v>3043</v>
      </c>
      <c r="O262" s="36" t="s">
        <v>2930</v>
      </c>
      <c r="P262" s="36" t="s">
        <v>3044</v>
      </c>
      <c r="Q262" s="36" t="s">
        <v>3045</v>
      </c>
      <c r="R262" s="36" t="s">
        <v>3046</v>
      </c>
      <c r="S262" s="42" t="s">
        <v>5097</v>
      </c>
      <c r="T262" s="43" t="s">
        <v>3034</v>
      </c>
      <c r="U262" s="44" t="s">
        <v>3037</v>
      </c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5"/>
      <c r="AH262" s="1"/>
      <c r="AI262" s="1"/>
      <c r="AJ262" s="1"/>
    </row>
    <row r="263" spans="1:36">
      <c r="A263" s="36" t="s">
        <v>3047</v>
      </c>
      <c r="B263" s="36" t="s">
        <v>3048</v>
      </c>
      <c r="C263" s="36" t="s">
        <v>3049</v>
      </c>
      <c r="D263" s="36" t="s">
        <v>3050</v>
      </c>
      <c r="E263" s="38" t="s">
        <v>1783</v>
      </c>
      <c r="F263" s="36"/>
      <c r="G263" s="36" t="s">
        <v>3051</v>
      </c>
      <c r="H263" s="36" t="s">
        <v>3052</v>
      </c>
      <c r="I263" s="40" t="s">
        <v>130</v>
      </c>
      <c r="J263" s="36" t="s">
        <v>94</v>
      </c>
      <c r="K263" s="36" t="s">
        <v>94</v>
      </c>
      <c r="L263" s="36" t="s">
        <v>2099</v>
      </c>
      <c r="M263" s="36" t="s">
        <v>3053</v>
      </c>
      <c r="N263" s="36" t="s">
        <v>3054</v>
      </c>
      <c r="O263" s="36" t="s">
        <v>3055</v>
      </c>
      <c r="P263" s="36" t="s">
        <v>3056</v>
      </c>
      <c r="Q263" s="36" t="s">
        <v>3057</v>
      </c>
      <c r="R263" s="36" t="s">
        <v>164</v>
      </c>
      <c r="S263" s="42" t="s">
        <v>5115</v>
      </c>
      <c r="T263" s="43" t="s">
        <v>3059</v>
      </c>
      <c r="U263" s="44" t="s">
        <v>3060</v>
      </c>
      <c r="V263" s="43" t="s">
        <v>130</v>
      </c>
      <c r="W263" s="43" t="s">
        <v>130</v>
      </c>
      <c r="X263" s="43" t="s">
        <v>130</v>
      </c>
      <c r="Y263" s="43" t="s">
        <v>130</v>
      </c>
      <c r="Z263" s="43" t="s">
        <v>130</v>
      </c>
      <c r="AA263" s="43" t="s">
        <v>130</v>
      </c>
      <c r="AB263" s="43" t="s">
        <v>130</v>
      </c>
      <c r="AC263" s="43"/>
      <c r="AD263" s="43"/>
      <c r="AE263" s="43"/>
      <c r="AF263" s="43"/>
      <c r="AG263" s="45"/>
      <c r="AH263" s="1"/>
      <c r="AI263" s="1"/>
      <c r="AJ263" s="1"/>
    </row>
    <row r="264" spans="1:36">
      <c r="A264" s="36" t="s">
        <v>3047</v>
      </c>
      <c r="B264" s="36" t="s">
        <v>3048</v>
      </c>
      <c r="C264" s="36" t="s">
        <v>3061</v>
      </c>
      <c r="D264" s="36" t="s">
        <v>3062</v>
      </c>
      <c r="E264" s="38" t="s">
        <v>1791</v>
      </c>
      <c r="F264" s="36"/>
      <c r="G264" s="36" t="s">
        <v>3051</v>
      </c>
      <c r="H264" s="36" t="s">
        <v>3052</v>
      </c>
      <c r="I264" s="40"/>
      <c r="J264" s="36" t="s">
        <v>94</v>
      </c>
      <c r="K264" s="36" t="s">
        <v>94</v>
      </c>
      <c r="L264" s="36" t="s">
        <v>2099</v>
      </c>
      <c r="M264" s="36" t="s">
        <v>3063</v>
      </c>
      <c r="N264" s="36" t="s">
        <v>3064</v>
      </c>
      <c r="O264" s="36" t="s">
        <v>3055</v>
      </c>
      <c r="P264" s="36" t="s">
        <v>1795</v>
      </c>
      <c r="Q264" s="36" t="s">
        <v>3065</v>
      </c>
      <c r="R264" s="36" t="s">
        <v>2626</v>
      </c>
      <c r="S264" s="42" t="s">
        <v>5136</v>
      </c>
      <c r="T264" s="43" t="s">
        <v>3068</v>
      </c>
      <c r="U264" s="44" t="s">
        <v>3069</v>
      </c>
      <c r="V264" s="43" t="s">
        <v>130</v>
      </c>
      <c r="W264" s="43" t="s">
        <v>130</v>
      </c>
      <c r="X264" s="43" t="s">
        <v>130</v>
      </c>
      <c r="Y264" s="43" t="s">
        <v>130</v>
      </c>
      <c r="Z264" s="43"/>
      <c r="AA264" s="43"/>
      <c r="AB264" s="43" t="s">
        <v>130</v>
      </c>
      <c r="AC264" s="43"/>
      <c r="AD264" s="43"/>
      <c r="AE264" s="43"/>
      <c r="AF264" s="43"/>
      <c r="AG264" s="45"/>
      <c r="AH264" s="1"/>
      <c r="AI264" s="1"/>
      <c r="AJ264" s="1"/>
    </row>
    <row r="265" spans="1:36">
      <c r="A265" s="36" t="s">
        <v>3047</v>
      </c>
      <c r="B265" s="36" t="s">
        <v>3048</v>
      </c>
      <c r="C265" s="36" t="s">
        <v>3070</v>
      </c>
      <c r="D265" s="57" t="s">
        <v>3071</v>
      </c>
      <c r="E265" s="38" t="s">
        <v>1799</v>
      </c>
      <c r="F265" s="36"/>
      <c r="G265" s="36" t="s">
        <v>3051</v>
      </c>
      <c r="H265" s="36" t="s">
        <v>3052</v>
      </c>
      <c r="I265" s="40"/>
      <c r="J265" s="36" t="s">
        <v>94</v>
      </c>
      <c r="K265" s="36" t="s">
        <v>94</v>
      </c>
      <c r="L265" s="36" t="s">
        <v>2099</v>
      </c>
      <c r="M265" s="36" t="s">
        <v>3072</v>
      </c>
      <c r="N265" s="36" t="s">
        <v>3073</v>
      </c>
      <c r="O265" s="36" t="s">
        <v>3055</v>
      </c>
      <c r="P265" s="36" t="s">
        <v>3074</v>
      </c>
      <c r="Q265" s="36" t="s">
        <v>3076</v>
      </c>
      <c r="R265" s="36" t="s">
        <v>3077</v>
      </c>
      <c r="S265" s="42" t="s">
        <v>5137</v>
      </c>
      <c r="T265" s="43" t="s">
        <v>3079</v>
      </c>
      <c r="U265" s="44" t="s">
        <v>3080</v>
      </c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5"/>
      <c r="AH265" s="1"/>
      <c r="AI265" s="1"/>
      <c r="AJ265" s="1"/>
    </row>
    <row r="266" spans="1:36">
      <c r="A266" s="36" t="s">
        <v>3047</v>
      </c>
      <c r="B266" s="36" t="s">
        <v>3048</v>
      </c>
      <c r="C266" s="36" t="s">
        <v>3081</v>
      </c>
      <c r="D266" s="36" t="s">
        <v>3082</v>
      </c>
      <c r="E266" s="38" t="s">
        <v>3083</v>
      </c>
      <c r="F266" s="36"/>
      <c r="G266" s="36" t="s">
        <v>3051</v>
      </c>
      <c r="H266" s="36" t="s">
        <v>3052</v>
      </c>
      <c r="I266" s="40"/>
      <c r="J266" s="36" t="s">
        <v>94</v>
      </c>
      <c r="K266" s="36" t="s">
        <v>94</v>
      </c>
      <c r="L266" s="36" t="s">
        <v>2099</v>
      </c>
      <c r="M266" s="36" t="s">
        <v>3084</v>
      </c>
      <c r="N266" s="36" t="s">
        <v>3085</v>
      </c>
      <c r="O266" s="36" t="s">
        <v>3055</v>
      </c>
      <c r="P266" s="36" t="s">
        <v>3086</v>
      </c>
      <c r="Q266" s="36" t="s">
        <v>3087</v>
      </c>
      <c r="R266" s="36" t="s">
        <v>3088</v>
      </c>
      <c r="S266" s="42" t="s">
        <v>5133</v>
      </c>
      <c r="T266" s="43" t="s">
        <v>3089</v>
      </c>
      <c r="U266" s="44" t="s">
        <v>3069</v>
      </c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5"/>
      <c r="AH266" s="1"/>
      <c r="AI266" s="1"/>
      <c r="AJ266" s="1"/>
    </row>
    <row r="267" spans="1:36">
      <c r="A267" s="36" t="s">
        <v>3047</v>
      </c>
      <c r="B267" s="36" t="s">
        <v>3048</v>
      </c>
      <c r="C267" s="36" t="s">
        <v>3092</v>
      </c>
      <c r="D267" s="61" t="s">
        <v>3093</v>
      </c>
      <c r="E267" s="38" t="s">
        <v>1743</v>
      </c>
      <c r="F267" s="36"/>
      <c r="G267" s="36" t="s">
        <v>3094</v>
      </c>
      <c r="H267" s="36" t="s">
        <v>3095</v>
      </c>
      <c r="I267" s="40"/>
      <c r="J267" s="36" t="s">
        <v>94</v>
      </c>
      <c r="K267" s="36" t="s">
        <v>94</v>
      </c>
      <c r="L267" s="36" t="s">
        <v>2099</v>
      </c>
      <c r="M267" s="36" t="s">
        <v>3096</v>
      </c>
      <c r="N267" s="36" t="s">
        <v>3097</v>
      </c>
      <c r="O267" s="36" t="s">
        <v>3055</v>
      </c>
      <c r="P267" s="36" t="s">
        <v>1777</v>
      </c>
      <c r="Q267" s="36" t="s">
        <v>3098</v>
      </c>
      <c r="R267" s="36" t="s">
        <v>3099</v>
      </c>
      <c r="S267" s="42" t="s">
        <v>5072</v>
      </c>
      <c r="T267" s="43" t="s">
        <v>3100</v>
      </c>
      <c r="U267" s="44" t="s">
        <v>3080</v>
      </c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5"/>
      <c r="AH267" s="1"/>
      <c r="AI267" s="1"/>
      <c r="AJ267" s="1"/>
    </row>
    <row r="268" spans="1:36">
      <c r="A268" s="36" t="s">
        <v>3047</v>
      </c>
      <c r="B268" s="36" t="s">
        <v>3048</v>
      </c>
      <c r="C268" s="36" t="s">
        <v>3103</v>
      </c>
      <c r="D268" s="61" t="s">
        <v>3104</v>
      </c>
      <c r="E268" s="38" t="s">
        <v>1774</v>
      </c>
      <c r="F268" s="36"/>
      <c r="G268" s="36" t="s">
        <v>3094</v>
      </c>
      <c r="H268" s="36" t="s">
        <v>3095</v>
      </c>
      <c r="I268" s="40" t="s">
        <v>130</v>
      </c>
      <c r="J268" s="36" t="s">
        <v>94</v>
      </c>
      <c r="K268" s="36" t="s">
        <v>94</v>
      </c>
      <c r="L268" s="36" t="s">
        <v>2099</v>
      </c>
      <c r="M268" s="36" t="s">
        <v>3105</v>
      </c>
      <c r="N268" s="36" t="s">
        <v>3106</v>
      </c>
      <c r="O268" s="36" t="s">
        <v>3055</v>
      </c>
      <c r="P268" s="36" t="s">
        <v>1868</v>
      </c>
      <c r="Q268" s="36" t="s">
        <v>3107</v>
      </c>
      <c r="R268" s="36" t="s">
        <v>164</v>
      </c>
      <c r="S268" s="42" t="s">
        <v>5073</v>
      </c>
      <c r="T268" s="43" t="s">
        <v>3108</v>
      </c>
      <c r="U268" s="44" t="s">
        <v>3109</v>
      </c>
      <c r="V268" s="43" t="s">
        <v>130</v>
      </c>
      <c r="W268" s="43" t="s">
        <v>130</v>
      </c>
      <c r="X268" s="43" t="s">
        <v>130</v>
      </c>
      <c r="Y268" s="43" t="s">
        <v>130</v>
      </c>
      <c r="Z268" s="43" t="s">
        <v>130</v>
      </c>
      <c r="AA268" s="43" t="s">
        <v>130</v>
      </c>
      <c r="AB268" s="43" t="s">
        <v>130</v>
      </c>
      <c r="AC268" s="43"/>
      <c r="AD268" s="43"/>
      <c r="AE268" s="43"/>
      <c r="AF268" s="43"/>
      <c r="AG268" s="45"/>
      <c r="AH268" s="1"/>
      <c r="AI268" s="1"/>
      <c r="AJ268" s="1"/>
    </row>
    <row r="269" spans="1:36">
      <c r="A269" s="36" t="s">
        <v>3047</v>
      </c>
      <c r="B269" s="36" t="s">
        <v>3048</v>
      </c>
      <c r="C269" s="36" t="s">
        <v>3111</v>
      </c>
      <c r="D269" s="36" t="s">
        <v>3112</v>
      </c>
      <c r="E269" s="38" t="s">
        <v>3113</v>
      </c>
      <c r="F269" s="36"/>
      <c r="G269" s="36" t="s">
        <v>3094</v>
      </c>
      <c r="H269" s="36" t="s">
        <v>3095</v>
      </c>
      <c r="I269" s="40"/>
      <c r="J269" s="36" t="s">
        <v>230</v>
      </c>
      <c r="K269" s="36" t="s">
        <v>94</v>
      </c>
      <c r="L269" s="36" t="s">
        <v>2099</v>
      </c>
      <c r="M269" s="36" t="s">
        <v>3114</v>
      </c>
      <c r="N269" s="36" t="s">
        <v>3115</v>
      </c>
      <c r="O269" s="36" t="s">
        <v>3055</v>
      </c>
      <c r="P269" s="36" t="s">
        <v>1754</v>
      </c>
      <c r="Q269" s="36" t="s">
        <v>3116</v>
      </c>
      <c r="R269" s="36" t="s">
        <v>3117</v>
      </c>
      <c r="S269" s="42" t="s">
        <v>5074</v>
      </c>
      <c r="T269" s="43" t="s">
        <v>3118</v>
      </c>
      <c r="U269" s="44" t="s">
        <v>3109</v>
      </c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5"/>
      <c r="AH269" s="1"/>
      <c r="AI269" s="1"/>
      <c r="AJ269" s="1"/>
    </row>
    <row r="270" spans="1:36">
      <c r="A270" s="36" t="s">
        <v>3047</v>
      </c>
      <c r="B270" s="36" t="s">
        <v>3048</v>
      </c>
      <c r="C270" s="36" t="s">
        <v>3119</v>
      </c>
      <c r="D270" s="36" t="s">
        <v>3120</v>
      </c>
      <c r="E270" s="38" t="s">
        <v>3121</v>
      </c>
      <c r="F270" s="36"/>
      <c r="G270" s="36" t="s">
        <v>3094</v>
      </c>
      <c r="H270" s="36" t="s">
        <v>3095</v>
      </c>
      <c r="I270" s="40"/>
      <c r="J270" s="36" t="s">
        <v>94</v>
      </c>
      <c r="K270" s="36" t="s">
        <v>94</v>
      </c>
      <c r="L270" s="36" t="s">
        <v>2099</v>
      </c>
      <c r="M270" s="36" t="s">
        <v>3122</v>
      </c>
      <c r="N270" s="36" t="s">
        <v>3123</v>
      </c>
      <c r="O270" s="36" t="s">
        <v>3055</v>
      </c>
      <c r="P270" s="36" t="s">
        <v>1802</v>
      </c>
      <c r="Q270" s="36" t="s">
        <v>3124</v>
      </c>
      <c r="R270" s="36" t="s">
        <v>3125</v>
      </c>
      <c r="S270" s="42" t="s">
        <v>5075</v>
      </c>
      <c r="T270" s="43" t="s">
        <v>3126</v>
      </c>
      <c r="U270" s="44" t="s">
        <v>3127</v>
      </c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5"/>
      <c r="AH270" s="1"/>
      <c r="AI270" s="1"/>
      <c r="AJ270" s="1"/>
    </row>
    <row r="271" spans="1:36">
      <c r="A271" s="36" t="s">
        <v>3047</v>
      </c>
      <c r="B271" s="36" t="s">
        <v>3048</v>
      </c>
      <c r="C271" s="36" t="s">
        <v>3128</v>
      </c>
      <c r="D271" s="36" t="s">
        <v>3129</v>
      </c>
      <c r="E271" s="38" t="s">
        <v>3130</v>
      </c>
      <c r="F271" s="36"/>
      <c r="G271" s="36" t="s">
        <v>3094</v>
      </c>
      <c r="H271" s="36" t="s">
        <v>3095</v>
      </c>
      <c r="I271" s="40"/>
      <c r="J271" s="36" t="s">
        <v>230</v>
      </c>
      <c r="K271" s="36" t="s">
        <v>94</v>
      </c>
      <c r="L271" s="36" t="s">
        <v>2099</v>
      </c>
      <c r="M271" s="36" t="s">
        <v>3131</v>
      </c>
      <c r="N271" s="36" t="s">
        <v>3132</v>
      </c>
      <c r="O271" s="36" t="s">
        <v>3055</v>
      </c>
      <c r="P271" s="36" t="s">
        <v>1786</v>
      </c>
      <c r="Q271" s="36" t="s">
        <v>3133</v>
      </c>
      <c r="R271" s="36" t="s">
        <v>2266</v>
      </c>
      <c r="S271" s="42" t="s">
        <v>5097</v>
      </c>
      <c r="T271" s="43" t="s">
        <v>3135</v>
      </c>
      <c r="U271" s="44" t="s">
        <v>3136</v>
      </c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5"/>
      <c r="AH271" s="1"/>
      <c r="AI271" s="1"/>
      <c r="AJ271" s="1"/>
    </row>
    <row r="272" spans="1:36">
      <c r="A272" s="36" t="s">
        <v>3047</v>
      </c>
      <c r="B272" s="36" t="s">
        <v>3048</v>
      </c>
      <c r="C272" s="36" t="s">
        <v>3137</v>
      </c>
      <c r="D272" s="61" t="s">
        <v>3138</v>
      </c>
      <c r="E272" s="38" t="s">
        <v>3139</v>
      </c>
      <c r="F272" s="36"/>
      <c r="G272" s="36" t="s">
        <v>435</v>
      </c>
      <c r="H272" s="36" t="s">
        <v>3140</v>
      </c>
      <c r="I272" s="40" t="s">
        <v>130</v>
      </c>
      <c r="J272" s="36" t="s">
        <v>94</v>
      </c>
      <c r="K272" s="36" t="s">
        <v>94</v>
      </c>
      <c r="L272" s="36" t="s">
        <v>2099</v>
      </c>
      <c r="M272" s="36" t="s">
        <v>3141</v>
      </c>
      <c r="N272" s="36" t="s">
        <v>3142</v>
      </c>
      <c r="O272" s="36" t="s">
        <v>3055</v>
      </c>
      <c r="P272" s="36" t="s">
        <v>1858</v>
      </c>
      <c r="Q272" s="36" t="s">
        <v>3143</v>
      </c>
      <c r="R272" s="36" t="s">
        <v>164</v>
      </c>
      <c r="S272" s="42" t="s">
        <v>5131</v>
      </c>
      <c r="T272" s="43" t="s">
        <v>3144</v>
      </c>
      <c r="U272" s="44" t="s">
        <v>3136</v>
      </c>
      <c r="V272" s="43" t="s">
        <v>130</v>
      </c>
      <c r="W272" s="43" t="s">
        <v>130</v>
      </c>
      <c r="X272" s="43" t="s">
        <v>130</v>
      </c>
      <c r="Y272" s="43" t="s">
        <v>130</v>
      </c>
      <c r="Z272" s="43" t="s">
        <v>130</v>
      </c>
      <c r="AA272" s="43" t="s">
        <v>130</v>
      </c>
      <c r="AB272" s="43" t="s">
        <v>130</v>
      </c>
      <c r="AC272" s="43"/>
      <c r="AD272" s="43"/>
      <c r="AE272" s="43"/>
      <c r="AF272" s="43"/>
      <c r="AG272" s="45"/>
      <c r="AH272" s="1"/>
      <c r="AI272" s="1"/>
      <c r="AJ272" s="1"/>
    </row>
    <row r="273" spans="1:36">
      <c r="A273" s="36" t="s">
        <v>3047</v>
      </c>
      <c r="B273" s="36" t="s">
        <v>3048</v>
      </c>
      <c r="C273" s="36" t="s">
        <v>3146</v>
      </c>
      <c r="D273" s="36" t="s">
        <v>3147</v>
      </c>
      <c r="E273" s="38" t="s">
        <v>3146</v>
      </c>
      <c r="F273" s="36"/>
      <c r="G273" s="36" t="s">
        <v>3148</v>
      </c>
      <c r="H273" s="36" t="s">
        <v>3149</v>
      </c>
      <c r="I273" s="40"/>
      <c r="J273" s="36" t="s">
        <v>230</v>
      </c>
      <c r="K273" s="36" t="s">
        <v>94</v>
      </c>
      <c r="L273" s="36" t="s">
        <v>2099</v>
      </c>
      <c r="M273" s="36" t="s">
        <v>3150</v>
      </c>
      <c r="N273" s="36" t="s">
        <v>3151</v>
      </c>
      <c r="O273" s="36" t="s">
        <v>3152</v>
      </c>
      <c r="P273" s="36" t="s">
        <v>3153</v>
      </c>
      <c r="Q273" s="36" t="s">
        <v>3154</v>
      </c>
      <c r="R273" s="36" t="s">
        <v>3155</v>
      </c>
      <c r="S273" s="42" t="s">
        <v>5076</v>
      </c>
      <c r="T273" s="43" t="s">
        <v>3156</v>
      </c>
      <c r="U273" s="44" t="s">
        <v>3157</v>
      </c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5"/>
      <c r="AH273" s="1"/>
      <c r="AI273" s="1"/>
      <c r="AJ273" s="1"/>
    </row>
    <row r="274" spans="1:36">
      <c r="A274" s="36" t="s">
        <v>3047</v>
      </c>
      <c r="B274" s="36" t="s">
        <v>3048</v>
      </c>
      <c r="C274" s="36" t="s">
        <v>3158</v>
      </c>
      <c r="D274" s="36" t="s">
        <v>3159</v>
      </c>
      <c r="E274" s="38" t="s">
        <v>3158</v>
      </c>
      <c r="F274" s="36"/>
      <c r="G274" s="36" t="s">
        <v>3148</v>
      </c>
      <c r="H274" s="36" t="s">
        <v>3149</v>
      </c>
      <c r="I274" s="40"/>
      <c r="J274" s="36" t="s">
        <v>94</v>
      </c>
      <c r="K274" s="36" t="s">
        <v>94</v>
      </c>
      <c r="L274" s="36" t="s">
        <v>2099</v>
      </c>
      <c r="M274" s="36" t="s">
        <v>3162</v>
      </c>
      <c r="N274" s="36" t="s">
        <v>3163</v>
      </c>
      <c r="O274" s="36" t="s">
        <v>3152</v>
      </c>
      <c r="P274" s="36" t="s">
        <v>3164</v>
      </c>
      <c r="Q274" s="36" t="s">
        <v>3165</v>
      </c>
      <c r="R274" s="36" t="s">
        <v>3166</v>
      </c>
      <c r="S274" s="42" t="s">
        <v>5105</v>
      </c>
      <c r="T274" s="43" t="s">
        <v>3167</v>
      </c>
      <c r="U274" s="44" t="s">
        <v>3157</v>
      </c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5"/>
      <c r="AH274" s="1"/>
      <c r="AI274" s="1"/>
      <c r="AJ274" s="1"/>
    </row>
    <row r="275" spans="1:36">
      <c r="A275" s="36" t="s">
        <v>3047</v>
      </c>
      <c r="B275" s="36" t="s">
        <v>3048</v>
      </c>
      <c r="C275" s="36" t="s">
        <v>3168</v>
      </c>
      <c r="D275" s="36" t="s">
        <v>3169</v>
      </c>
      <c r="E275" s="38" t="s">
        <v>3168</v>
      </c>
      <c r="F275" s="36"/>
      <c r="G275" s="36" t="s">
        <v>3148</v>
      </c>
      <c r="H275" s="36" t="s">
        <v>3149</v>
      </c>
      <c r="I275" s="40"/>
      <c r="J275" s="36" t="s">
        <v>230</v>
      </c>
      <c r="K275" s="36" t="s">
        <v>94</v>
      </c>
      <c r="L275" s="36" t="s">
        <v>2099</v>
      </c>
      <c r="M275" s="36" t="s">
        <v>3170</v>
      </c>
      <c r="N275" s="36" t="s">
        <v>3171</v>
      </c>
      <c r="O275" s="36" t="s">
        <v>3152</v>
      </c>
      <c r="P275" s="36" t="s">
        <v>3172</v>
      </c>
      <c r="Q275" s="36" t="s">
        <v>3173</v>
      </c>
      <c r="R275" s="36" t="s">
        <v>3175</v>
      </c>
      <c r="S275" s="42" t="s">
        <v>5084</v>
      </c>
      <c r="T275" s="43" t="s">
        <v>3176</v>
      </c>
      <c r="U275" s="44" t="s">
        <v>3177</v>
      </c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5"/>
      <c r="AH275" s="1"/>
      <c r="AI275" s="1"/>
      <c r="AJ275" s="1"/>
    </row>
    <row r="276" spans="1:36">
      <c r="A276" s="36" t="s">
        <v>3047</v>
      </c>
      <c r="B276" s="36" t="s">
        <v>3048</v>
      </c>
      <c r="C276" s="36" t="s">
        <v>3178</v>
      </c>
      <c r="D276" s="36" t="s">
        <v>3179</v>
      </c>
      <c r="E276" s="38" t="s">
        <v>3178</v>
      </c>
      <c r="F276" s="36"/>
      <c r="G276" s="36" t="s">
        <v>3148</v>
      </c>
      <c r="H276" s="36" t="s">
        <v>3149</v>
      </c>
      <c r="I276" s="40"/>
      <c r="J276" s="36" t="s">
        <v>94</v>
      </c>
      <c r="K276" s="36" t="s">
        <v>94</v>
      </c>
      <c r="L276" s="36" t="s">
        <v>2099</v>
      </c>
      <c r="M276" s="36" t="s">
        <v>3180</v>
      </c>
      <c r="N276" s="36" t="s">
        <v>3181</v>
      </c>
      <c r="O276" s="36" t="s">
        <v>3152</v>
      </c>
      <c r="P276" s="36" t="s">
        <v>3182</v>
      </c>
      <c r="Q276" s="36" t="s">
        <v>3183</v>
      </c>
      <c r="R276" s="36" t="s">
        <v>3184</v>
      </c>
      <c r="S276" s="42" t="s">
        <v>5069</v>
      </c>
      <c r="T276" s="43" t="s">
        <v>3185</v>
      </c>
      <c r="U276" s="44" t="s">
        <v>3177</v>
      </c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5"/>
      <c r="AH276" s="1"/>
      <c r="AI276" s="1"/>
      <c r="AJ276" s="1"/>
    </row>
    <row r="277" spans="1:36">
      <c r="A277" s="36" t="s">
        <v>3047</v>
      </c>
      <c r="B277" s="36" t="s">
        <v>3048</v>
      </c>
      <c r="C277" s="36" t="s">
        <v>3187</v>
      </c>
      <c r="D277" s="36" t="s">
        <v>3188</v>
      </c>
      <c r="E277" s="38" t="s">
        <v>3187</v>
      </c>
      <c r="F277" s="36"/>
      <c r="G277" s="36" t="s">
        <v>3189</v>
      </c>
      <c r="H277" s="36" t="s">
        <v>3190</v>
      </c>
      <c r="I277" s="40"/>
      <c r="J277" s="36" t="s">
        <v>94</v>
      </c>
      <c r="K277" s="36" t="s">
        <v>94</v>
      </c>
      <c r="L277" s="36" t="s">
        <v>2099</v>
      </c>
      <c r="M277" s="36" t="s">
        <v>3191</v>
      </c>
      <c r="N277" s="36" t="s">
        <v>3192</v>
      </c>
      <c r="O277" s="36" t="s">
        <v>3152</v>
      </c>
      <c r="P277" s="36" t="s">
        <v>2993</v>
      </c>
      <c r="Q277" s="36" t="s">
        <v>3193</v>
      </c>
      <c r="R277" s="36" t="s">
        <v>976</v>
      </c>
      <c r="S277" s="42" t="s">
        <v>5081</v>
      </c>
      <c r="T277" s="43" t="s">
        <v>3194</v>
      </c>
      <c r="U277" s="44" t="s">
        <v>551</v>
      </c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5"/>
      <c r="AH277" s="1"/>
      <c r="AI277" s="1"/>
      <c r="AJ277" s="1"/>
    </row>
    <row r="278" spans="1:36">
      <c r="A278" s="36" t="s">
        <v>3047</v>
      </c>
      <c r="B278" s="36" t="s">
        <v>3048</v>
      </c>
      <c r="C278" s="36" t="s">
        <v>3195</v>
      </c>
      <c r="D278" s="36" t="s">
        <v>3196</v>
      </c>
      <c r="E278" s="38" t="s">
        <v>3195</v>
      </c>
      <c r="F278" s="36"/>
      <c r="G278" s="36" t="s">
        <v>3189</v>
      </c>
      <c r="H278" s="36" t="s">
        <v>3190</v>
      </c>
      <c r="I278" s="40"/>
      <c r="J278" s="36" t="s">
        <v>94</v>
      </c>
      <c r="K278" s="36" t="s">
        <v>94</v>
      </c>
      <c r="L278" s="36" t="s">
        <v>2099</v>
      </c>
      <c r="M278" s="36" t="s">
        <v>3198</v>
      </c>
      <c r="N278" s="36" t="s">
        <v>3199</v>
      </c>
      <c r="O278" s="36" t="s">
        <v>3152</v>
      </c>
      <c r="P278" s="36" t="s">
        <v>3201</v>
      </c>
      <c r="Q278" s="36" t="s">
        <v>3202</v>
      </c>
      <c r="R278" s="36" t="s">
        <v>3203</v>
      </c>
      <c r="S278" s="42" t="s">
        <v>5071</v>
      </c>
      <c r="T278" s="43" t="s">
        <v>3204</v>
      </c>
      <c r="U278" s="44" t="s">
        <v>3205</v>
      </c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5"/>
      <c r="AH278" s="1"/>
      <c r="AI278" s="1"/>
      <c r="AJ278" s="1"/>
    </row>
    <row r="279" spans="1:36">
      <c r="A279" s="36" t="s">
        <v>3047</v>
      </c>
      <c r="B279" s="36" t="s">
        <v>3048</v>
      </c>
      <c r="C279" s="36" t="s">
        <v>3206</v>
      </c>
      <c r="D279" s="36" t="s">
        <v>3207</v>
      </c>
      <c r="E279" s="38" t="s">
        <v>3206</v>
      </c>
      <c r="F279" s="36"/>
      <c r="G279" s="36" t="s">
        <v>3189</v>
      </c>
      <c r="H279" s="36" t="s">
        <v>3190</v>
      </c>
      <c r="I279" s="40"/>
      <c r="J279" s="36" t="s">
        <v>930</v>
      </c>
      <c r="K279" s="36" t="s">
        <v>94</v>
      </c>
      <c r="L279" s="36" t="s">
        <v>2099</v>
      </c>
      <c r="M279" s="36" t="s">
        <v>3208</v>
      </c>
      <c r="N279" s="36" t="s">
        <v>3209</v>
      </c>
      <c r="O279" s="36" t="s">
        <v>3152</v>
      </c>
      <c r="P279" s="36" t="s">
        <v>3001</v>
      </c>
      <c r="Q279" s="36" t="s">
        <v>3210</v>
      </c>
      <c r="R279" s="36" t="s">
        <v>3211</v>
      </c>
      <c r="S279" s="42" t="s">
        <v>5083</v>
      </c>
      <c r="T279" s="43" t="s">
        <v>3213</v>
      </c>
      <c r="U279" s="44" t="s">
        <v>3205</v>
      </c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5"/>
      <c r="AH279" s="1"/>
      <c r="AI279" s="1"/>
      <c r="AJ279" s="1"/>
    </row>
    <row r="280" spans="1:36">
      <c r="A280" s="36" t="s">
        <v>3047</v>
      </c>
      <c r="B280" s="36" t="s">
        <v>3048</v>
      </c>
      <c r="C280" s="36" t="s">
        <v>3214</v>
      </c>
      <c r="D280" s="61" t="s">
        <v>3215</v>
      </c>
      <c r="E280" s="38" t="s">
        <v>3214</v>
      </c>
      <c r="F280" s="36"/>
      <c r="G280" s="36" t="s">
        <v>3216</v>
      </c>
      <c r="H280" s="36" t="s">
        <v>3217</v>
      </c>
      <c r="I280" s="40"/>
      <c r="J280" s="36" t="s">
        <v>94</v>
      </c>
      <c r="K280" s="36" t="s">
        <v>94</v>
      </c>
      <c r="L280" s="36" t="s">
        <v>2099</v>
      </c>
      <c r="M280" s="36" t="s">
        <v>3218</v>
      </c>
      <c r="N280" s="36" t="s">
        <v>3219</v>
      </c>
      <c r="O280" s="36" t="s">
        <v>3152</v>
      </c>
      <c r="P280" s="36" t="s">
        <v>2986</v>
      </c>
      <c r="Q280" s="36" t="s">
        <v>3220</v>
      </c>
      <c r="R280" s="36" t="s">
        <v>3221</v>
      </c>
      <c r="S280" s="42" t="s">
        <v>5068</v>
      </c>
      <c r="T280" s="43" t="s">
        <v>3222</v>
      </c>
      <c r="U280" s="44" t="s">
        <v>3223</v>
      </c>
      <c r="V280" s="43"/>
      <c r="W280" s="43"/>
      <c r="X280" s="43"/>
      <c r="Y280" s="43"/>
      <c r="Z280" s="43"/>
      <c r="AA280" s="43"/>
      <c r="AB280" s="43" t="s">
        <v>130</v>
      </c>
      <c r="AC280" s="43"/>
      <c r="AD280" s="43"/>
      <c r="AE280" s="43"/>
      <c r="AF280" s="43"/>
      <c r="AG280" s="45"/>
      <c r="AH280" s="1"/>
      <c r="AI280" s="1"/>
      <c r="AJ280" s="1"/>
    </row>
    <row r="281" spans="1:36">
      <c r="A281" s="36" t="s">
        <v>3047</v>
      </c>
      <c r="B281" s="36" t="s">
        <v>3048</v>
      </c>
      <c r="C281" s="36" t="s">
        <v>3225</v>
      </c>
      <c r="D281" s="61" t="s">
        <v>3226</v>
      </c>
      <c r="E281" s="38" t="s">
        <v>3225</v>
      </c>
      <c r="F281" s="36"/>
      <c r="G281" s="36" t="s">
        <v>3216</v>
      </c>
      <c r="H281" s="36" t="s">
        <v>3217</v>
      </c>
      <c r="I281" s="40"/>
      <c r="J281" s="36" t="s">
        <v>94</v>
      </c>
      <c r="K281" s="36" t="s">
        <v>94</v>
      </c>
      <c r="L281" s="36" t="s">
        <v>2099</v>
      </c>
      <c r="M281" s="36" t="s">
        <v>3227</v>
      </c>
      <c r="N281" s="36" t="s">
        <v>3228</v>
      </c>
      <c r="O281" s="36" t="s">
        <v>3152</v>
      </c>
      <c r="P281" s="36" t="s">
        <v>3013</v>
      </c>
      <c r="Q281" s="36" t="s">
        <v>3231</v>
      </c>
      <c r="R281" s="36" t="s">
        <v>3232</v>
      </c>
      <c r="S281" s="42" t="s">
        <v>5079</v>
      </c>
      <c r="T281" s="43" t="s">
        <v>3233</v>
      </c>
      <c r="U281" s="44" t="s">
        <v>3234</v>
      </c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5"/>
      <c r="AH281" s="1"/>
      <c r="AI281" s="1"/>
      <c r="AJ281" s="1"/>
    </row>
    <row r="282" spans="1:36">
      <c r="A282" s="36" t="s">
        <v>3047</v>
      </c>
      <c r="B282" s="36" t="s">
        <v>3048</v>
      </c>
      <c r="C282" s="36" t="s">
        <v>3235</v>
      </c>
      <c r="D282" s="36" t="s">
        <v>3236</v>
      </c>
      <c r="E282" s="38" t="s">
        <v>3235</v>
      </c>
      <c r="F282" s="36"/>
      <c r="G282" s="36" t="s">
        <v>3216</v>
      </c>
      <c r="H282" s="36" t="s">
        <v>3217</v>
      </c>
      <c r="I282" s="40" t="s">
        <v>130</v>
      </c>
      <c r="J282" s="36" t="s">
        <v>94</v>
      </c>
      <c r="K282" s="36" t="s">
        <v>94</v>
      </c>
      <c r="L282" s="36" t="s">
        <v>2099</v>
      </c>
      <c r="M282" s="36" t="s">
        <v>3237</v>
      </c>
      <c r="N282" s="36" t="s">
        <v>3238</v>
      </c>
      <c r="O282" s="36" t="s">
        <v>3152</v>
      </c>
      <c r="P282" s="36" t="s">
        <v>3239</v>
      </c>
      <c r="Q282" s="36" t="s">
        <v>3240</v>
      </c>
      <c r="R282" s="36" t="s">
        <v>164</v>
      </c>
      <c r="S282" s="42" t="s">
        <v>5106</v>
      </c>
      <c r="T282" s="43" t="s">
        <v>3241</v>
      </c>
      <c r="U282" s="44" t="s">
        <v>3223</v>
      </c>
      <c r="V282" s="43"/>
      <c r="W282" s="43" t="s">
        <v>130</v>
      </c>
      <c r="X282" s="43"/>
      <c r="Y282" s="43"/>
      <c r="Z282" s="43"/>
      <c r="AA282" s="43" t="s">
        <v>130</v>
      </c>
      <c r="AB282" s="43" t="s">
        <v>130</v>
      </c>
      <c r="AC282" s="43"/>
      <c r="AD282" s="43"/>
      <c r="AE282" s="43"/>
      <c r="AF282" s="43"/>
      <c r="AG282" s="45"/>
      <c r="AH282" s="1"/>
      <c r="AI282" s="1"/>
      <c r="AJ282" s="1"/>
    </row>
    <row r="283" spans="1:36">
      <c r="A283" s="36" t="s">
        <v>3047</v>
      </c>
      <c r="B283" s="36" t="s">
        <v>3048</v>
      </c>
      <c r="C283" s="36" t="s">
        <v>3244</v>
      </c>
      <c r="D283" s="57" t="s">
        <v>3245</v>
      </c>
      <c r="E283" s="38" t="s">
        <v>3244</v>
      </c>
      <c r="F283" s="36"/>
      <c r="G283" s="36" t="s">
        <v>3216</v>
      </c>
      <c r="H283" s="36" t="s">
        <v>3217</v>
      </c>
      <c r="I283" s="40"/>
      <c r="J283" s="36" t="s">
        <v>1369</v>
      </c>
      <c r="K283" s="36" t="s">
        <v>94</v>
      </c>
      <c r="L283" s="36" t="s">
        <v>2099</v>
      </c>
      <c r="M283" s="36" t="s">
        <v>3246</v>
      </c>
      <c r="N283" s="36" t="s">
        <v>3247</v>
      </c>
      <c r="O283" s="36" t="s">
        <v>3152</v>
      </c>
      <c r="P283" s="36" t="s">
        <v>3032</v>
      </c>
      <c r="Q283" s="36" t="s">
        <v>3248</v>
      </c>
      <c r="R283" s="36" t="s">
        <v>3249</v>
      </c>
      <c r="S283" s="42" t="s">
        <v>5070</v>
      </c>
      <c r="T283" s="43" t="s">
        <v>3250</v>
      </c>
      <c r="U283" s="44" t="s">
        <v>3127</v>
      </c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5"/>
      <c r="AH283" s="1"/>
      <c r="AI283" s="1"/>
      <c r="AJ283" s="1"/>
    </row>
    <row r="284" spans="1:36">
      <c r="A284" s="36" t="s">
        <v>3047</v>
      </c>
      <c r="B284" s="36" t="s">
        <v>3048</v>
      </c>
      <c r="C284" s="36" t="s">
        <v>3251</v>
      </c>
      <c r="D284" s="36" t="s">
        <v>3252</v>
      </c>
      <c r="E284" s="38" t="s">
        <v>3251</v>
      </c>
      <c r="F284" s="36"/>
      <c r="G284" s="36" t="s">
        <v>3216</v>
      </c>
      <c r="H284" s="36" t="s">
        <v>3217</v>
      </c>
      <c r="I284" s="40"/>
      <c r="J284" s="36" t="s">
        <v>230</v>
      </c>
      <c r="K284" s="36" t="s">
        <v>94</v>
      </c>
      <c r="L284" s="36" t="s">
        <v>2099</v>
      </c>
      <c r="M284" s="36" t="s">
        <v>3254</v>
      </c>
      <c r="N284" s="36" t="s">
        <v>3255</v>
      </c>
      <c r="O284" s="36" t="s">
        <v>3152</v>
      </c>
      <c r="P284" s="36" t="s">
        <v>3034</v>
      </c>
      <c r="Q284" s="36" t="s">
        <v>3256</v>
      </c>
      <c r="R284" s="36" t="s">
        <v>3257</v>
      </c>
      <c r="S284" s="42" t="s">
        <v>5080</v>
      </c>
      <c r="T284" s="43" t="s">
        <v>3258</v>
      </c>
      <c r="U284" s="44" t="s">
        <v>3234</v>
      </c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5"/>
      <c r="AH284" s="1"/>
      <c r="AI284" s="1"/>
      <c r="AJ284" s="1"/>
    </row>
    <row r="285" spans="1:36">
      <c r="A285" s="36" t="s">
        <v>3047</v>
      </c>
      <c r="B285" s="36" t="s">
        <v>3048</v>
      </c>
      <c r="C285" s="36" t="s">
        <v>3259</v>
      </c>
      <c r="D285" s="36" t="s">
        <v>3260</v>
      </c>
      <c r="E285" s="38" t="s">
        <v>1809</v>
      </c>
      <c r="F285" s="36"/>
      <c r="G285" s="36" t="s">
        <v>3261</v>
      </c>
      <c r="H285" s="36" t="s">
        <v>3262</v>
      </c>
      <c r="I285" s="40"/>
      <c r="J285" s="36" t="s">
        <v>94</v>
      </c>
      <c r="K285" s="36" t="s">
        <v>94</v>
      </c>
      <c r="L285" s="36" t="s">
        <v>2099</v>
      </c>
      <c r="M285" s="36" t="s">
        <v>3263</v>
      </c>
      <c r="N285" s="36" t="s">
        <v>3264</v>
      </c>
      <c r="O285" s="36" t="s">
        <v>3055</v>
      </c>
      <c r="P285" s="36" t="s">
        <v>1823</v>
      </c>
      <c r="Q285" s="36" t="s">
        <v>3265</v>
      </c>
      <c r="R285" s="36" t="s">
        <v>2685</v>
      </c>
      <c r="S285" s="42" t="s">
        <v>5077</v>
      </c>
      <c r="T285" s="43" t="s">
        <v>3267</v>
      </c>
      <c r="U285" s="44" t="s">
        <v>3268</v>
      </c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5"/>
      <c r="AH285" s="1"/>
      <c r="AI285" s="1"/>
      <c r="AJ285" s="1"/>
    </row>
    <row r="286" spans="1:36">
      <c r="A286" s="36" t="s">
        <v>3047</v>
      </c>
      <c r="B286" s="36" t="s">
        <v>3048</v>
      </c>
      <c r="C286" s="36" t="s">
        <v>3269</v>
      </c>
      <c r="D286" s="36" t="s">
        <v>3270</v>
      </c>
      <c r="E286" s="38" t="s">
        <v>1818</v>
      </c>
      <c r="F286" s="36"/>
      <c r="G286" s="36" t="s">
        <v>3261</v>
      </c>
      <c r="H286" s="36" t="s">
        <v>3262</v>
      </c>
      <c r="I286" s="40"/>
      <c r="J286" s="36" t="s">
        <v>930</v>
      </c>
      <c r="K286" s="36" t="s">
        <v>94</v>
      </c>
      <c r="L286" s="36" t="s">
        <v>2099</v>
      </c>
      <c r="M286" s="36" t="s">
        <v>3271</v>
      </c>
      <c r="N286" s="36" t="s">
        <v>3272</v>
      </c>
      <c r="O286" s="36" t="s">
        <v>3055</v>
      </c>
      <c r="P286" s="36" t="s">
        <v>3273</v>
      </c>
      <c r="Q286" s="36" t="s">
        <v>3274</v>
      </c>
      <c r="R286" s="36" t="s">
        <v>3275</v>
      </c>
      <c r="S286" s="42" t="s">
        <v>5085</v>
      </c>
      <c r="T286" s="43" t="s">
        <v>3278</v>
      </c>
      <c r="U286" s="44" t="s">
        <v>3268</v>
      </c>
      <c r="V286" s="43" t="s">
        <v>130</v>
      </c>
      <c r="W286" s="43" t="s">
        <v>130</v>
      </c>
      <c r="X286" s="43" t="s">
        <v>130</v>
      </c>
      <c r="Y286" s="43"/>
      <c r="Z286" s="43"/>
      <c r="AA286" s="43"/>
      <c r="AB286" s="43"/>
      <c r="AC286" s="43"/>
      <c r="AD286" s="43"/>
      <c r="AE286" s="43"/>
      <c r="AF286" s="43"/>
      <c r="AG286" s="45"/>
      <c r="AH286" s="1"/>
      <c r="AI286" s="1"/>
      <c r="AJ286" s="1"/>
    </row>
    <row r="287" spans="1:36">
      <c r="A287" s="36" t="s">
        <v>3047</v>
      </c>
      <c r="B287" s="36" t="s">
        <v>3048</v>
      </c>
      <c r="C287" s="36" t="s">
        <v>3279</v>
      </c>
      <c r="D287" s="36" t="s">
        <v>3280</v>
      </c>
      <c r="E287" s="38" t="s">
        <v>1767</v>
      </c>
      <c r="F287" s="36"/>
      <c r="G287" s="36" t="s">
        <v>3261</v>
      </c>
      <c r="H287" s="36" t="s">
        <v>3262</v>
      </c>
      <c r="I287" s="40" t="s">
        <v>130</v>
      </c>
      <c r="J287" s="36" t="s">
        <v>94</v>
      </c>
      <c r="K287" s="36" t="s">
        <v>94</v>
      </c>
      <c r="L287" s="36" t="s">
        <v>2099</v>
      </c>
      <c r="M287" s="36" t="s">
        <v>3281</v>
      </c>
      <c r="N287" s="36" t="s">
        <v>3282</v>
      </c>
      <c r="O287" s="36" t="s">
        <v>3055</v>
      </c>
      <c r="P287" s="36" t="s">
        <v>1749</v>
      </c>
      <c r="Q287" s="36" t="s">
        <v>3283</v>
      </c>
      <c r="R287" s="36" t="s">
        <v>164</v>
      </c>
      <c r="S287" s="42" t="s">
        <v>5078</v>
      </c>
      <c r="T287" s="43" t="s">
        <v>3284</v>
      </c>
      <c r="U287" s="44" t="s">
        <v>3268</v>
      </c>
      <c r="V287" s="43" t="s">
        <v>130</v>
      </c>
      <c r="W287" s="43" t="s">
        <v>130</v>
      </c>
      <c r="X287" s="43" t="s">
        <v>130</v>
      </c>
      <c r="Y287" s="43" t="s">
        <v>130</v>
      </c>
      <c r="Z287" s="43" t="s">
        <v>130</v>
      </c>
      <c r="AA287" s="43" t="s">
        <v>130</v>
      </c>
      <c r="AB287" s="43" t="s">
        <v>130</v>
      </c>
      <c r="AC287" s="43"/>
      <c r="AD287" s="43"/>
      <c r="AE287" s="43"/>
      <c r="AF287" s="43"/>
      <c r="AG287" s="45"/>
      <c r="AH287" s="1"/>
      <c r="AI287" s="1"/>
      <c r="AJ287" s="1"/>
    </row>
    <row r="288" spans="1:36">
      <c r="A288" s="36" t="s">
        <v>3047</v>
      </c>
      <c r="B288" s="36" t="s">
        <v>3048</v>
      </c>
      <c r="C288" s="36" t="s">
        <v>3287</v>
      </c>
      <c r="D288" s="36" t="s">
        <v>3288</v>
      </c>
      <c r="E288" s="38" t="s">
        <v>1828</v>
      </c>
      <c r="F288" s="36"/>
      <c r="G288" s="36" t="s">
        <v>3261</v>
      </c>
      <c r="H288" s="36" t="s">
        <v>3262</v>
      </c>
      <c r="I288" s="40" t="s">
        <v>130</v>
      </c>
      <c r="J288" s="36" t="s">
        <v>94</v>
      </c>
      <c r="K288" s="36" t="s">
        <v>94</v>
      </c>
      <c r="L288" s="36" t="s">
        <v>2099</v>
      </c>
      <c r="M288" s="36" t="s">
        <v>3289</v>
      </c>
      <c r="N288" s="36" t="s">
        <v>3290</v>
      </c>
      <c r="O288" s="36" t="s">
        <v>3055</v>
      </c>
      <c r="P288" s="36" t="s">
        <v>1812</v>
      </c>
      <c r="Q288" s="36" t="s">
        <v>3291</v>
      </c>
      <c r="R288" s="36" t="s">
        <v>164</v>
      </c>
      <c r="S288" s="42" t="s">
        <v>5132</v>
      </c>
      <c r="T288" s="43" t="s">
        <v>3292</v>
      </c>
      <c r="U288" s="44" t="s">
        <v>3293</v>
      </c>
      <c r="V288" s="43" t="s">
        <v>130</v>
      </c>
      <c r="W288" s="43" t="s">
        <v>130</v>
      </c>
      <c r="X288" s="43" t="s">
        <v>130</v>
      </c>
      <c r="Y288" s="43" t="s">
        <v>130</v>
      </c>
      <c r="Z288" s="43" t="s">
        <v>130</v>
      </c>
      <c r="AA288" s="43" t="s">
        <v>130</v>
      </c>
      <c r="AB288" s="43" t="s">
        <v>130</v>
      </c>
      <c r="AC288" s="43"/>
      <c r="AD288" s="43"/>
      <c r="AE288" s="43"/>
      <c r="AF288" s="43"/>
      <c r="AG288" s="45"/>
      <c r="AH288" s="1"/>
      <c r="AI288" s="1"/>
      <c r="AJ288" s="1"/>
    </row>
    <row r="289" spans="1:36">
      <c r="A289" s="36" t="s">
        <v>3296</v>
      </c>
      <c r="B289" s="36" t="s">
        <v>3297</v>
      </c>
      <c r="C289" s="36" t="s">
        <v>3298</v>
      </c>
      <c r="D289" s="61" t="s">
        <v>3299</v>
      </c>
      <c r="E289" s="38" t="s">
        <v>2497</v>
      </c>
      <c r="F289" s="36"/>
      <c r="G289" s="36" t="s">
        <v>435</v>
      </c>
      <c r="H289" s="36" t="s">
        <v>3300</v>
      </c>
      <c r="I289" s="40" t="s">
        <v>130</v>
      </c>
      <c r="J289" s="46" t="s">
        <v>94</v>
      </c>
      <c r="K289" s="36" t="s">
        <v>94</v>
      </c>
      <c r="L289" s="36" t="s">
        <v>3301</v>
      </c>
      <c r="M289" s="36" t="s">
        <v>1528</v>
      </c>
      <c r="N289" s="36" t="s">
        <v>3302</v>
      </c>
      <c r="O289" s="36" t="s">
        <v>3297</v>
      </c>
      <c r="P289" s="36" t="s">
        <v>1528</v>
      </c>
      <c r="Q289" s="36" t="s">
        <v>3303</v>
      </c>
      <c r="R289" s="36" t="s">
        <v>164</v>
      </c>
      <c r="S289" s="42" t="s">
        <v>5138</v>
      </c>
      <c r="T289" s="43" t="s">
        <v>1528</v>
      </c>
      <c r="U289" s="44" t="s">
        <v>3304</v>
      </c>
      <c r="V289" s="43"/>
      <c r="W289" s="43"/>
      <c r="X289" s="43"/>
      <c r="Y289" s="43"/>
      <c r="Z289" s="43"/>
      <c r="AA289" s="43" t="s">
        <v>130</v>
      </c>
      <c r="AB289" s="43" t="s">
        <v>130</v>
      </c>
      <c r="AC289" s="43"/>
      <c r="AD289" s="43"/>
      <c r="AE289" s="43"/>
      <c r="AF289" s="43"/>
      <c r="AG289" s="45"/>
      <c r="AH289" s="1"/>
      <c r="AI289" s="1"/>
      <c r="AJ289" s="1"/>
    </row>
    <row r="290" spans="1:36">
      <c r="A290" s="36" t="s">
        <v>3296</v>
      </c>
      <c r="B290" s="36" t="s">
        <v>3297</v>
      </c>
      <c r="C290" s="36" t="s">
        <v>3305</v>
      </c>
      <c r="D290" s="61" t="s">
        <v>3307</v>
      </c>
      <c r="E290" s="38" t="s">
        <v>2497</v>
      </c>
      <c r="F290" s="36"/>
      <c r="G290" s="36" t="s">
        <v>435</v>
      </c>
      <c r="H290" s="36" t="s">
        <v>3300</v>
      </c>
      <c r="I290" s="40" t="s">
        <v>130</v>
      </c>
      <c r="J290" s="46" t="s">
        <v>94</v>
      </c>
      <c r="K290" s="36" t="s">
        <v>94</v>
      </c>
      <c r="L290" s="36" t="s">
        <v>3301</v>
      </c>
      <c r="M290" s="36"/>
      <c r="N290" s="36"/>
      <c r="O290" s="36" t="s">
        <v>3297</v>
      </c>
      <c r="P290" s="36" t="s">
        <v>1528</v>
      </c>
      <c r="Q290" s="36" t="s">
        <v>3303</v>
      </c>
      <c r="R290" s="36" t="s">
        <v>164</v>
      </c>
      <c r="S290" s="42" t="s">
        <v>5100</v>
      </c>
      <c r="T290" s="43" t="s">
        <v>1528</v>
      </c>
      <c r="U290" s="44" t="s">
        <v>3304</v>
      </c>
      <c r="V290" s="43"/>
      <c r="W290" s="43"/>
      <c r="X290" s="43"/>
      <c r="Y290" s="43"/>
      <c r="Z290" s="43"/>
      <c r="AA290" s="43" t="s">
        <v>130</v>
      </c>
      <c r="AB290" s="43" t="s">
        <v>130</v>
      </c>
      <c r="AC290" s="43"/>
      <c r="AD290" s="43"/>
      <c r="AE290" s="43"/>
      <c r="AF290" s="43"/>
      <c r="AG290" s="45"/>
      <c r="AH290" s="1"/>
      <c r="AI290" s="1"/>
      <c r="AJ290" s="1"/>
    </row>
    <row r="291" spans="1:36">
      <c r="A291" s="36" t="s">
        <v>3296</v>
      </c>
      <c r="B291" s="36" t="s">
        <v>3297</v>
      </c>
      <c r="C291" s="36" t="s">
        <v>2686</v>
      </c>
      <c r="D291" s="36" t="s">
        <v>3309</v>
      </c>
      <c r="E291" s="38" t="s">
        <v>2579</v>
      </c>
      <c r="F291" s="36"/>
      <c r="G291" s="36" t="s">
        <v>435</v>
      </c>
      <c r="H291" s="36" t="s">
        <v>3300</v>
      </c>
      <c r="I291" s="40" t="s">
        <v>130</v>
      </c>
      <c r="J291" s="36" t="s">
        <v>94</v>
      </c>
      <c r="K291" s="36" t="s">
        <v>94</v>
      </c>
      <c r="L291" s="36" t="s">
        <v>3301</v>
      </c>
      <c r="M291" s="36" t="s">
        <v>985</v>
      </c>
      <c r="N291" s="36" t="s">
        <v>3310</v>
      </c>
      <c r="O291" s="36" t="s">
        <v>3311</v>
      </c>
      <c r="P291" s="36" t="s">
        <v>972</v>
      </c>
      <c r="Q291" s="36" t="s">
        <v>3312</v>
      </c>
      <c r="R291" s="36" t="s">
        <v>164</v>
      </c>
      <c r="S291" s="42" t="s">
        <v>5131</v>
      </c>
      <c r="T291" s="43" t="s">
        <v>3314</v>
      </c>
      <c r="U291" s="44" t="s">
        <v>3315</v>
      </c>
      <c r="V291" s="43"/>
      <c r="W291" s="43" t="s">
        <v>130</v>
      </c>
      <c r="X291" s="43"/>
      <c r="Y291" s="43"/>
      <c r="Z291" s="43"/>
      <c r="AA291" s="43" t="s">
        <v>130</v>
      </c>
      <c r="AB291" s="43" t="s">
        <v>130</v>
      </c>
      <c r="AC291" s="43"/>
      <c r="AD291" s="43"/>
      <c r="AE291" s="43"/>
      <c r="AF291" s="43"/>
      <c r="AG291" s="45"/>
      <c r="AH291" s="1"/>
      <c r="AI291" s="1"/>
      <c r="AJ291" s="1"/>
    </row>
    <row r="292" spans="1:36">
      <c r="A292" s="36" t="s">
        <v>3296</v>
      </c>
      <c r="B292" s="36" t="s">
        <v>3297</v>
      </c>
      <c r="C292" s="36" t="s">
        <v>2698</v>
      </c>
      <c r="D292" s="36" t="s">
        <v>3316</v>
      </c>
      <c r="E292" s="38" t="s">
        <v>3317</v>
      </c>
      <c r="F292" s="36"/>
      <c r="G292" s="36" t="s">
        <v>435</v>
      </c>
      <c r="H292" s="36" t="s">
        <v>3300</v>
      </c>
      <c r="I292" s="40" t="s">
        <v>130</v>
      </c>
      <c r="J292" s="46" t="s">
        <v>94</v>
      </c>
      <c r="K292" s="36" t="s">
        <v>94</v>
      </c>
      <c r="L292" s="36" t="s">
        <v>3301</v>
      </c>
      <c r="M292" s="36" t="s">
        <v>972</v>
      </c>
      <c r="N292" s="36" t="s">
        <v>3318</v>
      </c>
      <c r="O292" s="36" t="s">
        <v>3311</v>
      </c>
      <c r="P292" s="36" t="s">
        <v>985</v>
      </c>
      <c r="Q292" s="36" t="s">
        <v>3319</v>
      </c>
      <c r="R292" s="36" t="s">
        <v>164</v>
      </c>
      <c r="S292" s="42" t="s">
        <v>5134</v>
      </c>
      <c r="T292" s="43" t="s">
        <v>972</v>
      </c>
      <c r="U292" s="44" t="s">
        <v>3315</v>
      </c>
      <c r="V292" s="43" t="s">
        <v>130</v>
      </c>
      <c r="W292" s="43" t="s">
        <v>130</v>
      </c>
      <c r="X292" s="43" t="s">
        <v>130</v>
      </c>
      <c r="Y292" s="43" t="s">
        <v>130</v>
      </c>
      <c r="Z292" s="43" t="s">
        <v>130</v>
      </c>
      <c r="AA292" s="43" t="s">
        <v>130</v>
      </c>
      <c r="AB292" s="43" t="s">
        <v>130</v>
      </c>
      <c r="AC292" s="43"/>
      <c r="AD292" s="43"/>
      <c r="AE292" s="43"/>
      <c r="AF292" s="43"/>
      <c r="AG292" s="45"/>
      <c r="AH292" s="1"/>
      <c r="AI292" s="1"/>
      <c r="AJ292" s="1"/>
    </row>
    <row r="293" spans="1:36">
      <c r="A293" s="36" t="s">
        <v>3296</v>
      </c>
      <c r="B293" s="36" t="s">
        <v>3297</v>
      </c>
      <c r="C293" s="36" t="s">
        <v>2709</v>
      </c>
      <c r="D293" s="157" t="s">
        <v>3321</v>
      </c>
      <c r="E293" s="38" t="s">
        <v>3322</v>
      </c>
      <c r="F293" s="36"/>
      <c r="G293" s="36" t="s">
        <v>435</v>
      </c>
      <c r="H293" s="36" t="s">
        <v>3300</v>
      </c>
      <c r="I293" s="40"/>
      <c r="J293" s="46" t="s">
        <v>159</v>
      </c>
      <c r="K293" s="36" t="s">
        <v>94</v>
      </c>
      <c r="L293" s="36" t="s">
        <v>3301</v>
      </c>
      <c r="M293" s="36" t="s">
        <v>3323</v>
      </c>
      <c r="N293" s="36" t="s">
        <v>3324</v>
      </c>
      <c r="O293" s="36" t="s">
        <v>3297</v>
      </c>
      <c r="P293" s="36" t="s">
        <v>3323</v>
      </c>
      <c r="Q293" s="36" t="s">
        <v>3326</v>
      </c>
      <c r="R293" s="36" t="s">
        <v>3327</v>
      </c>
      <c r="S293" s="42" t="s">
        <v>5135</v>
      </c>
      <c r="T293" s="43" t="s">
        <v>3328</v>
      </c>
      <c r="U293" s="44" t="s">
        <v>3329</v>
      </c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5"/>
      <c r="AH293" s="1"/>
      <c r="AI293" s="1"/>
      <c r="AJ293" s="1"/>
    </row>
    <row r="294" spans="1:36">
      <c r="A294" s="36" t="s">
        <v>3296</v>
      </c>
      <c r="B294" s="36" t="s">
        <v>3297</v>
      </c>
      <c r="C294" s="36" t="s">
        <v>2719</v>
      </c>
      <c r="D294" s="36" t="s">
        <v>3330</v>
      </c>
      <c r="E294" s="38" t="s">
        <v>3331</v>
      </c>
      <c r="F294" s="36"/>
      <c r="G294" s="36" t="s">
        <v>435</v>
      </c>
      <c r="H294" s="36" t="s">
        <v>3300</v>
      </c>
      <c r="I294" s="40"/>
      <c r="J294" s="46" t="s">
        <v>230</v>
      </c>
      <c r="K294" s="36" t="s">
        <v>94</v>
      </c>
      <c r="L294" s="36" t="s">
        <v>3301</v>
      </c>
      <c r="M294" s="36" t="s">
        <v>3332</v>
      </c>
      <c r="N294" s="36" t="s">
        <v>3333</v>
      </c>
      <c r="O294" s="36" t="s">
        <v>3297</v>
      </c>
      <c r="P294" s="36" t="s">
        <v>3332</v>
      </c>
      <c r="Q294" s="36" t="s">
        <v>3334</v>
      </c>
      <c r="R294" s="36" t="s">
        <v>1782</v>
      </c>
      <c r="S294" s="42" t="s">
        <v>5098</v>
      </c>
      <c r="T294" s="43" t="s">
        <v>3335</v>
      </c>
      <c r="U294" s="44" t="s">
        <v>3336</v>
      </c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5"/>
      <c r="AH294" s="1"/>
      <c r="AI294" s="1"/>
      <c r="AJ294" s="1"/>
    </row>
    <row r="295" spans="1:36">
      <c r="A295" s="36" t="s">
        <v>3296</v>
      </c>
      <c r="B295" s="36" t="s">
        <v>3297</v>
      </c>
      <c r="C295" s="36" t="s">
        <v>2729</v>
      </c>
      <c r="D295" s="36" t="s">
        <v>3338</v>
      </c>
      <c r="E295" s="38" t="s">
        <v>3339</v>
      </c>
      <c r="F295" s="36"/>
      <c r="G295" s="36" t="s">
        <v>435</v>
      </c>
      <c r="H295" s="36" t="s">
        <v>3300</v>
      </c>
      <c r="I295" s="40" t="s">
        <v>130</v>
      </c>
      <c r="J295" s="46" t="s">
        <v>94</v>
      </c>
      <c r="K295" s="36" t="s">
        <v>94</v>
      </c>
      <c r="L295" s="36" t="s">
        <v>3301</v>
      </c>
      <c r="M295" s="36" t="s">
        <v>3340</v>
      </c>
      <c r="N295" s="36" t="s">
        <v>3341</v>
      </c>
      <c r="O295" s="36" t="s">
        <v>3297</v>
      </c>
      <c r="P295" s="36" t="s">
        <v>3340</v>
      </c>
      <c r="Q295" s="36" t="s">
        <v>3342</v>
      </c>
      <c r="R295" s="36" t="s">
        <v>164</v>
      </c>
      <c r="S295" s="42" t="s">
        <v>5099</v>
      </c>
      <c r="T295" s="43" t="s">
        <v>3340</v>
      </c>
      <c r="U295" s="44" t="s">
        <v>3336</v>
      </c>
      <c r="V295" s="43" t="s">
        <v>130</v>
      </c>
      <c r="W295" s="43" t="s">
        <v>130</v>
      </c>
      <c r="X295" s="43" t="s">
        <v>130</v>
      </c>
      <c r="Y295" s="43" t="s">
        <v>130</v>
      </c>
      <c r="Z295" s="43" t="s">
        <v>130</v>
      </c>
      <c r="AA295" s="43" t="s">
        <v>130</v>
      </c>
      <c r="AB295" s="43" t="s">
        <v>130</v>
      </c>
      <c r="AC295" s="43"/>
      <c r="AD295" s="43"/>
      <c r="AE295" s="43"/>
      <c r="AF295" s="43"/>
      <c r="AG295" s="45"/>
      <c r="AH295" s="1"/>
      <c r="AI295" s="1"/>
      <c r="AJ295" s="1"/>
    </row>
    <row r="296" spans="1:36">
      <c r="A296" s="36" t="s">
        <v>3296</v>
      </c>
      <c r="B296" s="36" t="s">
        <v>3297</v>
      </c>
      <c r="C296" s="36" t="s">
        <v>2525</v>
      </c>
      <c r="D296" s="36" t="s">
        <v>3344</v>
      </c>
      <c r="E296" s="38" t="s">
        <v>3345</v>
      </c>
      <c r="F296" s="36"/>
      <c r="G296" s="36" t="s">
        <v>435</v>
      </c>
      <c r="H296" s="36" t="s">
        <v>3300</v>
      </c>
      <c r="I296" s="40" t="s">
        <v>130</v>
      </c>
      <c r="J296" s="46" t="s">
        <v>94</v>
      </c>
      <c r="K296" s="36" t="s">
        <v>94</v>
      </c>
      <c r="L296" s="36" t="s">
        <v>3301</v>
      </c>
      <c r="M296" s="36" t="s">
        <v>1482</v>
      </c>
      <c r="N296" s="36" t="s">
        <v>3346</v>
      </c>
      <c r="O296" s="36" t="s">
        <v>3297</v>
      </c>
      <c r="P296" s="36" t="s">
        <v>1482</v>
      </c>
      <c r="Q296" s="36" t="s">
        <v>3347</v>
      </c>
      <c r="R296" s="36" t="s">
        <v>164</v>
      </c>
      <c r="S296" s="42" t="s">
        <v>5113</v>
      </c>
      <c r="T296" s="43" t="s">
        <v>3348</v>
      </c>
      <c r="U296" s="44" t="s">
        <v>3336</v>
      </c>
      <c r="V296" s="43"/>
      <c r="W296" s="43" t="s">
        <v>130</v>
      </c>
      <c r="X296" s="43"/>
      <c r="Y296" s="43"/>
      <c r="Z296" s="43"/>
      <c r="AA296" s="43" t="s">
        <v>130</v>
      </c>
      <c r="AB296" s="43" t="s">
        <v>130</v>
      </c>
      <c r="AC296" s="43"/>
      <c r="AD296" s="43"/>
      <c r="AE296" s="43"/>
      <c r="AF296" s="43"/>
      <c r="AG296" s="45"/>
      <c r="AH296" s="1"/>
      <c r="AI296" s="1"/>
      <c r="AJ296" s="1"/>
    </row>
    <row r="297" spans="1:36">
      <c r="A297" s="36" t="s">
        <v>3296</v>
      </c>
      <c r="B297" s="36" t="s">
        <v>3297</v>
      </c>
      <c r="C297" s="36" t="s">
        <v>2536</v>
      </c>
      <c r="D297" s="36" t="s">
        <v>3349</v>
      </c>
      <c r="E297" s="38" t="s">
        <v>3350</v>
      </c>
      <c r="F297" s="36"/>
      <c r="G297" s="36" t="s">
        <v>435</v>
      </c>
      <c r="H297" s="36" t="s">
        <v>3300</v>
      </c>
      <c r="I297" s="40" t="s">
        <v>130</v>
      </c>
      <c r="J297" s="46" t="s">
        <v>94</v>
      </c>
      <c r="K297" s="36" t="s">
        <v>94</v>
      </c>
      <c r="L297" s="36" t="s">
        <v>3301</v>
      </c>
      <c r="M297" s="36" t="s">
        <v>3351</v>
      </c>
      <c r="N297" s="36" t="s">
        <v>3352</v>
      </c>
      <c r="O297" s="36" t="s">
        <v>3297</v>
      </c>
      <c r="P297" s="36" t="s">
        <v>3351</v>
      </c>
      <c r="Q297" s="36" t="s">
        <v>3353</v>
      </c>
      <c r="R297" s="36" t="s">
        <v>164</v>
      </c>
      <c r="S297" s="42" t="s">
        <v>5114</v>
      </c>
      <c r="T297" s="43" t="s">
        <v>3354</v>
      </c>
      <c r="U297" s="44" t="s">
        <v>3329</v>
      </c>
      <c r="V297" s="43"/>
      <c r="W297" s="43" t="s">
        <v>130</v>
      </c>
      <c r="X297" s="43"/>
      <c r="Y297" s="43"/>
      <c r="Z297" s="43"/>
      <c r="AA297" s="43" t="s">
        <v>130</v>
      </c>
      <c r="AB297" s="43" t="s">
        <v>130</v>
      </c>
      <c r="AC297" s="43"/>
      <c r="AD297" s="43"/>
      <c r="AE297" s="43"/>
      <c r="AF297" s="43"/>
      <c r="AG297" s="45"/>
      <c r="AH297" s="1"/>
      <c r="AI297" s="1"/>
      <c r="AJ297" s="1"/>
    </row>
    <row r="298" spans="1:36">
      <c r="A298" s="36" t="s">
        <v>3296</v>
      </c>
      <c r="B298" s="36" t="s">
        <v>3355</v>
      </c>
      <c r="C298" s="36" t="s">
        <v>3356</v>
      </c>
      <c r="D298" s="36" t="s">
        <v>3357</v>
      </c>
      <c r="E298" s="38" t="s">
        <v>3358</v>
      </c>
      <c r="F298" s="36"/>
      <c r="G298" s="36" t="s">
        <v>435</v>
      </c>
      <c r="H298" s="36" t="s">
        <v>3359</v>
      </c>
      <c r="I298" s="40" t="s">
        <v>130</v>
      </c>
      <c r="J298" s="46" t="s">
        <v>230</v>
      </c>
      <c r="K298" s="36" t="s">
        <v>94</v>
      </c>
      <c r="L298" s="36" t="s">
        <v>3301</v>
      </c>
      <c r="M298" s="36" t="s">
        <v>1034</v>
      </c>
      <c r="N298" s="36" t="s">
        <v>3361</v>
      </c>
      <c r="O298" s="36" t="s">
        <v>3311</v>
      </c>
      <c r="P298" s="36" t="s">
        <v>1034</v>
      </c>
      <c r="Q298" s="36" t="s">
        <v>3362</v>
      </c>
      <c r="R298" s="36" t="s">
        <v>551</v>
      </c>
      <c r="S298" s="42" t="s">
        <v>5068</v>
      </c>
      <c r="T298" s="43" t="s">
        <v>3363</v>
      </c>
      <c r="U298" s="44" t="s">
        <v>1039</v>
      </c>
      <c r="V298" s="43" t="s">
        <v>130</v>
      </c>
      <c r="W298" s="43" t="s">
        <v>130</v>
      </c>
      <c r="X298" s="43" t="s">
        <v>130</v>
      </c>
      <c r="Y298" s="43" t="s">
        <v>130</v>
      </c>
      <c r="Z298" s="43" t="s">
        <v>130</v>
      </c>
      <c r="AA298" s="43" t="s">
        <v>130</v>
      </c>
      <c r="AB298" s="43" t="s">
        <v>130</v>
      </c>
      <c r="AC298" s="43"/>
      <c r="AD298" s="43"/>
      <c r="AE298" s="43"/>
      <c r="AF298" s="43"/>
      <c r="AG298" s="45"/>
      <c r="AH298" s="1"/>
      <c r="AI298" s="1"/>
      <c r="AJ298" s="1"/>
    </row>
    <row r="299" spans="1:36">
      <c r="A299" s="36" t="s">
        <v>3296</v>
      </c>
      <c r="B299" s="36" t="s">
        <v>3355</v>
      </c>
      <c r="C299" s="36" t="s">
        <v>3364</v>
      </c>
      <c r="D299" s="36" t="s">
        <v>3365</v>
      </c>
      <c r="E299" s="38" t="s">
        <v>2656</v>
      </c>
      <c r="F299" s="36"/>
      <c r="G299" s="36" t="s">
        <v>435</v>
      </c>
      <c r="H299" s="36" t="s">
        <v>3359</v>
      </c>
      <c r="I299" s="40" t="s">
        <v>130</v>
      </c>
      <c r="J299" s="46" t="s">
        <v>94</v>
      </c>
      <c r="K299" s="36" t="s">
        <v>94</v>
      </c>
      <c r="L299" s="36" t="s">
        <v>3301</v>
      </c>
      <c r="M299" s="36" t="s">
        <v>1100</v>
      </c>
      <c r="N299" s="36" t="s">
        <v>3366</v>
      </c>
      <c r="O299" s="36" t="s">
        <v>3311</v>
      </c>
      <c r="P299" s="36" t="s">
        <v>1100</v>
      </c>
      <c r="Q299" s="36" t="s">
        <v>3367</v>
      </c>
      <c r="R299" s="36" t="s">
        <v>551</v>
      </c>
      <c r="S299" s="42" t="s">
        <v>5079</v>
      </c>
      <c r="T299" s="43" t="s">
        <v>3368</v>
      </c>
      <c r="U299" s="44" t="s">
        <v>3369</v>
      </c>
      <c r="V299" s="43" t="s">
        <v>130</v>
      </c>
      <c r="W299" s="43" t="s">
        <v>130</v>
      </c>
      <c r="X299" s="43" t="s">
        <v>130</v>
      </c>
      <c r="Y299" s="43" t="s">
        <v>130</v>
      </c>
      <c r="Z299" s="43" t="s">
        <v>130</v>
      </c>
      <c r="AA299" s="43" t="s">
        <v>130</v>
      </c>
      <c r="AB299" s="43"/>
      <c r="AC299" s="43"/>
      <c r="AD299" s="43"/>
      <c r="AE299" s="43"/>
      <c r="AF299" s="43"/>
      <c r="AG299" s="45"/>
      <c r="AH299" s="1"/>
      <c r="AI299" s="1"/>
      <c r="AJ299" s="1"/>
    </row>
    <row r="300" spans="1:36">
      <c r="A300" s="36" t="s">
        <v>3296</v>
      </c>
      <c r="B300" s="36" t="s">
        <v>3355</v>
      </c>
      <c r="C300" s="36" t="s">
        <v>3370</v>
      </c>
      <c r="D300" s="161" t="s">
        <v>3371</v>
      </c>
      <c r="E300" s="38" t="s">
        <v>2568</v>
      </c>
      <c r="F300" s="36"/>
      <c r="G300" s="36" t="s">
        <v>435</v>
      </c>
      <c r="H300" s="36" t="s">
        <v>3359</v>
      </c>
      <c r="I300" s="40" t="s">
        <v>130</v>
      </c>
      <c r="J300" s="46" t="s">
        <v>94</v>
      </c>
      <c r="K300" s="36" t="s">
        <v>94</v>
      </c>
      <c r="L300" s="36" t="s">
        <v>3301</v>
      </c>
      <c r="M300" s="36" t="s">
        <v>3372</v>
      </c>
      <c r="N300" s="36" t="s">
        <v>3373</v>
      </c>
      <c r="O300" s="36" t="s">
        <v>3311</v>
      </c>
      <c r="P300" s="36" t="s">
        <v>3372</v>
      </c>
      <c r="Q300" s="36" t="s">
        <v>3375</v>
      </c>
      <c r="R300" s="36" t="s">
        <v>551</v>
      </c>
      <c r="S300" s="42" t="s">
        <v>5106</v>
      </c>
      <c r="T300" s="43" t="s">
        <v>3376</v>
      </c>
      <c r="U300" s="44" t="s">
        <v>1039</v>
      </c>
      <c r="V300" s="43" t="s">
        <v>130</v>
      </c>
      <c r="W300" s="43" t="s">
        <v>130</v>
      </c>
      <c r="X300" s="43" t="s">
        <v>130</v>
      </c>
      <c r="Y300" s="43" t="s">
        <v>130</v>
      </c>
      <c r="Z300" s="43" t="s">
        <v>130</v>
      </c>
      <c r="AA300" s="43" t="s">
        <v>130</v>
      </c>
      <c r="AB300" s="43"/>
      <c r="AC300" s="43"/>
      <c r="AD300" s="43"/>
      <c r="AE300" s="43"/>
      <c r="AF300" s="43"/>
      <c r="AG300" s="45"/>
      <c r="AH300" s="1"/>
      <c r="AI300" s="1"/>
      <c r="AJ300" s="1"/>
    </row>
    <row r="301" spans="1:36">
      <c r="A301" s="36" t="s">
        <v>3296</v>
      </c>
      <c r="B301" s="36" t="s">
        <v>3355</v>
      </c>
      <c r="C301" s="36" t="s">
        <v>3377</v>
      </c>
      <c r="D301" s="36" t="s">
        <v>3378</v>
      </c>
      <c r="E301" s="38" t="s">
        <v>2588</v>
      </c>
      <c r="F301" s="36"/>
      <c r="G301" s="36" t="s">
        <v>435</v>
      </c>
      <c r="H301" s="36" t="s">
        <v>3359</v>
      </c>
      <c r="I301" s="40" t="s">
        <v>130</v>
      </c>
      <c r="J301" s="46" t="s">
        <v>94</v>
      </c>
      <c r="K301" s="36" t="s">
        <v>94</v>
      </c>
      <c r="L301" s="36" t="s">
        <v>3301</v>
      </c>
      <c r="M301" s="36" t="s">
        <v>1147</v>
      </c>
      <c r="N301" s="36" t="s">
        <v>3379</v>
      </c>
      <c r="O301" s="36" t="s">
        <v>3311</v>
      </c>
      <c r="P301" s="36" t="s">
        <v>1147</v>
      </c>
      <c r="Q301" s="36" t="s">
        <v>3380</v>
      </c>
      <c r="R301" s="36" t="s">
        <v>551</v>
      </c>
      <c r="S301" s="42" t="s">
        <v>5070</v>
      </c>
      <c r="T301" s="43" t="s">
        <v>3383</v>
      </c>
      <c r="U301" s="44" t="s">
        <v>3369</v>
      </c>
      <c r="V301" s="43"/>
      <c r="W301" s="43" t="s">
        <v>130</v>
      </c>
      <c r="X301" s="43"/>
      <c r="Y301" s="43"/>
      <c r="Z301" s="43"/>
      <c r="AA301" s="43" t="s">
        <v>130</v>
      </c>
      <c r="AB301" s="43" t="s">
        <v>130</v>
      </c>
      <c r="AC301" s="43"/>
      <c r="AD301" s="43"/>
      <c r="AE301" s="43"/>
      <c r="AF301" s="43"/>
      <c r="AG301" s="45"/>
      <c r="AH301" s="1"/>
      <c r="AI301" s="1"/>
      <c r="AJ301" s="1"/>
    </row>
    <row r="302" spans="1:36">
      <c r="A302" s="36" t="s">
        <v>3296</v>
      </c>
      <c r="B302" s="36" t="s">
        <v>3355</v>
      </c>
      <c r="C302" s="36" t="s">
        <v>3384</v>
      </c>
      <c r="D302" s="36" t="s">
        <v>3385</v>
      </c>
      <c r="E302" s="38" t="s">
        <v>2597</v>
      </c>
      <c r="F302" s="36"/>
      <c r="G302" s="36" t="s">
        <v>435</v>
      </c>
      <c r="H302" s="36" t="s">
        <v>3359</v>
      </c>
      <c r="I302" s="40"/>
      <c r="J302" s="46" t="s">
        <v>1098</v>
      </c>
      <c r="K302" s="36" t="s">
        <v>80</v>
      </c>
      <c r="L302" s="36" t="s">
        <v>3301</v>
      </c>
      <c r="M302" s="36" t="s">
        <v>3386</v>
      </c>
      <c r="N302" s="36" t="s">
        <v>3387</v>
      </c>
      <c r="O302" s="36" t="s">
        <v>3311</v>
      </c>
      <c r="P302" s="36"/>
      <c r="Q302" s="36" t="s">
        <v>3311</v>
      </c>
      <c r="R302" s="36" t="s">
        <v>3388</v>
      </c>
      <c r="S302" s="42" t="s">
        <v>5080</v>
      </c>
      <c r="T302" s="43" t="s">
        <v>3386</v>
      </c>
      <c r="U302" s="44" t="s">
        <v>3369</v>
      </c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5"/>
      <c r="AH302" s="1"/>
      <c r="AI302" s="1"/>
      <c r="AJ302" s="1"/>
    </row>
    <row r="303" spans="1:36">
      <c r="A303" s="36" t="s">
        <v>3296</v>
      </c>
      <c r="B303" s="36" t="s">
        <v>3355</v>
      </c>
      <c r="C303" s="36" t="s">
        <v>2454</v>
      </c>
      <c r="D303" s="157" t="s">
        <v>3389</v>
      </c>
      <c r="E303" s="38" t="s">
        <v>2605</v>
      </c>
      <c r="F303" s="36"/>
      <c r="G303" s="36" t="s">
        <v>435</v>
      </c>
      <c r="H303" s="36" t="s">
        <v>3359</v>
      </c>
      <c r="I303" s="40"/>
      <c r="J303" s="46" t="s">
        <v>230</v>
      </c>
      <c r="K303" s="36" t="s">
        <v>94</v>
      </c>
      <c r="L303" s="36" t="s">
        <v>3301</v>
      </c>
      <c r="M303" s="36" t="s">
        <v>1162</v>
      </c>
      <c r="N303" s="36" t="s">
        <v>3390</v>
      </c>
      <c r="O303" s="36" t="s">
        <v>3311</v>
      </c>
      <c r="P303" s="36" t="s">
        <v>1162</v>
      </c>
      <c r="Q303" s="36" t="s">
        <v>3391</v>
      </c>
      <c r="R303" s="36" t="s">
        <v>3392</v>
      </c>
      <c r="S303" s="42" t="s">
        <v>5137</v>
      </c>
      <c r="T303" s="43" t="s">
        <v>3395</v>
      </c>
      <c r="U303" s="44" t="s">
        <v>3396</v>
      </c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5"/>
      <c r="AH303" s="1"/>
      <c r="AI303" s="1"/>
      <c r="AJ303" s="1"/>
    </row>
    <row r="304" spans="1:36">
      <c r="A304" s="36" t="s">
        <v>3296</v>
      </c>
      <c r="B304" s="36" t="s">
        <v>3355</v>
      </c>
      <c r="C304" s="36" t="s">
        <v>2464</v>
      </c>
      <c r="D304" s="157" t="s">
        <v>3397</v>
      </c>
      <c r="E304" s="38" t="s">
        <v>2615</v>
      </c>
      <c r="F304" s="36"/>
      <c r="G304" s="36" t="s">
        <v>435</v>
      </c>
      <c r="H304" s="36" t="s">
        <v>3359</v>
      </c>
      <c r="I304" s="40"/>
      <c r="J304" s="46" t="s">
        <v>230</v>
      </c>
      <c r="K304" s="36" t="s">
        <v>94</v>
      </c>
      <c r="L304" s="36" t="s">
        <v>3301</v>
      </c>
      <c r="M304" s="36" t="s">
        <v>959</v>
      </c>
      <c r="N304" s="36" t="s">
        <v>3398</v>
      </c>
      <c r="O304" s="36" t="s">
        <v>3311</v>
      </c>
      <c r="P304" s="36" t="s">
        <v>959</v>
      </c>
      <c r="Q304" s="36" t="s">
        <v>3399</v>
      </c>
      <c r="R304" s="36" t="s">
        <v>3400</v>
      </c>
      <c r="S304" s="42" t="s">
        <v>5133</v>
      </c>
      <c r="T304" s="43" t="s">
        <v>3401</v>
      </c>
      <c r="U304" s="44" t="s">
        <v>3396</v>
      </c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5"/>
      <c r="AH304" s="1"/>
      <c r="AI304" s="1"/>
      <c r="AJ304" s="1"/>
    </row>
    <row r="305" spans="1:36">
      <c r="A305" s="36" t="s">
        <v>3296</v>
      </c>
      <c r="B305" s="36" t="s">
        <v>3355</v>
      </c>
      <c r="C305" s="36" t="s">
        <v>2501</v>
      </c>
      <c r="D305" s="36" t="s">
        <v>3404</v>
      </c>
      <c r="E305" s="38" t="s">
        <v>2442</v>
      </c>
      <c r="F305" s="36"/>
      <c r="G305" s="36" t="s">
        <v>3405</v>
      </c>
      <c r="H305" s="36" t="s">
        <v>3406</v>
      </c>
      <c r="I305" s="40" t="s">
        <v>130</v>
      </c>
      <c r="J305" s="46" t="s">
        <v>94</v>
      </c>
      <c r="K305" s="36" t="s">
        <v>94</v>
      </c>
      <c r="L305" s="36" t="s">
        <v>3301</v>
      </c>
      <c r="M305" s="36" t="s">
        <v>1183</v>
      </c>
      <c r="N305" s="36" t="s">
        <v>3407</v>
      </c>
      <c r="O305" s="36" t="s">
        <v>3355</v>
      </c>
      <c r="P305" s="36" t="s">
        <v>1183</v>
      </c>
      <c r="Q305" s="36" t="s">
        <v>3408</v>
      </c>
      <c r="R305" s="36" t="s">
        <v>551</v>
      </c>
      <c r="S305" s="42" t="s">
        <v>5076</v>
      </c>
      <c r="T305" s="43" t="s">
        <v>1183</v>
      </c>
      <c r="U305" s="44" t="s">
        <v>3409</v>
      </c>
      <c r="V305" s="43" t="s">
        <v>130</v>
      </c>
      <c r="W305" s="43" t="s">
        <v>130</v>
      </c>
      <c r="X305" s="43" t="s">
        <v>130</v>
      </c>
      <c r="Y305" s="43" t="s">
        <v>130</v>
      </c>
      <c r="Z305" s="43" t="s">
        <v>130</v>
      </c>
      <c r="AA305" s="43" t="s">
        <v>130</v>
      </c>
      <c r="AB305" s="43" t="s">
        <v>130</v>
      </c>
      <c r="AC305" s="43"/>
      <c r="AD305" s="43"/>
      <c r="AE305" s="43"/>
      <c r="AF305" s="43"/>
      <c r="AG305" s="45"/>
      <c r="AH305" s="1"/>
      <c r="AI305" s="1"/>
      <c r="AJ305" s="1"/>
    </row>
    <row r="306" spans="1:36">
      <c r="A306" s="36" t="s">
        <v>3296</v>
      </c>
      <c r="B306" s="36" t="s">
        <v>3355</v>
      </c>
      <c r="C306" s="36" t="s">
        <v>3410</v>
      </c>
      <c r="D306" s="36" t="s">
        <v>3411</v>
      </c>
      <c r="E306" s="38" t="s">
        <v>2454</v>
      </c>
      <c r="F306" s="36"/>
      <c r="G306" s="36" t="s">
        <v>3405</v>
      </c>
      <c r="H306" s="36" t="s">
        <v>3406</v>
      </c>
      <c r="I306" s="40" t="s">
        <v>130</v>
      </c>
      <c r="J306" s="36" t="s">
        <v>132</v>
      </c>
      <c r="K306" s="36" t="s">
        <v>94</v>
      </c>
      <c r="L306" s="36" t="s">
        <v>3301</v>
      </c>
      <c r="M306" s="36" t="s">
        <v>1186</v>
      </c>
      <c r="N306" s="36" t="s">
        <v>3413</v>
      </c>
      <c r="O306" s="36" t="s">
        <v>3355</v>
      </c>
      <c r="P306" s="36" t="s">
        <v>1186</v>
      </c>
      <c r="Q306" s="36" t="s">
        <v>3414</v>
      </c>
      <c r="R306" s="36" t="s">
        <v>3415</v>
      </c>
      <c r="S306" s="42" t="s">
        <v>5081</v>
      </c>
      <c r="T306" s="43" t="s">
        <v>1186</v>
      </c>
      <c r="U306" s="44" t="s">
        <v>3416</v>
      </c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5"/>
      <c r="AH306" s="1"/>
      <c r="AI306" s="1"/>
      <c r="AJ306" s="1"/>
    </row>
    <row r="307" spans="1:36">
      <c r="A307" s="36" t="s">
        <v>3296</v>
      </c>
      <c r="B307" s="36" t="s">
        <v>3355</v>
      </c>
      <c r="C307" s="36" t="s">
        <v>3417</v>
      </c>
      <c r="D307" s="36" t="s">
        <v>3418</v>
      </c>
      <c r="E307" s="38" t="s">
        <v>2464</v>
      </c>
      <c r="F307" s="36"/>
      <c r="G307" s="36" t="s">
        <v>3405</v>
      </c>
      <c r="H307" s="36" t="s">
        <v>3406</v>
      </c>
      <c r="I307" s="40"/>
      <c r="J307" s="46" t="s">
        <v>159</v>
      </c>
      <c r="K307" s="36" t="s">
        <v>94</v>
      </c>
      <c r="L307" s="36" t="s">
        <v>3301</v>
      </c>
      <c r="M307" s="36" t="s">
        <v>1232</v>
      </c>
      <c r="N307" s="36" t="s">
        <v>3420</v>
      </c>
      <c r="O307" s="36" t="s">
        <v>3355</v>
      </c>
      <c r="P307" s="36" t="s">
        <v>1232</v>
      </c>
      <c r="Q307" s="36" t="s">
        <v>3422</v>
      </c>
      <c r="R307" s="36" t="s">
        <v>3423</v>
      </c>
      <c r="S307" s="42" t="s">
        <v>5082</v>
      </c>
      <c r="T307" s="43" t="s">
        <v>3424</v>
      </c>
      <c r="U307" s="44" t="s">
        <v>3416</v>
      </c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5"/>
      <c r="AH307" s="1"/>
      <c r="AI307" s="1"/>
      <c r="AJ307" s="1"/>
    </row>
    <row r="308" spans="1:36">
      <c r="A308" s="36" t="s">
        <v>3296</v>
      </c>
      <c r="B308" s="36" t="s">
        <v>3355</v>
      </c>
      <c r="C308" s="36" t="s">
        <v>3358</v>
      </c>
      <c r="D308" s="157" t="s">
        <v>3425</v>
      </c>
      <c r="E308" s="38" t="s">
        <v>2729</v>
      </c>
      <c r="F308" s="36"/>
      <c r="G308" s="36" t="s">
        <v>3405</v>
      </c>
      <c r="H308" s="36" t="s">
        <v>3406</v>
      </c>
      <c r="I308" s="40"/>
      <c r="J308" s="46" t="s">
        <v>94</v>
      </c>
      <c r="K308" s="36" t="s">
        <v>94</v>
      </c>
      <c r="L308" s="36" t="s">
        <v>3301</v>
      </c>
      <c r="M308" s="36" t="s">
        <v>3426</v>
      </c>
      <c r="N308" s="36" t="s">
        <v>3427</v>
      </c>
      <c r="O308" s="36" t="s">
        <v>3311</v>
      </c>
      <c r="P308" s="36" t="s">
        <v>3426</v>
      </c>
      <c r="Q308" s="36" t="s">
        <v>3428</v>
      </c>
      <c r="R308" s="36" t="s">
        <v>3430</v>
      </c>
      <c r="S308" s="42" t="s">
        <v>5071</v>
      </c>
      <c r="T308" s="43" t="s">
        <v>3432</v>
      </c>
      <c r="U308" s="44" t="s">
        <v>3409</v>
      </c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5"/>
      <c r="AH308" s="1"/>
      <c r="AI308" s="1"/>
      <c r="AJ308" s="1"/>
    </row>
    <row r="309" spans="1:36">
      <c r="A309" s="36" t="s">
        <v>3296</v>
      </c>
      <c r="B309" s="36" t="s">
        <v>3355</v>
      </c>
      <c r="C309" s="36" t="s">
        <v>3433</v>
      </c>
      <c r="D309" s="36" t="s">
        <v>3434</v>
      </c>
      <c r="E309" s="38" t="s">
        <v>2698</v>
      </c>
      <c r="F309" s="36"/>
      <c r="G309" s="36" t="s">
        <v>3405</v>
      </c>
      <c r="H309" s="36" t="s">
        <v>3406</v>
      </c>
      <c r="I309" s="40" t="s">
        <v>130</v>
      </c>
      <c r="J309" s="46" t="s">
        <v>94</v>
      </c>
      <c r="K309" s="36" t="s">
        <v>94</v>
      </c>
      <c r="L309" s="36" t="s">
        <v>3301</v>
      </c>
      <c r="M309" s="36" t="s">
        <v>944</v>
      </c>
      <c r="N309" s="36" t="s">
        <v>3435</v>
      </c>
      <c r="O309" s="36" t="s">
        <v>3311</v>
      </c>
      <c r="P309" s="36" t="s">
        <v>895</v>
      </c>
      <c r="Q309" s="36" t="s">
        <v>3436</v>
      </c>
      <c r="R309" s="36" t="s">
        <v>551</v>
      </c>
      <c r="S309" s="42" t="s">
        <v>5083</v>
      </c>
      <c r="T309" s="43" t="s">
        <v>3437</v>
      </c>
      <c r="U309" s="44" t="s">
        <v>3409</v>
      </c>
      <c r="V309" s="43"/>
      <c r="W309" s="43"/>
      <c r="X309" s="43"/>
      <c r="Y309" s="43"/>
      <c r="Z309" s="43"/>
      <c r="AA309" s="43" t="s">
        <v>130</v>
      </c>
      <c r="AB309" s="43" t="s">
        <v>130</v>
      </c>
      <c r="AC309" s="43"/>
      <c r="AD309" s="43"/>
      <c r="AE309" s="43"/>
      <c r="AF309" s="43"/>
      <c r="AG309" s="45"/>
      <c r="AH309" s="1"/>
      <c r="AI309" s="1"/>
      <c r="AJ309" s="1"/>
    </row>
    <row r="310" spans="1:36">
      <c r="A310" s="36" t="s">
        <v>3296</v>
      </c>
      <c r="B310" s="36" t="s">
        <v>3355</v>
      </c>
      <c r="C310" s="36" t="s">
        <v>2556</v>
      </c>
      <c r="D310" s="36" t="s">
        <v>3438</v>
      </c>
      <c r="E310" s="38" t="s">
        <v>2424</v>
      </c>
      <c r="F310" s="36"/>
      <c r="G310" s="36" t="s">
        <v>3440</v>
      </c>
      <c r="H310" s="36" t="s">
        <v>3441</v>
      </c>
      <c r="I310" s="40" t="s">
        <v>130</v>
      </c>
      <c r="J310" s="46" t="s">
        <v>94</v>
      </c>
      <c r="K310" s="36" t="s">
        <v>94</v>
      </c>
      <c r="L310" s="36" t="s">
        <v>3301</v>
      </c>
      <c r="M310" s="36" t="s">
        <v>1213</v>
      </c>
      <c r="N310" s="36" t="s">
        <v>3442</v>
      </c>
      <c r="O310" s="36" t="s">
        <v>3311</v>
      </c>
      <c r="P310" s="36" t="s">
        <v>1213</v>
      </c>
      <c r="Q310" s="36" t="s">
        <v>3443</v>
      </c>
      <c r="R310" s="36" t="s">
        <v>164</v>
      </c>
      <c r="S310" s="42" t="s">
        <v>5139</v>
      </c>
      <c r="T310" s="43" t="s">
        <v>3444</v>
      </c>
      <c r="U310" s="44" t="s">
        <v>3304</v>
      </c>
      <c r="V310" s="43"/>
      <c r="W310" s="43" t="s">
        <v>130</v>
      </c>
      <c r="X310" s="43"/>
      <c r="Y310" s="43"/>
      <c r="Z310" s="43"/>
      <c r="AA310" s="43" t="s">
        <v>130</v>
      </c>
      <c r="AB310" s="43"/>
      <c r="AC310" s="43"/>
      <c r="AD310" s="43"/>
      <c r="AE310" s="43"/>
      <c r="AF310" s="43"/>
      <c r="AG310" s="45"/>
      <c r="AH310" s="1"/>
      <c r="AI310" s="1"/>
      <c r="AJ310" s="1"/>
    </row>
    <row r="311" spans="1:36">
      <c r="A311" s="36" t="s">
        <v>3296</v>
      </c>
      <c r="B311" s="36" t="s">
        <v>3355</v>
      </c>
      <c r="C311" s="36" t="s">
        <v>2568</v>
      </c>
      <c r="D311" s="36" t="s">
        <v>3445</v>
      </c>
      <c r="E311" s="38" t="s">
        <v>2434</v>
      </c>
      <c r="F311" s="36"/>
      <c r="G311" s="36" t="s">
        <v>3440</v>
      </c>
      <c r="H311" s="36" t="s">
        <v>3441</v>
      </c>
      <c r="I311" s="40" t="s">
        <v>130</v>
      </c>
      <c r="J311" s="46" t="s">
        <v>94</v>
      </c>
      <c r="K311" s="36" t="s">
        <v>94</v>
      </c>
      <c r="L311" s="36" t="s">
        <v>3301</v>
      </c>
      <c r="M311" s="36" t="s">
        <v>3446</v>
      </c>
      <c r="N311" s="36" t="s">
        <v>3447</v>
      </c>
      <c r="O311" s="36" t="s">
        <v>3311</v>
      </c>
      <c r="P311" s="36" t="s">
        <v>3446</v>
      </c>
      <c r="Q311" s="36" t="s">
        <v>3449</v>
      </c>
      <c r="R311" s="36" t="s">
        <v>164</v>
      </c>
      <c r="S311" s="42" t="s">
        <v>5140</v>
      </c>
      <c r="T311" s="43" t="s">
        <v>3446</v>
      </c>
      <c r="U311" s="44" t="s">
        <v>2083</v>
      </c>
      <c r="V311" s="43"/>
      <c r="W311" s="43" t="s">
        <v>130</v>
      </c>
      <c r="X311" s="43"/>
      <c r="Y311" s="43"/>
      <c r="Z311" s="43"/>
      <c r="AA311" s="43" t="s">
        <v>130</v>
      </c>
      <c r="AB311" s="43" t="s">
        <v>130</v>
      </c>
      <c r="AC311" s="43"/>
      <c r="AD311" s="43"/>
      <c r="AE311" s="43"/>
      <c r="AF311" s="43"/>
      <c r="AG311" s="45"/>
      <c r="AH311" s="1"/>
      <c r="AI311" s="1"/>
      <c r="AJ311" s="1"/>
    </row>
    <row r="312" spans="1:36">
      <c r="A312" s="36" t="s">
        <v>3296</v>
      </c>
      <c r="B312" s="36" t="s">
        <v>3355</v>
      </c>
      <c r="C312" s="36" t="s">
        <v>3450</v>
      </c>
      <c r="D312" s="36" t="s">
        <v>3451</v>
      </c>
      <c r="E312" s="38" t="s">
        <v>2484</v>
      </c>
      <c r="F312" s="36"/>
      <c r="G312" s="36" t="s">
        <v>3440</v>
      </c>
      <c r="H312" s="36" t="s">
        <v>3441</v>
      </c>
      <c r="I312" s="40" t="s">
        <v>130</v>
      </c>
      <c r="J312" s="46" t="s">
        <v>94</v>
      </c>
      <c r="K312" s="36" t="s">
        <v>94</v>
      </c>
      <c r="L312" s="36" t="s">
        <v>3301</v>
      </c>
      <c r="M312" s="36" t="s">
        <v>1001</v>
      </c>
      <c r="N312" s="36" t="s">
        <v>3452</v>
      </c>
      <c r="O312" s="36" t="s">
        <v>3311</v>
      </c>
      <c r="P312" s="36" t="s">
        <v>1001</v>
      </c>
      <c r="Q312" s="36" t="s">
        <v>3453</v>
      </c>
      <c r="R312" s="36" t="s">
        <v>164</v>
      </c>
      <c r="S312" s="42" t="s">
        <v>5141</v>
      </c>
      <c r="T312" s="43" t="s">
        <v>3454</v>
      </c>
      <c r="U312" s="44" t="s">
        <v>2083</v>
      </c>
      <c r="V312" s="43" t="s">
        <v>130</v>
      </c>
      <c r="W312" s="43" t="s">
        <v>130</v>
      </c>
      <c r="X312" s="43" t="s">
        <v>130</v>
      </c>
      <c r="Y312" s="43" t="s">
        <v>130</v>
      </c>
      <c r="Z312" s="43" t="s">
        <v>130</v>
      </c>
      <c r="AA312" s="43" t="s">
        <v>130</v>
      </c>
      <c r="AB312" s="43" t="s">
        <v>130</v>
      </c>
      <c r="AC312" s="43"/>
      <c r="AD312" s="43"/>
      <c r="AE312" s="43"/>
      <c r="AF312" s="43"/>
      <c r="AG312" s="45"/>
      <c r="AH312" s="1"/>
      <c r="AI312" s="1"/>
      <c r="AJ312" s="1"/>
    </row>
    <row r="313" spans="1:36">
      <c r="A313" s="36" t="s">
        <v>3296</v>
      </c>
      <c r="B313" s="36" t="s">
        <v>3355</v>
      </c>
      <c r="C313" s="36" t="s">
        <v>3456</v>
      </c>
      <c r="D313" s="36" t="s">
        <v>3457</v>
      </c>
      <c r="E313" s="38" t="s">
        <v>2511</v>
      </c>
      <c r="F313" s="36"/>
      <c r="G313" s="36" t="s">
        <v>3440</v>
      </c>
      <c r="H313" s="36" t="s">
        <v>3441</v>
      </c>
      <c r="I313" s="40" t="s">
        <v>130</v>
      </c>
      <c r="J313" s="46" t="s">
        <v>94</v>
      </c>
      <c r="K313" s="36" t="s">
        <v>94</v>
      </c>
      <c r="L313" s="36" t="s">
        <v>3301</v>
      </c>
      <c r="M313" s="36" t="s">
        <v>1018</v>
      </c>
      <c r="N313" s="36" t="s">
        <v>3458</v>
      </c>
      <c r="O313" s="36" t="s">
        <v>3311</v>
      </c>
      <c r="P313" s="36" t="s">
        <v>1018</v>
      </c>
      <c r="Q313" s="36" t="s">
        <v>3459</v>
      </c>
      <c r="R313" s="36" t="s">
        <v>164</v>
      </c>
      <c r="S313" s="42" t="s">
        <v>5142</v>
      </c>
      <c r="T313" s="43" t="s">
        <v>1018</v>
      </c>
      <c r="U313" s="44" t="s">
        <v>2083</v>
      </c>
      <c r="V313" s="43" t="s">
        <v>130</v>
      </c>
      <c r="W313" s="43" t="s">
        <v>130</v>
      </c>
      <c r="X313" s="43" t="s">
        <v>130</v>
      </c>
      <c r="Y313" s="43" t="s">
        <v>130</v>
      </c>
      <c r="Z313" s="43" t="s">
        <v>130</v>
      </c>
      <c r="AA313" s="43" t="s">
        <v>130</v>
      </c>
      <c r="AB313" s="43" t="s">
        <v>130</v>
      </c>
      <c r="AC313" s="43"/>
      <c r="AD313" s="43"/>
      <c r="AE313" s="43"/>
      <c r="AF313" s="43"/>
      <c r="AG313" s="45"/>
      <c r="AH313" s="1"/>
      <c r="AI313" s="1"/>
      <c r="AJ313" s="1"/>
    </row>
    <row r="314" spans="1:36">
      <c r="A314" s="36" t="s">
        <v>3296</v>
      </c>
      <c r="B314" s="36" t="s">
        <v>3355</v>
      </c>
      <c r="C314" s="36" t="s">
        <v>3461</v>
      </c>
      <c r="D314" s="61" t="s">
        <v>3462</v>
      </c>
      <c r="E314" s="38" t="s">
        <v>2227</v>
      </c>
      <c r="F314" s="36"/>
      <c r="G314" s="36" t="s">
        <v>3463</v>
      </c>
      <c r="H314" s="36" t="s">
        <v>3464</v>
      </c>
      <c r="I314" s="40" t="s">
        <v>130</v>
      </c>
      <c r="J314" s="36" t="s">
        <v>94</v>
      </c>
      <c r="K314" s="36" t="s">
        <v>94</v>
      </c>
      <c r="L314" s="36" t="s">
        <v>3301</v>
      </c>
      <c r="M314" s="36" t="s">
        <v>3465</v>
      </c>
      <c r="N314" s="36" t="s">
        <v>3466</v>
      </c>
      <c r="O314" s="36" t="s">
        <v>3467</v>
      </c>
      <c r="P314" s="36" t="s">
        <v>3465</v>
      </c>
      <c r="Q314" s="36" t="s">
        <v>3468</v>
      </c>
      <c r="R314" s="36" t="s">
        <v>164</v>
      </c>
      <c r="S314" s="42" t="s">
        <v>5081</v>
      </c>
      <c r="T314" s="43" t="s">
        <v>3465</v>
      </c>
      <c r="U314" s="44" t="s">
        <v>3469</v>
      </c>
      <c r="V314" s="43" t="s">
        <v>130</v>
      </c>
      <c r="W314" s="43" t="s">
        <v>130</v>
      </c>
      <c r="X314" s="43" t="s">
        <v>130</v>
      </c>
      <c r="Y314" s="43" t="s">
        <v>130</v>
      </c>
      <c r="Z314" s="43" t="s">
        <v>130</v>
      </c>
      <c r="AA314" s="43" t="s">
        <v>130</v>
      </c>
      <c r="AB314" s="43" t="s">
        <v>130</v>
      </c>
      <c r="AC314" s="43"/>
      <c r="AD314" s="43"/>
      <c r="AE314" s="43"/>
      <c r="AF314" s="43"/>
      <c r="AG314" s="45"/>
      <c r="AH314" s="1"/>
      <c r="AI314" s="1"/>
      <c r="AJ314" s="1"/>
    </row>
    <row r="315" spans="1:36">
      <c r="A315" s="36" t="s">
        <v>3296</v>
      </c>
      <c r="B315" s="36" t="s">
        <v>3355</v>
      </c>
      <c r="C315" s="36" t="s">
        <v>2276</v>
      </c>
      <c r="D315" s="36" t="s">
        <v>3471</v>
      </c>
      <c r="E315" s="38" t="s">
        <v>2294</v>
      </c>
      <c r="F315" s="36"/>
      <c r="G315" s="36" t="s">
        <v>3463</v>
      </c>
      <c r="H315" s="36" t="s">
        <v>3464</v>
      </c>
      <c r="I315" s="40" t="s">
        <v>130</v>
      </c>
      <c r="J315" s="36" t="s">
        <v>94</v>
      </c>
      <c r="K315" s="36" t="s">
        <v>94</v>
      </c>
      <c r="L315" s="36" t="s">
        <v>3301</v>
      </c>
      <c r="M315" s="36" t="s">
        <v>3472</v>
      </c>
      <c r="N315" s="36" t="s">
        <v>3473</v>
      </c>
      <c r="O315" s="36" t="s">
        <v>3467</v>
      </c>
      <c r="P315" s="36" t="s">
        <v>3472</v>
      </c>
      <c r="Q315" s="36" t="s">
        <v>3474</v>
      </c>
      <c r="R315" s="36" t="s">
        <v>164</v>
      </c>
      <c r="S315" s="42" t="s">
        <v>5076</v>
      </c>
      <c r="T315" s="43" t="s">
        <v>3475</v>
      </c>
      <c r="U315" s="44" t="s">
        <v>551</v>
      </c>
      <c r="V315" s="43" t="s">
        <v>130</v>
      </c>
      <c r="W315" s="43" t="s">
        <v>130</v>
      </c>
      <c r="X315" s="43" t="s">
        <v>130</v>
      </c>
      <c r="Y315" s="43" t="s">
        <v>130</v>
      </c>
      <c r="Z315" s="43" t="s">
        <v>130</v>
      </c>
      <c r="AA315" s="43" t="s">
        <v>130</v>
      </c>
      <c r="AB315" s="43" t="s">
        <v>130</v>
      </c>
      <c r="AC315" s="43"/>
      <c r="AD315" s="43"/>
      <c r="AE315" s="43"/>
      <c r="AF315" s="43"/>
      <c r="AG315" s="45"/>
      <c r="AH315" s="1"/>
      <c r="AI315" s="1"/>
      <c r="AJ315" s="1"/>
    </row>
    <row r="316" spans="1:36">
      <c r="A316" s="36" t="s">
        <v>3296</v>
      </c>
      <c r="B316" s="36" t="s">
        <v>3355</v>
      </c>
      <c r="C316" s="36" t="s">
        <v>2210</v>
      </c>
      <c r="D316" s="36" t="s">
        <v>3476</v>
      </c>
      <c r="E316" s="38" t="s">
        <v>2259</v>
      </c>
      <c r="F316" s="36" t="s">
        <v>130</v>
      </c>
      <c r="G316" s="36" t="s">
        <v>3463</v>
      </c>
      <c r="H316" s="36" t="s">
        <v>3464</v>
      </c>
      <c r="I316" s="40" t="s">
        <v>130</v>
      </c>
      <c r="J316" s="36" t="s">
        <v>94</v>
      </c>
      <c r="K316" s="36" t="s">
        <v>94</v>
      </c>
      <c r="L316" s="36" t="s">
        <v>3301</v>
      </c>
      <c r="M316" s="36" t="s">
        <v>3477</v>
      </c>
      <c r="N316" s="36" t="s">
        <v>3478</v>
      </c>
      <c r="O316" s="36" t="s">
        <v>3467</v>
      </c>
      <c r="P316" s="36" t="s">
        <v>3477</v>
      </c>
      <c r="Q316" s="36" t="s">
        <v>3479</v>
      </c>
      <c r="R316" s="36" t="s">
        <v>164</v>
      </c>
      <c r="S316" s="42" t="s">
        <v>5105</v>
      </c>
      <c r="T316" s="43" t="s">
        <v>3480</v>
      </c>
      <c r="U316" s="44" t="s">
        <v>2728</v>
      </c>
      <c r="V316" s="43"/>
      <c r="W316" s="43" t="s">
        <v>130</v>
      </c>
      <c r="X316" s="43"/>
      <c r="Y316" s="43"/>
      <c r="Z316" s="43"/>
      <c r="AA316" s="43" t="s">
        <v>130</v>
      </c>
      <c r="AB316" s="43" t="s">
        <v>130</v>
      </c>
      <c r="AC316" s="43"/>
      <c r="AD316" s="43"/>
      <c r="AE316" s="43"/>
      <c r="AF316" s="43"/>
      <c r="AG316" s="45"/>
      <c r="AH316" s="1"/>
      <c r="AI316" s="1"/>
      <c r="AJ316" s="1"/>
    </row>
    <row r="317" spans="1:36">
      <c r="A317" s="36" t="s">
        <v>3296</v>
      </c>
      <c r="B317" s="36" t="s">
        <v>3355</v>
      </c>
      <c r="C317" s="36" t="s">
        <v>2294</v>
      </c>
      <c r="D317" s="36" t="s">
        <v>3482</v>
      </c>
      <c r="E317" s="38" t="s">
        <v>3483</v>
      </c>
      <c r="F317" s="36"/>
      <c r="G317" s="36" t="s">
        <v>3463</v>
      </c>
      <c r="H317" s="36" t="s">
        <v>3464</v>
      </c>
      <c r="I317" s="40"/>
      <c r="J317" s="46" t="s">
        <v>159</v>
      </c>
      <c r="K317" s="36" t="s">
        <v>94</v>
      </c>
      <c r="L317" s="36" t="s">
        <v>3301</v>
      </c>
      <c r="M317" s="36" t="s">
        <v>3484</v>
      </c>
      <c r="N317" s="36" t="s">
        <v>3485</v>
      </c>
      <c r="O317" s="36" t="s">
        <v>3467</v>
      </c>
      <c r="P317" s="36" t="s">
        <v>3484</v>
      </c>
      <c r="Q317" s="36" t="s">
        <v>3486</v>
      </c>
      <c r="R317" s="36" t="s">
        <v>3487</v>
      </c>
      <c r="S317" s="42" t="s">
        <v>5084</v>
      </c>
      <c r="T317" s="43" t="s">
        <v>3488</v>
      </c>
      <c r="U317" s="44" t="s">
        <v>2728</v>
      </c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5"/>
      <c r="AH317" s="1"/>
      <c r="AI317" s="1"/>
      <c r="AJ317" s="1"/>
    </row>
    <row r="318" spans="1:36">
      <c r="A318" s="36" t="s">
        <v>3296</v>
      </c>
      <c r="B318" s="36" t="s">
        <v>3355</v>
      </c>
      <c r="C318" s="36" t="s">
        <v>3483</v>
      </c>
      <c r="D318" s="36" t="s">
        <v>3489</v>
      </c>
      <c r="E318" s="38" t="s">
        <v>2276</v>
      </c>
      <c r="F318" s="36"/>
      <c r="G318" s="36" t="s">
        <v>3463</v>
      </c>
      <c r="H318" s="36" t="s">
        <v>3464</v>
      </c>
      <c r="I318" s="40" t="s">
        <v>130</v>
      </c>
      <c r="J318" s="36" t="s">
        <v>94</v>
      </c>
      <c r="K318" s="36" t="s">
        <v>94</v>
      </c>
      <c r="L318" s="36" t="s">
        <v>3301</v>
      </c>
      <c r="M318" s="36" t="s">
        <v>3490</v>
      </c>
      <c r="N318" s="36" t="s">
        <v>3491</v>
      </c>
      <c r="O318" s="36" t="s">
        <v>3467</v>
      </c>
      <c r="P318" s="36" t="s">
        <v>3490</v>
      </c>
      <c r="Q318" s="36" t="s">
        <v>3492</v>
      </c>
      <c r="R318" s="36" t="s">
        <v>164</v>
      </c>
      <c r="S318" s="42" t="s">
        <v>5071</v>
      </c>
      <c r="T318" s="43" t="s">
        <v>3490</v>
      </c>
      <c r="U318" s="44" t="s">
        <v>551</v>
      </c>
      <c r="V318" s="43"/>
      <c r="W318" s="43" t="s">
        <v>130</v>
      </c>
      <c r="X318" s="43"/>
      <c r="Y318" s="43"/>
      <c r="Z318" s="43"/>
      <c r="AA318" s="43" t="s">
        <v>130</v>
      </c>
      <c r="AB318" s="43" t="s">
        <v>130</v>
      </c>
      <c r="AC318" s="43"/>
      <c r="AD318" s="43"/>
      <c r="AE318" s="43"/>
      <c r="AF318" s="43"/>
      <c r="AG318" s="45"/>
      <c r="AH318" s="1"/>
      <c r="AI318" s="1"/>
      <c r="AJ318" s="1"/>
    </row>
    <row r="319" spans="1:36">
      <c r="A319" s="36" t="s">
        <v>3296</v>
      </c>
      <c r="B319" s="36" t="s">
        <v>3355</v>
      </c>
      <c r="C319" s="36" t="s">
        <v>3493</v>
      </c>
      <c r="D319" s="61" t="s">
        <v>3494</v>
      </c>
      <c r="E319" s="38" t="s">
        <v>3495</v>
      </c>
      <c r="F319" s="36"/>
      <c r="G319" s="36" t="s">
        <v>3463</v>
      </c>
      <c r="H319" s="36" t="s">
        <v>3464</v>
      </c>
      <c r="I319" s="40" t="s">
        <v>130</v>
      </c>
      <c r="J319" s="36" t="s">
        <v>94</v>
      </c>
      <c r="K319" s="36" t="s">
        <v>94</v>
      </c>
      <c r="L319" s="36" t="s">
        <v>3301</v>
      </c>
      <c r="M319" s="36" t="s">
        <v>3496</v>
      </c>
      <c r="N319" s="36" t="s">
        <v>3497</v>
      </c>
      <c r="O319" s="36" t="s">
        <v>3467</v>
      </c>
      <c r="P319" s="36" t="s">
        <v>3496</v>
      </c>
      <c r="Q319" s="36" t="s">
        <v>3498</v>
      </c>
      <c r="R319" s="36" t="s">
        <v>164</v>
      </c>
      <c r="S319" s="42" t="s">
        <v>5083</v>
      </c>
      <c r="T319" s="43" t="s">
        <v>3500</v>
      </c>
      <c r="U319" s="44" t="s">
        <v>551</v>
      </c>
      <c r="V319" s="43" t="s">
        <v>130</v>
      </c>
      <c r="W319" s="43" t="s">
        <v>130</v>
      </c>
      <c r="X319" s="43" t="s">
        <v>130</v>
      </c>
      <c r="Y319" s="43" t="s">
        <v>130</v>
      </c>
      <c r="Z319" s="43" t="s">
        <v>130</v>
      </c>
      <c r="AA319" s="43" t="s">
        <v>130</v>
      </c>
      <c r="AB319" s="43" t="s">
        <v>130</v>
      </c>
      <c r="AC319" s="43"/>
      <c r="AD319" s="43"/>
      <c r="AE319" s="43"/>
      <c r="AF319" s="43"/>
      <c r="AG319" s="45"/>
      <c r="AH319" s="1"/>
      <c r="AI319" s="1"/>
      <c r="AJ319" s="1"/>
    </row>
    <row r="320" spans="1:36">
      <c r="A320" s="36" t="s">
        <v>3296</v>
      </c>
      <c r="B320" s="36" t="s">
        <v>3355</v>
      </c>
      <c r="C320" s="36" t="s">
        <v>3495</v>
      </c>
      <c r="D320" s="61" t="s">
        <v>3501</v>
      </c>
      <c r="E320" s="38" t="s">
        <v>2253</v>
      </c>
      <c r="F320" s="36"/>
      <c r="G320" s="36" t="s">
        <v>3502</v>
      </c>
      <c r="H320" s="36" t="s">
        <v>3503</v>
      </c>
      <c r="I320" s="40" t="s">
        <v>130</v>
      </c>
      <c r="J320" s="46" t="s">
        <v>94</v>
      </c>
      <c r="K320" s="36" t="s">
        <v>94</v>
      </c>
      <c r="L320" s="36" t="s">
        <v>3301</v>
      </c>
      <c r="M320" s="36" t="s">
        <v>3504</v>
      </c>
      <c r="N320" s="36" t="s">
        <v>3505</v>
      </c>
      <c r="O320" s="36" t="s">
        <v>3467</v>
      </c>
      <c r="P320" s="36" t="s">
        <v>3504</v>
      </c>
      <c r="Q320" s="36" t="s">
        <v>3506</v>
      </c>
      <c r="R320" s="36" t="s">
        <v>164</v>
      </c>
      <c r="S320" s="42" t="s">
        <v>5068</v>
      </c>
      <c r="T320" s="43" t="s">
        <v>3507</v>
      </c>
      <c r="U320" s="44" t="s">
        <v>551</v>
      </c>
      <c r="V320" s="43" t="s">
        <v>130</v>
      </c>
      <c r="W320" s="43" t="s">
        <v>130</v>
      </c>
      <c r="X320" s="43" t="s">
        <v>130</v>
      </c>
      <c r="Y320" s="43" t="s">
        <v>130</v>
      </c>
      <c r="Z320" s="43" t="s">
        <v>130</v>
      </c>
      <c r="AA320" s="43" t="s">
        <v>130</v>
      </c>
      <c r="AB320" s="43" t="s">
        <v>130</v>
      </c>
      <c r="AC320" s="43"/>
      <c r="AD320" s="43"/>
      <c r="AE320" s="43"/>
      <c r="AF320" s="43"/>
      <c r="AG320" s="45"/>
      <c r="AH320" s="1"/>
      <c r="AI320" s="1"/>
      <c r="AJ320" s="1"/>
    </row>
    <row r="321" spans="1:36">
      <c r="A321" s="36" t="s">
        <v>3296</v>
      </c>
      <c r="B321" s="36" t="s">
        <v>3355</v>
      </c>
      <c r="C321" s="36" t="s">
        <v>3508</v>
      </c>
      <c r="D321" s="61" t="s">
        <v>3509</v>
      </c>
      <c r="E321" s="38" t="s">
        <v>3508</v>
      </c>
      <c r="F321" s="36"/>
      <c r="G321" s="36" t="s">
        <v>3502</v>
      </c>
      <c r="H321" s="36" t="s">
        <v>3503</v>
      </c>
      <c r="I321" s="40" t="s">
        <v>130</v>
      </c>
      <c r="J321" s="46" t="s">
        <v>94</v>
      </c>
      <c r="K321" s="36" t="s">
        <v>94</v>
      </c>
      <c r="L321" s="36" t="s">
        <v>3301</v>
      </c>
      <c r="M321" s="36" t="s">
        <v>3510</v>
      </c>
      <c r="N321" s="36" t="s">
        <v>3511</v>
      </c>
      <c r="O321" s="36" t="s">
        <v>3467</v>
      </c>
      <c r="P321" s="36" t="s">
        <v>3510</v>
      </c>
      <c r="Q321" s="36" t="s">
        <v>3512</v>
      </c>
      <c r="R321" s="36" t="s">
        <v>164</v>
      </c>
      <c r="S321" s="42" t="s">
        <v>5079</v>
      </c>
      <c r="T321" s="43" t="s">
        <v>3510</v>
      </c>
      <c r="U321" s="44" t="s">
        <v>551</v>
      </c>
      <c r="V321" s="43" t="s">
        <v>130</v>
      </c>
      <c r="W321" s="43" t="s">
        <v>130</v>
      </c>
      <c r="X321" s="43" t="s">
        <v>130</v>
      </c>
      <c r="Y321" s="43" t="s">
        <v>130</v>
      </c>
      <c r="Z321" s="43" t="s">
        <v>130</v>
      </c>
      <c r="AA321" s="43" t="s">
        <v>130</v>
      </c>
      <c r="AB321" s="43" t="s">
        <v>130</v>
      </c>
      <c r="AC321" s="43"/>
      <c r="AD321" s="43"/>
      <c r="AE321" s="43"/>
      <c r="AF321" s="43"/>
      <c r="AG321" s="45"/>
      <c r="AH321" s="1"/>
      <c r="AI321" s="1"/>
      <c r="AJ321" s="1"/>
    </row>
    <row r="322" spans="1:36">
      <c r="A322" s="36" t="s">
        <v>3296</v>
      </c>
      <c r="B322" s="36" t="s">
        <v>3355</v>
      </c>
      <c r="C322" s="36" t="s">
        <v>3513</v>
      </c>
      <c r="D322" s="157" t="s">
        <v>3514</v>
      </c>
      <c r="E322" s="38" t="s">
        <v>3515</v>
      </c>
      <c r="F322" s="36" t="s">
        <v>130</v>
      </c>
      <c r="G322" s="36" t="s">
        <v>3502</v>
      </c>
      <c r="H322" s="36" t="s">
        <v>3503</v>
      </c>
      <c r="I322" s="40"/>
      <c r="J322" s="46" t="s">
        <v>230</v>
      </c>
      <c r="K322" s="36" t="s">
        <v>94</v>
      </c>
      <c r="L322" s="36" t="s">
        <v>3301</v>
      </c>
      <c r="M322" s="36" t="s">
        <v>3516</v>
      </c>
      <c r="N322" s="36" t="s">
        <v>3517</v>
      </c>
      <c r="O322" s="36" t="s">
        <v>3467</v>
      </c>
      <c r="P322" s="36" t="s">
        <v>3516</v>
      </c>
      <c r="Q322" s="36" t="s">
        <v>3518</v>
      </c>
      <c r="R322" s="36" t="s">
        <v>744</v>
      </c>
      <c r="S322" s="42" t="s">
        <v>5106</v>
      </c>
      <c r="T322" s="43" t="s">
        <v>3519</v>
      </c>
      <c r="U322" s="44" t="s">
        <v>551</v>
      </c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5"/>
      <c r="AH322" s="1"/>
      <c r="AI322" s="1"/>
      <c r="AJ322" s="1"/>
    </row>
    <row r="323" spans="1:36">
      <c r="A323" s="36" t="s">
        <v>3296</v>
      </c>
      <c r="B323" s="36" t="s">
        <v>3355</v>
      </c>
      <c r="C323" s="36" t="s">
        <v>3515</v>
      </c>
      <c r="D323" s="36" t="s">
        <v>3520</v>
      </c>
      <c r="E323" s="38" t="s">
        <v>3493</v>
      </c>
      <c r="F323" s="36"/>
      <c r="G323" s="36" t="s">
        <v>3502</v>
      </c>
      <c r="H323" s="36" t="s">
        <v>3503</v>
      </c>
      <c r="I323" s="40"/>
      <c r="J323" s="46" t="s">
        <v>230</v>
      </c>
      <c r="K323" s="36" t="s">
        <v>94</v>
      </c>
      <c r="L323" s="36" t="s">
        <v>3301</v>
      </c>
      <c r="M323" s="36" t="s">
        <v>3521</v>
      </c>
      <c r="N323" s="36" t="s">
        <v>3522</v>
      </c>
      <c r="O323" s="36" t="s">
        <v>3467</v>
      </c>
      <c r="P323" s="36" t="s">
        <v>3521</v>
      </c>
      <c r="Q323" s="36" t="s">
        <v>3524</v>
      </c>
      <c r="R323" s="36" t="s">
        <v>957</v>
      </c>
      <c r="S323" s="42" t="s">
        <v>5070</v>
      </c>
      <c r="T323" s="43" t="s">
        <v>3525</v>
      </c>
      <c r="U323" s="44" t="s">
        <v>551</v>
      </c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5"/>
      <c r="AH323" s="1"/>
      <c r="AI323" s="1"/>
      <c r="AJ323" s="1"/>
    </row>
    <row r="324" spans="1:36">
      <c r="A324" s="36" t="s">
        <v>3296</v>
      </c>
      <c r="B324" s="36" t="s">
        <v>3355</v>
      </c>
      <c r="C324" s="36" t="s">
        <v>3526</v>
      </c>
      <c r="D324" s="130" t="s">
        <v>3527</v>
      </c>
      <c r="E324" s="38" t="s">
        <v>3461</v>
      </c>
      <c r="F324" s="36"/>
      <c r="G324" s="36" t="s">
        <v>3502</v>
      </c>
      <c r="H324" s="36" t="s">
        <v>3503</v>
      </c>
      <c r="I324" s="40" t="s">
        <v>130</v>
      </c>
      <c r="J324" s="36" t="s">
        <v>94</v>
      </c>
      <c r="K324" s="36" t="s">
        <v>94</v>
      </c>
      <c r="L324" s="36" t="s">
        <v>3301</v>
      </c>
      <c r="M324" s="36" t="s">
        <v>3528</v>
      </c>
      <c r="N324" s="36" t="s">
        <v>3529</v>
      </c>
      <c r="O324" s="36" t="s">
        <v>3467</v>
      </c>
      <c r="P324" s="36" t="s">
        <v>3528</v>
      </c>
      <c r="Q324" s="36" t="s">
        <v>3530</v>
      </c>
      <c r="R324" s="36" t="s">
        <v>164</v>
      </c>
      <c r="S324" s="42" t="s">
        <v>5080</v>
      </c>
      <c r="T324" s="43" t="s">
        <v>3528</v>
      </c>
      <c r="U324" s="44" t="s">
        <v>551</v>
      </c>
      <c r="V324" s="43" t="s">
        <v>130</v>
      </c>
      <c r="W324" s="43" t="s">
        <v>130</v>
      </c>
      <c r="X324" s="43" t="s">
        <v>130</v>
      </c>
      <c r="Y324" s="43" t="s">
        <v>130</v>
      </c>
      <c r="Z324" s="43" t="s">
        <v>130</v>
      </c>
      <c r="AA324" s="43" t="s">
        <v>130</v>
      </c>
      <c r="AB324" s="43" t="s">
        <v>130</v>
      </c>
      <c r="AC324" s="43"/>
      <c r="AD324" s="43"/>
      <c r="AE324" s="43"/>
      <c r="AF324" s="43"/>
      <c r="AG324" s="45"/>
      <c r="AH324" s="1"/>
      <c r="AI324" s="1"/>
      <c r="AJ324" s="1"/>
    </row>
    <row r="325" spans="1:36">
      <c r="A325" s="36" t="s">
        <v>3296</v>
      </c>
      <c r="B325" s="36" t="s">
        <v>3355</v>
      </c>
      <c r="C325" s="36" t="s">
        <v>3532</v>
      </c>
      <c r="D325" s="157" t="s">
        <v>3533</v>
      </c>
      <c r="E325" s="38" t="s">
        <v>2235</v>
      </c>
      <c r="F325" s="36"/>
      <c r="G325" s="36" t="s">
        <v>3502</v>
      </c>
      <c r="H325" s="36" t="s">
        <v>3503</v>
      </c>
      <c r="I325" s="40" t="s">
        <v>130</v>
      </c>
      <c r="J325" s="36" t="s">
        <v>94</v>
      </c>
      <c r="K325" s="36" t="s">
        <v>94</v>
      </c>
      <c r="L325" s="36" t="s">
        <v>3301</v>
      </c>
      <c r="M325" s="36" t="s">
        <v>3534</v>
      </c>
      <c r="N325" s="36" t="s">
        <v>3535</v>
      </c>
      <c r="O325" s="36" t="s">
        <v>3467</v>
      </c>
      <c r="P325" s="36" t="s">
        <v>3534</v>
      </c>
      <c r="Q325" s="36" t="s">
        <v>3536</v>
      </c>
      <c r="R325" s="36" t="s">
        <v>164</v>
      </c>
      <c r="S325" s="42" t="s">
        <v>5082</v>
      </c>
      <c r="T325" s="43" t="s">
        <v>3534</v>
      </c>
      <c r="U325" s="44" t="s">
        <v>3469</v>
      </c>
      <c r="V325" s="43" t="s">
        <v>130</v>
      </c>
      <c r="W325" s="43" t="s">
        <v>130</v>
      </c>
      <c r="X325" s="43"/>
      <c r="Y325" s="43"/>
      <c r="Z325" s="43"/>
      <c r="AA325" s="43" t="s">
        <v>130</v>
      </c>
      <c r="AB325" s="43"/>
      <c r="AC325" s="43"/>
      <c r="AD325" s="43"/>
      <c r="AE325" s="43"/>
      <c r="AF325" s="43"/>
      <c r="AG325" s="45"/>
      <c r="AH325" s="1"/>
      <c r="AI325" s="1"/>
      <c r="AJ325" s="1"/>
    </row>
    <row r="326" spans="1:36">
      <c r="A326" s="36" t="s">
        <v>3296</v>
      </c>
      <c r="B326" s="172" t="s">
        <v>3538</v>
      </c>
      <c r="C326" s="36" t="s">
        <v>2484</v>
      </c>
      <c r="D326" s="36" t="s">
        <v>3542</v>
      </c>
      <c r="E326" s="38" t="s">
        <v>3364</v>
      </c>
      <c r="F326" s="36"/>
      <c r="G326" s="36" t="s">
        <v>3543</v>
      </c>
      <c r="H326" s="36" t="s">
        <v>3544</v>
      </c>
      <c r="I326" s="40"/>
      <c r="J326" s="46" t="s">
        <v>230</v>
      </c>
      <c r="K326" s="36" t="s">
        <v>94</v>
      </c>
      <c r="L326" s="36" t="s">
        <v>3301</v>
      </c>
      <c r="M326" s="36" t="s">
        <v>3546</v>
      </c>
      <c r="N326" s="36" t="s">
        <v>3547</v>
      </c>
      <c r="O326" s="36" t="s">
        <v>3355</v>
      </c>
      <c r="P326" s="36" t="s">
        <v>3546</v>
      </c>
      <c r="Q326" s="36" t="s">
        <v>3548</v>
      </c>
      <c r="R326" s="36" t="s">
        <v>3549</v>
      </c>
      <c r="S326" s="42" t="s">
        <v>5074</v>
      </c>
      <c r="T326" s="43" t="s">
        <v>3550</v>
      </c>
      <c r="U326" s="44" t="s">
        <v>3551</v>
      </c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5"/>
      <c r="AH326" s="1"/>
      <c r="AI326" s="1"/>
      <c r="AJ326" s="1"/>
    </row>
    <row r="327" spans="1:36">
      <c r="A327" s="36" t="s">
        <v>3296</v>
      </c>
      <c r="B327" s="172" t="s">
        <v>3538</v>
      </c>
      <c r="C327" s="36" t="s">
        <v>2511</v>
      </c>
      <c r="D327" s="157" t="s">
        <v>3552</v>
      </c>
      <c r="E327" s="38" t="s">
        <v>3384</v>
      </c>
      <c r="F327" s="36"/>
      <c r="G327" s="36" t="s">
        <v>3543</v>
      </c>
      <c r="H327" s="36" t="s">
        <v>3544</v>
      </c>
      <c r="I327" s="40" t="s">
        <v>130</v>
      </c>
      <c r="J327" s="46" t="s">
        <v>94</v>
      </c>
      <c r="K327" s="36" t="s">
        <v>94</v>
      </c>
      <c r="L327" s="36" t="s">
        <v>3301</v>
      </c>
      <c r="M327" s="36" t="s">
        <v>3555</v>
      </c>
      <c r="N327" s="36" t="s">
        <v>3556</v>
      </c>
      <c r="O327" s="36" t="s">
        <v>3355</v>
      </c>
      <c r="P327" s="36" t="s">
        <v>3555</v>
      </c>
      <c r="Q327" s="36" t="s">
        <v>3557</v>
      </c>
      <c r="R327" s="36" t="s">
        <v>551</v>
      </c>
      <c r="S327" s="42" t="s">
        <v>5075</v>
      </c>
      <c r="T327" s="43" t="s">
        <v>3558</v>
      </c>
      <c r="U327" s="44" t="s">
        <v>3551</v>
      </c>
      <c r="V327" s="43" t="s">
        <v>130</v>
      </c>
      <c r="W327" s="43"/>
      <c r="X327" s="43" t="s">
        <v>130</v>
      </c>
      <c r="Y327" s="43" t="s">
        <v>130</v>
      </c>
      <c r="Z327" s="43" t="s">
        <v>130</v>
      </c>
      <c r="AA327" s="43" t="s">
        <v>130</v>
      </c>
      <c r="AB327" s="43" t="s">
        <v>130</v>
      </c>
      <c r="AC327" s="43"/>
      <c r="AD327" s="43"/>
      <c r="AE327" s="43"/>
      <c r="AF327" s="43"/>
      <c r="AG327" s="45"/>
      <c r="AH327" s="1"/>
      <c r="AI327" s="1"/>
      <c r="AJ327" s="1"/>
    </row>
    <row r="328" spans="1:36">
      <c r="A328" s="36" t="s">
        <v>3296</v>
      </c>
      <c r="B328" s="172" t="s">
        <v>3538</v>
      </c>
      <c r="C328" s="36" t="s">
        <v>2424</v>
      </c>
      <c r="D328" s="36" t="s">
        <v>3559</v>
      </c>
      <c r="E328" s="38" t="s">
        <v>3410</v>
      </c>
      <c r="F328" s="36"/>
      <c r="G328" s="36" t="s">
        <v>3543</v>
      </c>
      <c r="H328" s="36" t="s">
        <v>3544</v>
      </c>
      <c r="I328" s="40"/>
      <c r="J328" s="46" t="s">
        <v>230</v>
      </c>
      <c r="K328" s="36" t="s">
        <v>94</v>
      </c>
      <c r="L328" s="36" t="s">
        <v>3301</v>
      </c>
      <c r="M328" s="36" t="s">
        <v>3561</v>
      </c>
      <c r="N328" s="36" t="s">
        <v>3563</v>
      </c>
      <c r="O328" s="36" t="s">
        <v>3355</v>
      </c>
      <c r="P328" s="36" t="s">
        <v>3561</v>
      </c>
      <c r="Q328" s="36" t="s">
        <v>3564</v>
      </c>
      <c r="R328" s="36" t="s">
        <v>3565</v>
      </c>
      <c r="S328" s="42" t="s">
        <v>5097</v>
      </c>
      <c r="T328" s="43" t="s">
        <v>3566</v>
      </c>
      <c r="U328" s="44" t="s">
        <v>3567</v>
      </c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5"/>
      <c r="AH328" s="1"/>
      <c r="AI328" s="1"/>
      <c r="AJ328" s="1"/>
    </row>
    <row r="329" spans="1:36">
      <c r="A329" s="36" t="s">
        <v>3296</v>
      </c>
      <c r="B329" s="172" t="s">
        <v>3538</v>
      </c>
      <c r="C329" s="36" t="s">
        <v>2434</v>
      </c>
      <c r="D329" s="36" t="s">
        <v>3568</v>
      </c>
      <c r="E329" s="38" t="s">
        <v>2556</v>
      </c>
      <c r="F329" s="36"/>
      <c r="G329" s="36" t="s">
        <v>3543</v>
      </c>
      <c r="H329" s="36" t="s">
        <v>3544</v>
      </c>
      <c r="I329" s="40" t="s">
        <v>130</v>
      </c>
      <c r="J329" s="46" t="s">
        <v>94</v>
      </c>
      <c r="K329" s="36" t="s">
        <v>94</v>
      </c>
      <c r="L329" s="36" t="s">
        <v>3301</v>
      </c>
      <c r="M329" s="36" t="s">
        <v>946</v>
      </c>
      <c r="N329" s="36" t="s">
        <v>3570</v>
      </c>
      <c r="O329" s="36" t="s">
        <v>3355</v>
      </c>
      <c r="P329" s="36" t="s">
        <v>946</v>
      </c>
      <c r="Q329" s="36" t="s">
        <v>3572</v>
      </c>
      <c r="R329" s="36" t="s">
        <v>551</v>
      </c>
      <c r="S329" s="42" t="s">
        <v>5115</v>
      </c>
      <c r="T329" s="43" t="s">
        <v>3573</v>
      </c>
      <c r="U329" s="44" t="s">
        <v>3567</v>
      </c>
      <c r="V329" s="43"/>
      <c r="W329" s="43"/>
      <c r="X329" s="43"/>
      <c r="Y329" s="43"/>
      <c r="Z329" s="43"/>
      <c r="AA329" s="43" t="s">
        <v>130</v>
      </c>
      <c r="AB329" s="43" t="s">
        <v>130</v>
      </c>
      <c r="AC329" s="43"/>
      <c r="AD329" s="43"/>
      <c r="AE329" s="43"/>
      <c r="AF329" s="43"/>
      <c r="AG329" s="45"/>
      <c r="AH329" s="1"/>
      <c r="AI329" s="1"/>
      <c r="AJ329" s="1"/>
    </row>
    <row r="330" spans="1:36">
      <c r="A330" s="36" t="s">
        <v>3296</v>
      </c>
      <c r="B330" s="172" t="s">
        <v>3538</v>
      </c>
      <c r="C330" s="36" t="s">
        <v>2442</v>
      </c>
      <c r="D330" s="36" t="s">
        <v>3574</v>
      </c>
      <c r="E330" s="38" t="s">
        <v>3417</v>
      </c>
      <c r="F330" s="36"/>
      <c r="G330" s="36" t="s">
        <v>3543</v>
      </c>
      <c r="H330" s="36" t="s">
        <v>3544</v>
      </c>
      <c r="I330" s="40" t="s">
        <v>130</v>
      </c>
      <c r="J330" s="46" t="s">
        <v>94</v>
      </c>
      <c r="K330" s="36" t="s">
        <v>94</v>
      </c>
      <c r="L330" s="36" t="s">
        <v>3301</v>
      </c>
      <c r="M330" s="36" t="s">
        <v>3575</v>
      </c>
      <c r="N330" s="36" t="s">
        <v>3576</v>
      </c>
      <c r="O330" s="36" t="s">
        <v>3355</v>
      </c>
      <c r="P330" s="36" t="s">
        <v>3575</v>
      </c>
      <c r="Q330" s="36" t="s">
        <v>3577</v>
      </c>
      <c r="R330" s="36" t="s">
        <v>551</v>
      </c>
      <c r="S330" s="42" t="s">
        <v>5136</v>
      </c>
      <c r="T330" s="43" t="s">
        <v>3579</v>
      </c>
      <c r="U330" s="44" t="s">
        <v>3551</v>
      </c>
      <c r="V330" s="43" t="s">
        <v>130</v>
      </c>
      <c r="W330" s="43" t="s">
        <v>130</v>
      </c>
      <c r="X330" s="43" t="s">
        <v>130</v>
      </c>
      <c r="Y330" s="43" t="s">
        <v>130</v>
      </c>
      <c r="Z330" s="43" t="s">
        <v>130</v>
      </c>
      <c r="AA330" s="43" t="s">
        <v>130</v>
      </c>
      <c r="AB330" s="43" t="s">
        <v>130</v>
      </c>
      <c r="AC330" s="43"/>
      <c r="AD330" s="43"/>
      <c r="AE330" s="43"/>
      <c r="AF330" s="43"/>
      <c r="AG330" s="45"/>
      <c r="AH330" s="1"/>
      <c r="AI330" s="1"/>
      <c r="AJ330" s="1"/>
    </row>
    <row r="331" spans="1:36">
      <c r="A331" s="36" t="s">
        <v>3580</v>
      </c>
      <c r="B331" s="36" t="s">
        <v>3581</v>
      </c>
      <c r="C331" s="36" t="s">
        <v>3582</v>
      </c>
      <c r="D331" s="36" t="s">
        <v>3583</v>
      </c>
      <c r="E331" s="38" t="s">
        <v>3584</v>
      </c>
      <c r="F331" s="36"/>
      <c r="G331" s="36" t="s">
        <v>3369</v>
      </c>
      <c r="H331" s="36" t="s">
        <v>3585</v>
      </c>
      <c r="I331" s="40" t="s">
        <v>130</v>
      </c>
      <c r="J331" s="36" t="s">
        <v>94</v>
      </c>
      <c r="K331" s="36" t="s">
        <v>94</v>
      </c>
      <c r="L331" s="36" t="s">
        <v>3586</v>
      </c>
      <c r="M331" s="36" t="s">
        <v>3587</v>
      </c>
      <c r="N331" s="36" t="s">
        <v>3588</v>
      </c>
      <c r="O331" s="36" t="s">
        <v>3589</v>
      </c>
      <c r="P331" s="36" t="s">
        <v>3587</v>
      </c>
      <c r="Q331" s="36" t="s">
        <v>3590</v>
      </c>
      <c r="R331" s="36" t="s">
        <v>164</v>
      </c>
      <c r="S331" s="42" t="s">
        <v>5074</v>
      </c>
      <c r="T331" s="43" t="s">
        <v>3592</v>
      </c>
      <c r="U331" s="44" t="s">
        <v>3593</v>
      </c>
      <c r="V331" s="43" t="s">
        <v>130</v>
      </c>
      <c r="W331" s="43" t="s">
        <v>130</v>
      </c>
      <c r="X331" s="43" t="s">
        <v>130</v>
      </c>
      <c r="Y331" s="43" t="s">
        <v>130</v>
      </c>
      <c r="Z331" s="43" t="s">
        <v>130</v>
      </c>
      <c r="AA331" s="43" t="s">
        <v>130</v>
      </c>
      <c r="AB331" s="43" t="s">
        <v>130</v>
      </c>
      <c r="AC331" s="43"/>
      <c r="AD331" s="43"/>
      <c r="AE331" s="43"/>
      <c r="AF331" s="43"/>
      <c r="AG331" s="45"/>
      <c r="AH331" s="1"/>
      <c r="AI331" s="1"/>
      <c r="AJ331" s="1"/>
    </row>
    <row r="332" spans="1:36">
      <c r="A332" s="36" t="s">
        <v>3580</v>
      </c>
      <c r="B332" s="36" t="s">
        <v>3581</v>
      </c>
      <c r="C332" s="36" t="s">
        <v>3595</v>
      </c>
      <c r="D332" s="57" t="s">
        <v>3596</v>
      </c>
      <c r="E332" s="38" t="s">
        <v>3597</v>
      </c>
      <c r="F332" s="36"/>
      <c r="G332" s="36" t="s">
        <v>3369</v>
      </c>
      <c r="H332" s="36" t="s">
        <v>3585</v>
      </c>
      <c r="I332" s="40"/>
      <c r="J332" s="36" t="s">
        <v>94</v>
      </c>
      <c r="K332" s="36" t="s">
        <v>94</v>
      </c>
      <c r="L332" s="36" t="s">
        <v>3586</v>
      </c>
      <c r="M332" s="36" t="s">
        <v>990</v>
      </c>
      <c r="N332" s="36" t="s">
        <v>3598</v>
      </c>
      <c r="O332" s="36" t="s">
        <v>3589</v>
      </c>
      <c r="P332" s="36" t="s">
        <v>990</v>
      </c>
      <c r="Q332" s="36" t="s">
        <v>3599</v>
      </c>
      <c r="R332" s="36" t="s">
        <v>3600</v>
      </c>
      <c r="S332" s="42" t="s">
        <v>5075</v>
      </c>
      <c r="T332" s="43" t="s">
        <v>3601</v>
      </c>
      <c r="U332" s="44" t="s">
        <v>3593</v>
      </c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5"/>
      <c r="AH332" s="1"/>
      <c r="AI332" s="1"/>
      <c r="AJ332" s="1"/>
    </row>
    <row r="333" spans="1:36">
      <c r="A333" s="36" t="s">
        <v>3580</v>
      </c>
      <c r="B333" s="36" t="s">
        <v>3581</v>
      </c>
      <c r="C333" s="36" t="s">
        <v>3603</v>
      </c>
      <c r="D333" s="36" t="s">
        <v>3604</v>
      </c>
      <c r="E333" s="38" t="s">
        <v>3605</v>
      </c>
      <c r="F333" s="36"/>
      <c r="G333" s="36" t="s">
        <v>3369</v>
      </c>
      <c r="H333" s="36" t="s">
        <v>3585</v>
      </c>
      <c r="I333" s="40"/>
      <c r="J333" s="36" t="s">
        <v>230</v>
      </c>
      <c r="K333" s="36" t="s">
        <v>94</v>
      </c>
      <c r="L333" s="36" t="s">
        <v>3586</v>
      </c>
      <c r="M333" s="36" t="s">
        <v>1006</v>
      </c>
      <c r="N333" s="36" t="s">
        <v>3606</v>
      </c>
      <c r="O333" s="36" t="s">
        <v>3589</v>
      </c>
      <c r="P333" s="36" t="s">
        <v>1006</v>
      </c>
      <c r="Q333" s="36" t="s">
        <v>3607</v>
      </c>
      <c r="R333" s="36" t="s">
        <v>3608</v>
      </c>
      <c r="S333" s="42" t="s">
        <v>5097</v>
      </c>
      <c r="T333" s="43" t="s">
        <v>3609</v>
      </c>
      <c r="U333" s="44" t="s">
        <v>3610</v>
      </c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5"/>
      <c r="AH333" s="1"/>
      <c r="AI333" s="1"/>
      <c r="AJ333" s="1"/>
    </row>
    <row r="334" spans="1:36">
      <c r="A334" s="36" t="s">
        <v>3580</v>
      </c>
      <c r="B334" s="36" t="s">
        <v>3581</v>
      </c>
      <c r="C334" s="36" t="s">
        <v>3611</v>
      </c>
      <c r="D334" s="36" t="s">
        <v>3612</v>
      </c>
      <c r="E334" s="38" t="s">
        <v>3613</v>
      </c>
      <c r="F334" s="36"/>
      <c r="G334" s="36" t="s">
        <v>3369</v>
      </c>
      <c r="H334" s="36" t="s">
        <v>3585</v>
      </c>
      <c r="I334" s="40" t="s">
        <v>130</v>
      </c>
      <c r="J334" s="36" t="s">
        <v>94</v>
      </c>
      <c r="K334" s="36" t="s">
        <v>94</v>
      </c>
      <c r="L334" s="36" t="s">
        <v>3586</v>
      </c>
      <c r="M334" s="36" t="s">
        <v>1026</v>
      </c>
      <c r="N334" s="36" t="s">
        <v>3615</v>
      </c>
      <c r="O334" s="36" t="s">
        <v>3589</v>
      </c>
      <c r="P334" s="36" t="s">
        <v>1026</v>
      </c>
      <c r="Q334" s="36" t="s">
        <v>3616</v>
      </c>
      <c r="R334" s="36" t="s">
        <v>164</v>
      </c>
      <c r="S334" s="42" t="s">
        <v>5115</v>
      </c>
      <c r="T334" s="43" t="s">
        <v>3617</v>
      </c>
      <c r="U334" s="44" t="s">
        <v>3593</v>
      </c>
      <c r="V334" s="43" t="s">
        <v>130</v>
      </c>
      <c r="W334" s="43" t="s">
        <v>130</v>
      </c>
      <c r="X334" s="43" t="s">
        <v>130</v>
      </c>
      <c r="Y334" s="43" t="s">
        <v>130</v>
      </c>
      <c r="Z334" s="43" t="s">
        <v>130</v>
      </c>
      <c r="AA334" s="43" t="s">
        <v>130</v>
      </c>
      <c r="AB334" s="43" t="s">
        <v>130</v>
      </c>
      <c r="AC334" s="43"/>
      <c r="AD334" s="43"/>
      <c r="AE334" s="43"/>
      <c r="AF334" s="43"/>
      <c r="AG334" s="45"/>
      <c r="AH334" s="1"/>
      <c r="AI334" s="1"/>
      <c r="AJ334" s="1"/>
    </row>
    <row r="335" spans="1:36">
      <c r="A335" s="36" t="s">
        <v>3580</v>
      </c>
      <c r="B335" s="36" t="s">
        <v>3581</v>
      </c>
      <c r="C335" s="36" t="s">
        <v>3618</v>
      </c>
      <c r="D335" s="57" t="s">
        <v>3619</v>
      </c>
      <c r="E335" s="38" t="s">
        <v>3620</v>
      </c>
      <c r="F335" s="36"/>
      <c r="G335" s="36" t="s">
        <v>3369</v>
      </c>
      <c r="H335" s="36" t="s">
        <v>3585</v>
      </c>
      <c r="I335" s="40"/>
      <c r="J335" s="36" t="s">
        <v>1014</v>
      </c>
      <c r="K335" s="36" t="s">
        <v>94</v>
      </c>
      <c r="L335" s="36" t="s">
        <v>3586</v>
      </c>
      <c r="M335" s="36" t="s">
        <v>1222</v>
      </c>
      <c r="N335" s="36" t="s">
        <v>3622</v>
      </c>
      <c r="O335" s="36" t="s">
        <v>3589</v>
      </c>
      <c r="P335" s="36" t="s">
        <v>1222</v>
      </c>
      <c r="Q335" s="36" t="s">
        <v>3623</v>
      </c>
      <c r="R335" s="36" t="s">
        <v>3624</v>
      </c>
      <c r="S335" s="42" t="s">
        <v>5136</v>
      </c>
      <c r="T335" s="43" t="s">
        <v>3625</v>
      </c>
      <c r="U335" s="44" t="s">
        <v>3610</v>
      </c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5"/>
      <c r="AH335" s="1"/>
      <c r="AI335" s="1"/>
      <c r="AJ335" s="1"/>
    </row>
    <row r="336" spans="1:36">
      <c r="A336" s="36" t="s">
        <v>3580</v>
      </c>
      <c r="B336" s="36" t="s">
        <v>3581</v>
      </c>
      <c r="C336" s="36" t="s">
        <v>3626</v>
      </c>
      <c r="D336" s="57" t="s">
        <v>3627</v>
      </c>
      <c r="E336" s="38" t="s">
        <v>3628</v>
      </c>
      <c r="F336" s="36"/>
      <c r="G336" s="36" t="s">
        <v>3629</v>
      </c>
      <c r="H336" s="36" t="s">
        <v>3630</v>
      </c>
      <c r="I336" s="40"/>
      <c r="J336" s="36" t="s">
        <v>159</v>
      </c>
      <c r="K336" s="36" t="s">
        <v>94</v>
      </c>
      <c r="L336" s="36" t="s">
        <v>3586</v>
      </c>
      <c r="M336" s="36" t="s">
        <v>830</v>
      </c>
      <c r="N336" s="36" t="s">
        <v>3632</v>
      </c>
      <c r="O336" s="36" t="s">
        <v>3633</v>
      </c>
      <c r="P336" s="36" t="s">
        <v>830</v>
      </c>
      <c r="Q336" s="36" t="s">
        <v>3634</v>
      </c>
      <c r="R336" s="36" t="s">
        <v>3635</v>
      </c>
      <c r="S336" s="42" t="s">
        <v>5100</v>
      </c>
      <c r="T336" s="43" t="s">
        <v>3636</v>
      </c>
      <c r="U336" s="44" t="s">
        <v>3637</v>
      </c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5"/>
      <c r="AH336" s="1"/>
      <c r="AI336" s="1"/>
      <c r="AJ336" s="1"/>
    </row>
    <row r="337" spans="1:36">
      <c r="A337" s="36" t="s">
        <v>3580</v>
      </c>
      <c r="B337" s="36" t="s">
        <v>3581</v>
      </c>
      <c r="C337" s="36" t="s">
        <v>3638</v>
      </c>
      <c r="D337" s="36" t="s">
        <v>3639</v>
      </c>
      <c r="E337" s="38" t="s">
        <v>3640</v>
      </c>
      <c r="F337" s="36" t="s">
        <v>130</v>
      </c>
      <c r="G337" s="36" t="s">
        <v>3629</v>
      </c>
      <c r="H337" s="36" t="s">
        <v>3630</v>
      </c>
      <c r="I337" s="40"/>
      <c r="J337" s="36" t="s">
        <v>159</v>
      </c>
      <c r="K337" s="36" t="s">
        <v>94</v>
      </c>
      <c r="L337" s="36" t="s">
        <v>3586</v>
      </c>
      <c r="M337" s="36" t="s">
        <v>858</v>
      </c>
      <c r="N337" s="36" t="s">
        <v>3641</v>
      </c>
      <c r="O337" s="36" t="s">
        <v>3633</v>
      </c>
      <c r="P337" s="36" t="s">
        <v>858</v>
      </c>
      <c r="Q337" s="36" t="s">
        <v>3643</v>
      </c>
      <c r="R337" s="36" t="s">
        <v>3644</v>
      </c>
      <c r="S337" s="42" t="s">
        <v>5101</v>
      </c>
      <c r="T337" s="43" t="s">
        <v>3645</v>
      </c>
      <c r="U337" s="44" t="s">
        <v>3646</v>
      </c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5"/>
      <c r="AH337" s="1"/>
      <c r="AI337" s="1"/>
      <c r="AJ337" s="1"/>
    </row>
    <row r="338" spans="1:36">
      <c r="A338" s="36" t="s">
        <v>3580</v>
      </c>
      <c r="B338" s="36" t="s">
        <v>3581</v>
      </c>
      <c r="C338" s="36" t="s">
        <v>3647</v>
      </c>
      <c r="D338" s="36" t="s">
        <v>3648</v>
      </c>
      <c r="E338" s="38" t="s">
        <v>3649</v>
      </c>
      <c r="F338" s="36"/>
      <c r="G338" s="36" t="s">
        <v>3629</v>
      </c>
      <c r="H338" s="36" t="s">
        <v>3630</v>
      </c>
      <c r="I338" s="40" t="s">
        <v>130</v>
      </c>
      <c r="J338" s="36" t="s">
        <v>94</v>
      </c>
      <c r="K338" s="36" t="s">
        <v>94</v>
      </c>
      <c r="L338" s="36" t="s">
        <v>3586</v>
      </c>
      <c r="M338" s="36" t="s">
        <v>3650</v>
      </c>
      <c r="N338" s="36" t="s">
        <v>3651</v>
      </c>
      <c r="O338" s="36" t="s">
        <v>3633</v>
      </c>
      <c r="P338" s="36" t="s">
        <v>3652</v>
      </c>
      <c r="Q338" s="36" t="s">
        <v>3653</v>
      </c>
      <c r="R338" s="36" t="s">
        <v>164</v>
      </c>
      <c r="S338" s="42" t="s">
        <v>5102</v>
      </c>
      <c r="T338" s="43" t="s">
        <v>3654</v>
      </c>
      <c r="U338" s="44" t="s">
        <v>3655</v>
      </c>
      <c r="V338" s="43" t="s">
        <v>130</v>
      </c>
      <c r="W338" s="43" t="s">
        <v>130</v>
      </c>
      <c r="X338" s="43" t="s">
        <v>130</v>
      </c>
      <c r="Y338" s="43" t="s">
        <v>130</v>
      </c>
      <c r="Z338" s="43" t="s">
        <v>130</v>
      </c>
      <c r="AA338" s="43" t="s">
        <v>130</v>
      </c>
      <c r="AB338" s="43" t="s">
        <v>130</v>
      </c>
      <c r="AC338" s="43"/>
      <c r="AD338" s="43"/>
      <c r="AE338" s="43"/>
      <c r="AF338" s="43"/>
      <c r="AG338" s="45"/>
      <c r="AH338" s="1"/>
      <c r="AI338" s="1"/>
      <c r="AJ338" s="1"/>
    </row>
    <row r="339" spans="1:36">
      <c r="A339" s="36" t="s">
        <v>3580</v>
      </c>
      <c r="B339" s="36" t="s">
        <v>3581</v>
      </c>
      <c r="C339" s="36" t="s">
        <v>3657</v>
      </c>
      <c r="D339" s="57" t="s">
        <v>3658</v>
      </c>
      <c r="E339" s="38" t="s">
        <v>3659</v>
      </c>
      <c r="F339" s="36"/>
      <c r="G339" s="36" t="s">
        <v>3629</v>
      </c>
      <c r="H339" s="36" t="s">
        <v>3630</v>
      </c>
      <c r="I339" s="40"/>
      <c r="J339" s="36" t="s">
        <v>230</v>
      </c>
      <c r="K339" s="36" t="s">
        <v>94</v>
      </c>
      <c r="L339" s="36" t="s">
        <v>3586</v>
      </c>
      <c r="M339" s="36" t="s">
        <v>3660</v>
      </c>
      <c r="N339" s="36" t="s">
        <v>3661</v>
      </c>
      <c r="O339" s="36" t="s">
        <v>3633</v>
      </c>
      <c r="P339" s="36" t="s">
        <v>3660</v>
      </c>
      <c r="Q339" s="36" t="s">
        <v>3662</v>
      </c>
      <c r="R339" s="36" t="s">
        <v>3663</v>
      </c>
      <c r="S339" s="42" t="s">
        <v>5103</v>
      </c>
      <c r="T339" s="43" t="s">
        <v>3664</v>
      </c>
      <c r="U339" s="44" t="s">
        <v>3637</v>
      </c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5"/>
      <c r="AH339" s="1"/>
      <c r="AI339" s="1"/>
      <c r="AJ339" s="1"/>
    </row>
    <row r="340" spans="1:36">
      <c r="A340" s="36" t="s">
        <v>3580</v>
      </c>
      <c r="B340" s="36" t="s">
        <v>3581</v>
      </c>
      <c r="C340" s="36" t="s">
        <v>3665</v>
      </c>
      <c r="D340" s="36" t="s">
        <v>3666</v>
      </c>
      <c r="E340" s="38" t="s">
        <v>3667</v>
      </c>
      <c r="F340" s="36"/>
      <c r="G340" s="36" t="s">
        <v>3669</v>
      </c>
      <c r="H340" s="36" t="s">
        <v>3670</v>
      </c>
      <c r="I340" s="40" t="s">
        <v>130</v>
      </c>
      <c r="J340" s="36" t="s">
        <v>132</v>
      </c>
      <c r="K340" s="36" t="s">
        <v>94</v>
      </c>
      <c r="L340" s="36" t="s">
        <v>3586</v>
      </c>
      <c r="M340" s="36" t="s">
        <v>3671</v>
      </c>
      <c r="N340" s="36" t="s">
        <v>3672</v>
      </c>
      <c r="O340" s="36" t="s">
        <v>3633</v>
      </c>
      <c r="P340" s="36" t="s">
        <v>3671</v>
      </c>
      <c r="Q340" s="36" t="s">
        <v>3673</v>
      </c>
      <c r="R340" s="36" t="s">
        <v>3674</v>
      </c>
      <c r="S340" s="42" t="s">
        <v>5086</v>
      </c>
      <c r="T340" s="43" t="s">
        <v>3675</v>
      </c>
      <c r="U340" s="44" t="s">
        <v>3669</v>
      </c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5"/>
      <c r="AH340" s="1"/>
      <c r="AI340" s="1"/>
      <c r="AJ340" s="1"/>
    </row>
    <row r="341" spans="1:36">
      <c r="A341" s="36" t="s">
        <v>3580</v>
      </c>
      <c r="B341" s="36" t="s">
        <v>3581</v>
      </c>
      <c r="C341" s="36" t="s">
        <v>3676</v>
      </c>
      <c r="D341" s="57" t="s">
        <v>3677</v>
      </c>
      <c r="E341" s="38" t="s">
        <v>3678</v>
      </c>
      <c r="F341" s="36"/>
      <c r="G341" s="36" t="s">
        <v>3669</v>
      </c>
      <c r="H341" s="36" t="s">
        <v>3670</v>
      </c>
      <c r="I341" s="40" t="s">
        <v>130</v>
      </c>
      <c r="J341" s="46" t="s">
        <v>94</v>
      </c>
      <c r="K341" s="36" t="s">
        <v>94</v>
      </c>
      <c r="L341" s="36" t="s">
        <v>3586</v>
      </c>
      <c r="M341" s="36" t="s">
        <v>3680</v>
      </c>
      <c r="N341" s="36" t="s">
        <v>3681</v>
      </c>
      <c r="O341" s="36" t="s">
        <v>3633</v>
      </c>
      <c r="P341" s="36" t="s">
        <v>3680</v>
      </c>
      <c r="Q341" s="36" t="s">
        <v>3682</v>
      </c>
      <c r="R341" s="36" t="s">
        <v>551</v>
      </c>
      <c r="S341" s="42" t="s">
        <v>5087</v>
      </c>
      <c r="T341" s="43" t="s">
        <v>3683</v>
      </c>
      <c r="U341" s="44" t="s">
        <v>3669</v>
      </c>
      <c r="V341" s="43" t="s">
        <v>130</v>
      </c>
      <c r="W341" s="43" t="s">
        <v>130</v>
      </c>
      <c r="X341" s="43" t="s">
        <v>130</v>
      </c>
      <c r="Y341" s="43" t="s">
        <v>130</v>
      </c>
      <c r="Z341" s="43" t="s">
        <v>130</v>
      </c>
      <c r="AA341" s="43" t="s">
        <v>130</v>
      </c>
      <c r="AB341" s="43" t="s">
        <v>130</v>
      </c>
      <c r="AC341" s="43"/>
      <c r="AD341" s="43"/>
      <c r="AE341" s="43"/>
      <c r="AF341" s="43"/>
      <c r="AG341" s="45"/>
      <c r="AH341" s="1"/>
      <c r="AI341" s="1"/>
      <c r="AJ341" s="1"/>
    </row>
    <row r="342" spans="1:36">
      <c r="A342" s="36" t="s">
        <v>3580</v>
      </c>
      <c r="B342" s="36" t="s">
        <v>3581</v>
      </c>
      <c r="C342" s="36" t="s">
        <v>3684</v>
      </c>
      <c r="D342" s="36" t="s">
        <v>3685</v>
      </c>
      <c r="E342" s="38" t="s">
        <v>3687</v>
      </c>
      <c r="F342" s="36" t="s">
        <v>130</v>
      </c>
      <c r="G342" s="36" t="s">
        <v>3669</v>
      </c>
      <c r="H342" s="36" t="s">
        <v>3670</v>
      </c>
      <c r="I342" s="40"/>
      <c r="J342" s="36" t="s">
        <v>930</v>
      </c>
      <c r="K342" s="36" t="s">
        <v>94</v>
      </c>
      <c r="L342" s="36" t="s">
        <v>3586</v>
      </c>
      <c r="M342" s="36" t="s">
        <v>3689</v>
      </c>
      <c r="N342" s="36" t="s">
        <v>3690</v>
      </c>
      <c r="O342" s="36" t="s">
        <v>3633</v>
      </c>
      <c r="P342" s="36" t="s">
        <v>3689</v>
      </c>
      <c r="Q342" s="36" t="s">
        <v>3691</v>
      </c>
      <c r="R342" s="36" t="s">
        <v>3692</v>
      </c>
      <c r="S342" s="42" t="s">
        <v>5088</v>
      </c>
      <c r="T342" s="43" t="s">
        <v>3693</v>
      </c>
      <c r="U342" s="44" t="s">
        <v>3692</v>
      </c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5"/>
      <c r="AH342" s="1"/>
      <c r="AI342" s="1"/>
      <c r="AJ342" s="1"/>
    </row>
    <row r="343" spans="1:36">
      <c r="A343" s="36" t="s">
        <v>3580</v>
      </c>
      <c r="B343" s="36" t="s">
        <v>3581</v>
      </c>
      <c r="C343" s="36" t="s">
        <v>3694</v>
      </c>
      <c r="D343" s="36" t="s">
        <v>3695</v>
      </c>
      <c r="E343" s="38" t="s">
        <v>3696</v>
      </c>
      <c r="F343" s="36"/>
      <c r="G343" s="36" t="s">
        <v>3669</v>
      </c>
      <c r="H343" s="36" t="s">
        <v>3670</v>
      </c>
      <c r="I343" s="40" t="s">
        <v>130</v>
      </c>
      <c r="J343" s="46" t="s">
        <v>94</v>
      </c>
      <c r="K343" s="36" t="s">
        <v>94</v>
      </c>
      <c r="L343" s="36" t="s">
        <v>3586</v>
      </c>
      <c r="M343" s="36" t="s">
        <v>3698</v>
      </c>
      <c r="N343" s="36" t="s">
        <v>3699</v>
      </c>
      <c r="O343" s="36" t="s">
        <v>3633</v>
      </c>
      <c r="P343" s="36" t="s">
        <v>3698</v>
      </c>
      <c r="Q343" s="36" t="s">
        <v>3700</v>
      </c>
      <c r="R343" s="36" t="s">
        <v>551</v>
      </c>
      <c r="S343" s="42" t="s">
        <v>5089</v>
      </c>
      <c r="T343" s="43" t="s">
        <v>3701</v>
      </c>
      <c r="U343" s="44" t="s">
        <v>3669</v>
      </c>
      <c r="V343" s="43" t="s">
        <v>130</v>
      </c>
      <c r="W343" s="43" t="s">
        <v>130</v>
      </c>
      <c r="X343" s="43" t="s">
        <v>130</v>
      </c>
      <c r="Y343" s="43" t="s">
        <v>130</v>
      </c>
      <c r="Z343" s="43" t="s">
        <v>130</v>
      </c>
      <c r="AA343" s="43" t="s">
        <v>130</v>
      </c>
      <c r="AB343" s="43" t="s">
        <v>130</v>
      </c>
      <c r="AC343" s="43"/>
      <c r="AD343" s="43"/>
      <c r="AE343" s="43"/>
      <c r="AF343" s="43"/>
      <c r="AG343" s="45"/>
      <c r="AH343" s="1"/>
      <c r="AI343" s="1"/>
      <c r="AJ343" s="1"/>
    </row>
    <row r="344" spans="1:36">
      <c r="A344" s="36" t="s">
        <v>3580</v>
      </c>
      <c r="B344" s="36" t="s">
        <v>3581</v>
      </c>
      <c r="C344" s="36" t="s">
        <v>3702</v>
      </c>
      <c r="D344" s="57" t="s">
        <v>3703</v>
      </c>
      <c r="E344" s="38" t="s">
        <v>3704</v>
      </c>
      <c r="F344" s="36"/>
      <c r="G344" s="36" t="s">
        <v>3705</v>
      </c>
      <c r="H344" s="36" t="s">
        <v>3706</v>
      </c>
      <c r="I344" s="40"/>
      <c r="J344" s="36" t="s">
        <v>230</v>
      </c>
      <c r="K344" s="36" t="s">
        <v>94</v>
      </c>
      <c r="L344" s="36" t="s">
        <v>3586</v>
      </c>
      <c r="M344" s="36" t="s">
        <v>3708</v>
      </c>
      <c r="N344" s="36" t="s">
        <v>3710</v>
      </c>
      <c r="O344" s="36" t="s">
        <v>3633</v>
      </c>
      <c r="P344" s="36" t="s">
        <v>3708</v>
      </c>
      <c r="Q344" s="36" t="s">
        <v>3711</v>
      </c>
      <c r="R344" s="36" t="s">
        <v>3029</v>
      </c>
      <c r="S344" s="42" t="s">
        <v>5098</v>
      </c>
      <c r="T344" s="43" t="s">
        <v>3712</v>
      </c>
      <c r="U344" s="44" t="s">
        <v>3713</v>
      </c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5"/>
      <c r="AH344" s="1"/>
      <c r="AI344" s="1"/>
      <c r="AJ344" s="1"/>
    </row>
    <row r="345" spans="1:36">
      <c r="A345" s="36" t="s">
        <v>3580</v>
      </c>
      <c r="B345" s="36" t="s">
        <v>3581</v>
      </c>
      <c r="C345" s="36" t="s">
        <v>3714</v>
      </c>
      <c r="D345" s="36" t="s">
        <v>3715</v>
      </c>
      <c r="E345" s="38" t="s">
        <v>3716</v>
      </c>
      <c r="F345" s="36"/>
      <c r="G345" s="36" t="s">
        <v>3705</v>
      </c>
      <c r="H345" s="36" t="s">
        <v>3706</v>
      </c>
      <c r="I345" s="40"/>
      <c r="J345" s="36" t="s">
        <v>94</v>
      </c>
      <c r="K345" s="36" t="s">
        <v>94</v>
      </c>
      <c r="L345" s="36" t="s">
        <v>3586</v>
      </c>
      <c r="M345" s="36" t="s">
        <v>3717</v>
      </c>
      <c r="N345" s="36" t="s">
        <v>3718</v>
      </c>
      <c r="O345" s="36" t="s">
        <v>3633</v>
      </c>
      <c r="P345" s="36" t="s">
        <v>3717</v>
      </c>
      <c r="Q345" s="36" t="s">
        <v>3720</v>
      </c>
      <c r="R345" s="36" t="s">
        <v>3721</v>
      </c>
      <c r="S345" s="42" t="s">
        <v>5099</v>
      </c>
      <c r="T345" s="43" t="s">
        <v>3722</v>
      </c>
      <c r="U345" s="44" t="s">
        <v>3713</v>
      </c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5"/>
      <c r="AH345" s="1"/>
      <c r="AI345" s="1"/>
      <c r="AJ345" s="1"/>
    </row>
    <row r="346" spans="1:36">
      <c r="A346" s="36" t="s">
        <v>3580</v>
      </c>
      <c r="B346" s="36" t="s">
        <v>3581</v>
      </c>
      <c r="C346" s="36" t="s">
        <v>3723</v>
      </c>
      <c r="D346" s="36" t="s">
        <v>3724</v>
      </c>
      <c r="E346" s="38" t="s">
        <v>3725</v>
      </c>
      <c r="F346" s="36" t="s">
        <v>130</v>
      </c>
      <c r="G346" s="36" t="s">
        <v>3705</v>
      </c>
      <c r="H346" s="36" t="s">
        <v>3706</v>
      </c>
      <c r="I346" s="40" t="s">
        <v>130</v>
      </c>
      <c r="J346" s="36" t="s">
        <v>94</v>
      </c>
      <c r="K346" s="36" t="s">
        <v>94</v>
      </c>
      <c r="L346" s="36" t="s">
        <v>3586</v>
      </c>
      <c r="M346" s="36" t="s">
        <v>3727</v>
      </c>
      <c r="N346" s="36" t="s">
        <v>3728</v>
      </c>
      <c r="O346" s="36" t="s">
        <v>3633</v>
      </c>
      <c r="P346" s="36" t="s">
        <v>3727</v>
      </c>
      <c r="Q346" s="36" t="s">
        <v>3729</v>
      </c>
      <c r="R346" s="36" t="s">
        <v>164</v>
      </c>
      <c r="S346" s="42" t="s">
        <v>5113</v>
      </c>
      <c r="T346" s="43" t="s">
        <v>3730</v>
      </c>
      <c r="U346" s="44" t="s">
        <v>3713</v>
      </c>
      <c r="V346" s="43" t="s">
        <v>130</v>
      </c>
      <c r="W346" s="43" t="s">
        <v>130</v>
      </c>
      <c r="X346" s="43" t="s">
        <v>130</v>
      </c>
      <c r="Y346" s="43" t="s">
        <v>130</v>
      </c>
      <c r="Z346" s="43" t="s">
        <v>130</v>
      </c>
      <c r="AA346" s="43" t="s">
        <v>130</v>
      </c>
      <c r="AB346" s="43" t="s">
        <v>130</v>
      </c>
      <c r="AC346" s="43"/>
      <c r="AD346" s="43"/>
      <c r="AE346" s="43"/>
      <c r="AF346" s="43"/>
      <c r="AG346" s="45"/>
      <c r="AH346" s="1"/>
      <c r="AI346" s="1"/>
      <c r="AJ346" s="1"/>
    </row>
    <row r="347" spans="1:36">
      <c r="A347" s="36" t="s">
        <v>3580</v>
      </c>
      <c r="B347" s="36" t="s">
        <v>3581</v>
      </c>
      <c r="C347" s="36" t="s">
        <v>3731</v>
      </c>
      <c r="D347" s="57" t="s">
        <v>3732</v>
      </c>
      <c r="E347" s="38" t="s">
        <v>3733</v>
      </c>
      <c r="F347" s="36"/>
      <c r="G347" s="36" t="s">
        <v>3705</v>
      </c>
      <c r="H347" s="36" t="s">
        <v>3706</v>
      </c>
      <c r="I347" s="40"/>
      <c r="J347" s="36" t="s">
        <v>159</v>
      </c>
      <c r="K347" s="36" t="s">
        <v>94</v>
      </c>
      <c r="L347" s="36" t="s">
        <v>3586</v>
      </c>
      <c r="M347" s="36" t="s">
        <v>3734</v>
      </c>
      <c r="N347" s="36" t="s">
        <v>3735</v>
      </c>
      <c r="O347" s="36" t="s">
        <v>3633</v>
      </c>
      <c r="P347" s="36" t="s">
        <v>3734</v>
      </c>
      <c r="Q347" s="36" t="s">
        <v>3736</v>
      </c>
      <c r="R347" s="36" t="s">
        <v>3737</v>
      </c>
      <c r="S347" s="42" t="s">
        <v>5114</v>
      </c>
      <c r="T347" s="43" t="s">
        <v>3738</v>
      </c>
      <c r="U347" s="44" t="s">
        <v>3739</v>
      </c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5"/>
      <c r="AH347" s="1"/>
      <c r="AI347" s="1"/>
      <c r="AJ347" s="1"/>
    </row>
    <row r="348" spans="1:36">
      <c r="A348" s="36" t="s">
        <v>3580</v>
      </c>
      <c r="B348" s="36" t="s">
        <v>3581</v>
      </c>
      <c r="C348" s="36" t="s">
        <v>3740</v>
      </c>
      <c r="D348" s="36" t="s">
        <v>3741</v>
      </c>
      <c r="E348" s="38" t="s">
        <v>3742</v>
      </c>
      <c r="F348" s="36"/>
      <c r="G348" s="36" t="s">
        <v>2238</v>
      </c>
      <c r="H348" s="36" t="s">
        <v>3743</v>
      </c>
      <c r="I348" s="40" t="s">
        <v>130</v>
      </c>
      <c r="J348" s="36" t="s">
        <v>94</v>
      </c>
      <c r="K348" s="36" t="s">
        <v>94</v>
      </c>
      <c r="L348" s="36" t="s">
        <v>3586</v>
      </c>
      <c r="M348" s="36" t="s">
        <v>3744</v>
      </c>
      <c r="N348" s="36" t="s">
        <v>3746</v>
      </c>
      <c r="O348" s="36" t="s">
        <v>3589</v>
      </c>
      <c r="P348" s="36" t="s">
        <v>3747</v>
      </c>
      <c r="Q348" s="36" t="s">
        <v>3748</v>
      </c>
      <c r="R348" s="36" t="s">
        <v>164</v>
      </c>
      <c r="S348" s="42" t="s">
        <v>5076</v>
      </c>
      <c r="T348" s="43" t="s">
        <v>3749</v>
      </c>
      <c r="U348" s="44" t="s">
        <v>3750</v>
      </c>
      <c r="V348" s="43" t="s">
        <v>130</v>
      </c>
      <c r="W348" s="43" t="s">
        <v>130</v>
      </c>
      <c r="X348" s="43" t="s">
        <v>130</v>
      </c>
      <c r="Y348" s="43" t="s">
        <v>130</v>
      </c>
      <c r="Z348" s="43" t="s">
        <v>130</v>
      </c>
      <c r="AA348" s="43" t="s">
        <v>130</v>
      </c>
      <c r="AB348" s="43" t="s">
        <v>130</v>
      </c>
      <c r="AC348" s="43"/>
      <c r="AD348" s="43"/>
      <c r="AE348" s="43"/>
      <c r="AF348" s="43"/>
      <c r="AG348" s="45"/>
      <c r="AH348" s="1"/>
      <c r="AI348" s="1"/>
      <c r="AJ348" s="1"/>
    </row>
    <row r="349" spans="1:36">
      <c r="A349" s="36" t="s">
        <v>3580</v>
      </c>
      <c r="B349" s="36" t="s">
        <v>3581</v>
      </c>
      <c r="C349" s="36" t="s">
        <v>3751</v>
      </c>
      <c r="D349" s="36" t="s">
        <v>3752</v>
      </c>
      <c r="E349" s="38" t="s">
        <v>3753</v>
      </c>
      <c r="F349" s="36"/>
      <c r="G349" s="36" t="s">
        <v>2238</v>
      </c>
      <c r="H349" s="36" t="s">
        <v>3743</v>
      </c>
      <c r="I349" s="40"/>
      <c r="J349" s="36" t="s">
        <v>94</v>
      </c>
      <c r="K349" s="36" t="s">
        <v>94</v>
      </c>
      <c r="L349" s="36" t="s">
        <v>3586</v>
      </c>
      <c r="M349" s="36" t="s">
        <v>763</v>
      </c>
      <c r="N349" s="36" t="s">
        <v>3755</v>
      </c>
      <c r="O349" s="36" t="s">
        <v>3589</v>
      </c>
      <c r="P349" s="36" t="s">
        <v>763</v>
      </c>
      <c r="Q349" s="36" t="s">
        <v>3756</v>
      </c>
      <c r="R349" s="36" t="s">
        <v>3757</v>
      </c>
      <c r="S349" s="42" t="s">
        <v>5105</v>
      </c>
      <c r="T349" s="43" t="s">
        <v>3758</v>
      </c>
      <c r="U349" s="44" t="s">
        <v>3750</v>
      </c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5"/>
      <c r="AH349" s="1"/>
      <c r="AI349" s="1"/>
      <c r="AJ349" s="1"/>
    </row>
    <row r="350" spans="1:36">
      <c r="A350" s="36" t="s">
        <v>3580</v>
      </c>
      <c r="B350" s="36" t="s">
        <v>3581</v>
      </c>
      <c r="C350" s="36" t="s">
        <v>3759</v>
      </c>
      <c r="D350" s="36" t="s">
        <v>3760</v>
      </c>
      <c r="E350" s="38" t="s">
        <v>3761</v>
      </c>
      <c r="F350" s="36"/>
      <c r="G350" s="36" t="s">
        <v>2238</v>
      </c>
      <c r="H350" s="36" t="s">
        <v>3743</v>
      </c>
      <c r="I350" s="40"/>
      <c r="J350" s="36" t="s">
        <v>1369</v>
      </c>
      <c r="K350" s="36" t="s">
        <v>94</v>
      </c>
      <c r="L350" s="36" t="s">
        <v>3586</v>
      </c>
      <c r="M350" s="36" t="s">
        <v>3762</v>
      </c>
      <c r="N350" s="36" t="s">
        <v>3764</v>
      </c>
      <c r="O350" s="36" t="s">
        <v>3589</v>
      </c>
      <c r="P350" s="36" t="s">
        <v>3762</v>
      </c>
      <c r="Q350" s="36" t="s">
        <v>3765</v>
      </c>
      <c r="R350" s="36" t="s">
        <v>3766</v>
      </c>
      <c r="S350" s="42" t="s">
        <v>5084</v>
      </c>
      <c r="T350" s="43" t="s">
        <v>3767</v>
      </c>
      <c r="U350" s="44" t="s">
        <v>3750</v>
      </c>
      <c r="V350" s="43"/>
      <c r="W350" s="43"/>
      <c r="X350" s="43" t="s">
        <v>130</v>
      </c>
      <c r="Y350" s="43" t="s">
        <v>130</v>
      </c>
      <c r="Z350" s="43" t="s">
        <v>130</v>
      </c>
      <c r="AA350" s="43"/>
      <c r="AB350" s="43"/>
      <c r="AC350" s="43"/>
      <c r="AD350" s="43"/>
      <c r="AE350" s="43"/>
      <c r="AF350" s="43"/>
      <c r="AG350" s="45"/>
      <c r="AH350" s="1"/>
      <c r="AI350" s="1"/>
      <c r="AJ350" s="1"/>
    </row>
    <row r="351" spans="1:36">
      <c r="A351" s="36" t="s">
        <v>3580</v>
      </c>
      <c r="B351" s="36" t="s">
        <v>3581</v>
      </c>
      <c r="C351" s="36" t="s">
        <v>3768</v>
      </c>
      <c r="D351" s="36" t="s">
        <v>3769</v>
      </c>
      <c r="E351" s="38" t="s">
        <v>3770</v>
      </c>
      <c r="F351" s="36"/>
      <c r="G351" s="36" t="s">
        <v>2238</v>
      </c>
      <c r="H351" s="36" t="s">
        <v>3743</v>
      </c>
      <c r="I351" s="40" t="s">
        <v>130</v>
      </c>
      <c r="J351" s="36" t="s">
        <v>94</v>
      </c>
      <c r="K351" s="36" t="s">
        <v>94</v>
      </c>
      <c r="L351" s="36" t="s">
        <v>3586</v>
      </c>
      <c r="M351" s="36" t="s">
        <v>3771</v>
      </c>
      <c r="N351" s="36" t="s">
        <v>3773</v>
      </c>
      <c r="O351" s="36" t="s">
        <v>3589</v>
      </c>
      <c r="P351" s="36" t="s">
        <v>3771</v>
      </c>
      <c r="Q351" s="36" t="s">
        <v>3774</v>
      </c>
      <c r="R351" s="36" t="s">
        <v>164</v>
      </c>
      <c r="S351" s="42" t="s">
        <v>5069</v>
      </c>
      <c r="T351" s="43" t="s">
        <v>3775</v>
      </c>
      <c r="U351" s="44" t="s">
        <v>3776</v>
      </c>
      <c r="V351" s="43" t="s">
        <v>130</v>
      </c>
      <c r="W351" s="43" t="s">
        <v>130</v>
      </c>
      <c r="X351" s="43" t="s">
        <v>130</v>
      </c>
      <c r="Y351" s="43" t="s">
        <v>130</v>
      </c>
      <c r="Z351" s="43" t="s">
        <v>130</v>
      </c>
      <c r="AA351" s="43" t="s">
        <v>130</v>
      </c>
      <c r="AB351" s="43" t="s">
        <v>130</v>
      </c>
      <c r="AC351" s="43"/>
      <c r="AD351" s="43"/>
      <c r="AE351" s="43"/>
      <c r="AF351" s="43"/>
      <c r="AG351" s="45"/>
      <c r="AH351" s="1"/>
      <c r="AI351" s="1"/>
      <c r="AJ351" s="1"/>
    </row>
    <row r="352" spans="1:36">
      <c r="A352" s="36" t="s">
        <v>3580</v>
      </c>
      <c r="B352" s="36" t="s">
        <v>3581</v>
      </c>
      <c r="C352" s="36" t="s">
        <v>3777</v>
      </c>
      <c r="D352" s="36" t="s">
        <v>3778</v>
      </c>
      <c r="E352" s="38" t="s">
        <v>3779</v>
      </c>
      <c r="F352" s="36" t="s">
        <v>130</v>
      </c>
      <c r="G352" s="36" t="s">
        <v>2238</v>
      </c>
      <c r="H352" s="36" t="s">
        <v>3743</v>
      </c>
      <c r="I352" s="40" t="s">
        <v>130</v>
      </c>
      <c r="J352" s="36" t="s">
        <v>94</v>
      </c>
      <c r="K352" s="36" t="s">
        <v>94</v>
      </c>
      <c r="L352" s="36" t="s">
        <v>3586</v>
      </c>
      <c r="M352" s="36" t="s">
        <v>3781</v>
      </c>
      <c r="N352" s="36" t="s">
        <v>3782</v>
      </c>
      <c r="O352" s="36" t="s">
        <v>3589</v>
      </c>
      <c r="P352" s="36" t="s">
        <v>3781</v>
      </c>
      <c r="Q352" s="36" t="s">
        <v>3783</v>
      </c>
      <c r="R352" s="36" t="s">
        <v>164</v>
      </c>
      <c r="S352" s="42" t="s">
        <v>5070</v>
      </c>
      <c r="T352" s="43" t="s">
        <v>3784</v>
      </c>
      <c r="U352" s="44" t="s">
        <v>3776</v>
      </c>
      <c r="V352" s="43" t="s">
        <v>130</v>
      </c>
      <c r="W352" s="43" t="s">
        <v>130</v>
      </c>
      <c r="X352" s="43" t="s">
        <v>130</v>
      </c>
      <c r="Y352" s="43" t="s">
        <v>130</v>
      </c>
      <c r="Z352" s="43" t="s">
        <v>130</v>
      </c>
      <c r="AA352" s="43" t="s">
        <v>130</v>
      </c>
      <c r="AB352" s="43" t="s">
        <v>130</v>
      </c>
      <c r="AC352" s="43"/>
      <c r="AD352" s="43"/>
      <c r="AE352" s="43"/>
      <c r="AF352" s="43"/>
      <c r="AG352" s="45"/>
      <c r="AH352" s="1"/>
      <c r="AI352" s="1"/>
      <c r="AJ352" s="1"/>
    </row>
    <row r="353" spans="1:36">
      <c r="A353" s="36" t="s">
        <v>3580</v>
      </c>
      <c r="B353" s="36" t="s">
        <v>3581</v>
      </c>
      <c r="C353" s="36" t="s">
        <v>3785</v>
      </c>
      <c r="D353" s="36" t="s">
        <v>3786</v>
      </c>
      <c r="E353" s="38" t="s">
        <v>3787</v>
      </c>
      <c r="F353" s="36"/>
      <c r="G353" s="36" t="s">
        <v>272</v>
      </c>
      <c r="H353" s="36" t="s">
        <v>3788</v>
      </c>
      <c r="I353" s="40" t="s">
        <v>130</v>
      </c>
      <c r="J353" s="36" t="s">
        <v>94</v>
      </c>
      <c r="K353" s="36" t="s">
        <v>94</v>
      </c>
      <c r="L353" s="36" t="s">
        <v>3586</v>
      </c>
      <c r="M353" s="36" t="s">
        <v>1152</v>
      </c>
      <c r="N353" s="36" t="s">
        <v>3789</v>
      </c>
      <c r="O353" s="36" t="s">
        <v>3589</v>
      </c>
      <c r="P353" s="36" t="s">
        <v>1152</v>
      </c>
      <c r="Q353" s="36" t="s">
        <v>3792</v>
      </c>
      <c r="R353" s="36" t="s">
        <v>164</v>
      </c>
      <c r="S353" s="42" t="s">
        <v>5107</v>
      </c>
      <c r="T353" s="43" t="s">
        <v>3793</v>
      </c>
      <c r="U353" s="44" t="s">
        <v>3794</v>
      </c>
      <c r="V353" s="43" t="s">
        <v>130</v>
      </c>
      <c r="W353" s="43" t="s">
        <v>130</v>
      </c>
      <c r="X353" s="43" t="s">
        <v>130</v>
      </c>
      <c r="Y353" s="43" t="s">
        <v>130</v>
      </c>
      <c r="Z353" s="43" t="s">
        <v>130</v>
      </c>
      <c r="AA353" s="43" t="s">
        <v>130</v>
      </c>
      <c r="AB353" s="43" t="s">
        <v>130</v>
      </c>
      <c r="AC353" s="43"/>
      <c r="AD353" s="43"/>
      <c r="AE353" s="43"/>
      <c r="AF353" s="43"/>
      <c r="AG353" s="45"/>
      <c r="AH353" s="1"/>
      <c r="AI353" s="1"/>
      <c r="AJ353" s="1"/>
    </row>
    <row r="354" spans="1:36">
      <c r="A354" s="36" t="s">
        <v>3580</v>
      </c>
      <c r="B354" s="36" t="s">
        <v>3581</v>
      </c>
      <c r="C354" s="36" t="s">
        <v>3795</v>
      </c>
      <c r="D354" s="36" t="s">
        <v>3796</v>
      </c>
      <c r="E354" s="38" t="s">
        <v>3797</v>
      </c>
      <c r="F354" s="36" t="s">
        <v>130</v>
      </c>
      <c r="G354" s="36" t="s">
        <v>272</v>
      </c>
      <c r="H354" s="36" t="s">
        <v>3788</v>
      </c>
      <c r="I354" s="40"/>
      <c r="J354" s="36" t="s">
        <v>1369</v>
      </c>
      <c r="K354" s="36" t="s">
        <v>94</v>
      </c>
      <c r="L354" s="36" t="s">
        <v>3586</v>
      </c>
      <c r="M354" s="36" t="s">
        <v>3798</v>
      </c>
      <c r="N354" s="36" t="s">
        <v>3799</v>
      </c>
      <c r="O354" s="36" t="s">
        <v>3589</v>
      </c>
      <c r="P354" s="36" t="s">
        <v>3798</v>
      </c>
      <c r="Q354" s="36" t="s">
        <v>3800</v>
      </c>
      <c r="R354" s="36" t="s">
        <v>3801</v>
      </c>
      <c r="S354" s="42" t="s">
        <v>5116</v>
      </c>
      <c r="T354" s="43" t="s">
        <v>3803</v>
      </c>
      <c r="U354" s="44" t="s">
        <v>3794</v>
      </c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5"/>
      <c r="AH354" s="1"/>
      <c r="AI354" s="1"/>
      <c r="AJ354" s="1"/>
    </row>
    <row r="355" spans="1:36">
      <c r="A355" s="36" t="s">
        <v>3580</v>
      </c>
      <c r="B355" s="36" t="s">
        <v>3581</v>
      </c>
      <c r="C355" s="36" t="s">
        <v>3804</v>
      </c>
      <c r="D355" s="57" t="s">
        <v>3805</v>
      </c>
      <c r="E355" s="38" t="s">
        <v>3806</v>
      </c>
      <c r="F355" s="36"/>
      <c r="G355" s="36" t="s">
        <v>272</v>
      </c>
      <c r="H355" s="36" t="s">
        <v>3788</v>
      </c>
      <c r="I355" s="40" t="s">
        <v>130</v>
      </c>
      <c r="J355" s="36" t="s">
        <v>94</v>
      </c>
      <c r="K355" s="36" t="s">
        <v>94</v>
      </c>
      <c r="L355" s="36" t="s">
        <v>3586</v>
      </c>
      <c r="M355" s="36" t="s">
        <v>3807</v>
      </c>
      <c r="N355" s="36" t="s">
        <v>3808</v>
      </c>
      <c r="O355" s="36" t="s">
        <v>3589</v>
      </c>
      <c r="P355" s="36" t="s">
        <v>3807</v>
      </c>
      <c r="Q355" s="36" t="s">
        <v>3809</v>
      </c>
      <c r="R355" s="36" t="s">
        <v>164</v>
      </c>
      <c r="S355" s="42" t="s">
        <v>5108</v>
      </c>
      <c r="T355" s="43" t="s">
        <v>3810</v>
      </c>
      <c r="U355" s="44" t="s">
        <v>3794</v>
      </c>
      <c r="V355" s="43" t="s">
        <v>130</v>
      </c>
      <c r="W355" s="43" t="s">
        <v>130</v>
      </c>
      <c r="X355" s="43" t="s">
        <v>130</v>
      </c>
      <c r="Y355" s="43" t="s">
        <v>130</v>
      </c>
      <c r="Z355" s="43" t="s">
        <v>130</v>
      </c>
      <c r="AA355" s="43" t="s">
        <v>130</v>
      </c>
      <c r="AB355" s="43" t="s">
        <v>130</v>
      </c>
      <c r="AC355" s="43"/>
      <c r="AD355" s="43"/>
      <c r="AE355" s="43"/>
      <c r="AF355" s="43"/>
      <c r="AG355" s="45"/>
      <c r="AH355" s="1"/>
      <c r="AI355" s="1"/>
      <c r="AJ355" s="1"/>
    </row>
    <row r="356" spans="1:36">
      <c r="A356" s="36" t="s">
        <v>3580</v>
      </c>
      <c r="B356" s="36" t="s">
        <v>3581</v>
      </c>
      <c r="C356" s="36" t="s">
        <v>3811</v>
      </c>
      <c r="D356" s="36" t="s">
        <v>3812</v>
      </c>
      <c r="E356" s="38" t="s">
        <v>3814</v>
      </c>
      <c r="F356" s="36"/>
      <c r="G356" s="36" t="s">
        <v>272</v>
      </c>
      <c r="H356" s="36" t="s">
        <v>3788</v>
      </c>
      <c r="I356" s="40"/>
      <c r="J356" s="36" t="s">
        <v>230</v>
      </c>
      <c r="K356" s="36" t="s">
        <v>94</v>
      </c>
      <c r="L356" s="36" t="s">
        <v>3586</v>
      </c>
      <c r="M356" s="36" t="s">
        <v>3815</v>
      </c>
      <c r="N356" s="36" t="s">
        <v>3816</v>
      </c>
      <c r="O356" s="36" t="s">
        <v>3589</v>
      </c>
      <c r="P356" s="36" t="s">
        <v>3815</v>
      </c>
      <c r="Q356" s="36" t="s">
        <v>3817</v>
      </c>
      <c r="R356" s="36" t="s">
        <v>3818</v>
      </c>
      <c r="S356" s="42" t="s">
        <v>5068</v>
      </c>
      <c r="T356" s="43" t="s">
        <v>3819</v>
      </c>
      <c r="U356" s="44" t="s">
        <v>3820</v>
      </c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5"/>
      <c r="AH356" s="1"/>
      <c r="AI356" s="1"/>
      <c r="AJ356" s="1"/>
    </row>
    <row r="357" spans="1:36">
      <c r="A357" s="36" t="s">
        <v>3580</v>
      </c>
      <c r="B357" s="36" t="s">
        <v>3581</v>
      </c>
      <c r="C357" s="36" t="s">
        <v>3821</v>
      </c>
      <c r="D357" s="36" t="s">
        <v>3822</v>
      </c>
      <c r="E357" s="38" t="s">
        <v>3823</v>
      </c>
      <c r="F357" s="36" t="s">
        <v>130</v>
      </c>
      <c r="G357" s="36" t="s">
        <v>272</v>
      </c>
      <c r="H357" s="36" t="s">
        <v>3788</v>
      </c>
      <c r="I357" s="40"/>
      <c r="J357" s="36" t="s">
        <v>230</v>
      </c>
      <c r="K357" s="36" t="s">
        <v>94</v>
      </c>
      <c r="L357" s="36" t="s">
        <v>3586</v>
      </c>
      <c r="M357" s="36" t="s">
        <v>3824</v>
      </c>
      <c r="N357" s="36" t="s">
        <v>3825</v>
      </c>
      <c r="O357" s="36" t="s">
        <v>3589</v>
      </c>
      <c r="P357" s="36" t="s">
        <v>3824</v>
      </c>
      <c r="Q357" s="36" t="s">
        <v>3826</v>
      </c>
      <c r="R357" s="36" t="s">
        <v>3827</v>
      </c>
      <c r="S357" s="42" t="s">
        <v>5079</v>
      </c>
      <c r="T357" s="43" t="s">
        <v>3828</v>
      </c>
      <c r="U357" s="44" t="s">
        <v>3820</v>
      </c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5"/>
      <c r="AH357" s="1"/>
      <c r="AI357" s="1"/>
      <c r="AJ357" s="1"/>
    </row>
    <row r="358" spans="1:36">
      <c r="A358" s="36" t="s">
        <v>3580</v>
      </c>
      <c r="B358" s="36" t="s">
        <v>3581</v>
      </c>
      <c r="C358" s="36" t="s">
        <v>3829</v>
      </c>
      <c r="D358" s="36" t="s">
        <v>3830</v>
      </c>
      <c r="E358" s="38" t="s">
        <v>3831</v>
      </c>
      <c r="F358" s="36"/>
      <c r="G358" s="36" t="s">
        <v>3832</v>
      </c>
      <c r="H358" s="36" t="s">
        <v>3833</v>
      </c>
      <c r="I358" s="40" t="s">
        <v>130</v>
      </c>
      <c r="J358" s="36" t="s">
        <v>94</v>
      </c>
      <c r="K358" s="36" t="s">
        <v>94</v>
      </c>
      <c r="L358" s="36" t="s">
        <v>3586</v>
      </c>
      <c r="M358" s="36" t="s">
        <v>3834</v>
      </c>
      <c r="N358" s="36" t="s">
        <v>3835</v>
      </c>
      <c r="O358" s="36" t="s">
        <v>3633</v>
      </c>
      <c r="P358" s="36" t="s">
        <v>3836</v>
      </c>
      <c r="Q358" s="36" t="s">
        <v>3837</v>
      </c>
      <c r="R358" s="36" t="s">
        <v>164</v>
      </c>
      <c r="S358" s="42" t="s">
        <v>5091</v>
      </c>
      <c r="T358" s="43" t="s">
        <v>3838</v>
      </c>
      <c r="U358" s="44" t="s">
        <v>3839</v>
      </c>
      <c r="V358" s="43" t="s">
        <v>130</v>
      </c>
      <c r="W358" s="43" t="s">
        <v>130</v>
      </c>
      <c r="X358" s="43" t="s">
        <v>130</v>
      </c>
      <c r="Y358" s="43" t="s">
        <v>130</v>
      </c>
      <c r="Z358" s="43" t="s">
        <v>130</v>
      </c>
      <c r="AA358" s="43" t="s">
        <v>130</v>
      </c>
      <c r="AB358" s="43" t="s">
        <v>130</v>
      </c>
      <c r="AC358" s="43"/>
      <c r="AD358" s="43"/>
      <c r="AE358" s="43"/>
      <c r="AF358" s="43"/>
      <c r="AG358" s="45"/>
      <c r="AH358" s="1"/>
      <c r="AI358" s="1"/>
      <c r="AJ358" s="1"/>
    </row>
    <row r="359" spans="1:36">
      <c r="A359" s="36" t="s">
        <v>3580</v>
      </c>
      <c r="B359" s="36" t="s">
        <v>3581</v>
      </c>
      <c r="C359" s="36" t="s">
        <v>3841</v>
      </c>
      <c r="D359" s="36" t="s">
        <v>3842</v>
      </c>
      <c r="E359" s="38" t="s">
        <v>3843</v>
      </c>
      <c r="F359" s="36"/>
      <c r="G359" s="36" t="s">
        <v>3832</v>
      </c>
      <c r="H359" s="36" t="s">
        <v>3833</v>
      </c>
      <c r="I359" s="40"/>
      <c r="J359" s="36" t="s">
        <v>230</v>
      </c>
      <c r="K359" s="36" t="s">
        <v>94</v>
      </c>
      <c r="L359" s="36" t="s">
        <v>3586</v>
      </c>
      <c r="M359" s="36" t="s">
        <v>3844</v>
      </c>
      <c r="N359" s="36" t="s">
        <v>3845</v>
      </c>
      <c r="O359" s="36" t="s">
        <v>3633</v>
      </c>
      <c r="P359" s="36" t="s">
        <v>3846</v>
      </c>
      <c r="Q359" s="36" t="s">
        <v>3847</v>
      </c>
      <c r="R359" s="36" t="s">
        <v>2190</v>
      </c>
      <c r="S359" s="42" t="s">
        <v>5092</v>
      </c>
      <c r="T359" s="43" t="s">
        <v>3848</v>
      </c>
      <c r="U359" s="44" t="s">
        <v>2190</v>
      </c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5"/>
      <c r="AH359" s="1"/>
      <c r="AI359" s="1"/>
      <c r="AJ359" s="1"/>
    </row>
    <row r="360" spans="1:36">
      <c r="A360" s="36" t="s">
        <v>3580</v>
      </c>
      <c r="B360" s="36" t="s">
        <v>3581</v>
      </c>
      <c r="C360" s="36" t="s">
        <v>3850</v>
      </c>
      <c r="D360" s="36" t="s">
        <v>3851</v>
      </c>
      <c r="E360" s="38" t="s">
        <v>3852</v>
      </c>
      <c r="F360" s="36" t="s">
        <v>130</v>
      </c>
      <c r="G360" s="36" t="s">
        <v>3832</v>
      </c>
      <c r="H360" s="36" t="s">
        <v>3833</v>
      </c>
      <c r="I360" s="40"/>
      <c r="J360" s="36" t="s">
        <v>230</v>
      </c>
      <c r="K360" s="36" t="s">
        <v>94</v>
      </c>
      <c r="L360" s="36" t="s">
        <v>3586</v>
      </c>
      <c r="M360" s="36" t="s">
        <v>3853</v>
      </c>
      <c r="N360" s="36" t="s">
        <v>3854</v>
      </c>
      <c r="O360" s="36" t="s">
        <v>3633</v>
      </c>
      <c r="P360" s="36" t="s">
        <v>3855</v>
      </c>
      <c r="Q360" s="36" t="s">
        <v>3856</v>
      </c>
      <c r="R360" s="36" t="s">
        <v>2083</v>
      </c>
      <c r="S360" s="42" t="s">
        <v>5093</v>
      </c>
      <c r="T360" s="43" t="s">
        <v>3857</v>
      </c>
      <c r="U360" s="44" t="s">
        <v>3839</v>
      </c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5"/>
      <c r="AH360" s="1"/>
      <c r="AI360" s="1"/>
      <c r="AJ360" s="1"/>
    </row>
    <row r="361" spans="1:36">
      <c r="A361" s="36" t="s">
        <v>3580</v>
      </c>
      <c r="B361" s="36" t="s">
        <v>3581</v>
      </c>
      <c r="C361" s="36" t="s">
        <v>3858</v>
      </c>
      <c r="D361" s="36" t="s">
        <v>3859</v>
      </c>
      <c r="E361" s="38" t="s">
        <v>3860</v>
      </c>
      <c r="F361" s="36"/>
      <c r="G361" s="36" t="s">
        <v>3832</v>
      </c>
      <c r="H361" s="36" t="s">
        <v>3833</v>
      </c>
      <c r="I361" s="40"/>
      <c r="J361" s="36" t="s">
        <v>159</v>
      </c>
      <c r="K361" s="36" t="s">
        <v>94</v>
      </c>
      <c r="L361" s="36" t="s">
        <v>3586</v>
      </c>
      <c r="M361" s="36" t="s">
        <v>3861</v>
      </c>
      <c r="N361" s="36" t="s">
        <v>3862</v>
      </c>
      <c r="O361" s="36" t="s">
        <v>3633</v>
      </c>
      <c r="P361" s="36" t="s">
        <v>872</v>
      </c>
      <c r="Q361" s="36" t="s">
        <v>3863</v>
      </c>
      <c r="R361" s="36" t="s">
        <v>3865</v>
      </c>
      <c r="S361" s="42" t="s">
        <v>5094</v>
      </c>
      <c r="T361" s="43" t="s">
        <v>3866</v>
      </c>
      <c r="U361" s="44" t="s">
        <v>3867</v>
      </c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5"/>
      <c r="AH361" s="1"/>
      <c r="AI361" s="1"/>
      <c r="AJ361" s="1"/>
    </row>
    <row r="362" spans="1:36">
      <c r="A362" s="36" t="s">
        <v>3580</v>
      </c>
      <c r="B362" s="36" t="s">
        <v>3581</v>
      </c>
      <c r="C362" s="36" t="s">
        <v>3868</v>
      </c>
      <c r="D362" s="36" t="s">
        <v>3869</v>
      </c>
      <c r="E362" s="38" t="s">
        <v>3870</v>
      </c>
      <c r="F362" s="36"/>
      <c r="G362" s="36" t="s">
        <v>3832</v>
      </c>
      <c r="H362" s="36" t="s">
        <v>3833</v>
      </c>
      <c r="I362" s="40" t="s">
        <v>130</v>
      </c>
      <c r="J362" s="36" t="s">
        <v>94</v>
      </c>
      <c r="K362" s="36" t="s">
        <v>94</v>
      </c>
      <c r="L362" s="36" t="s">
        <v>3586</v>
      </c>
      <c r="M362" s="36" t="s">
        <v>3871</v>
      </c>
      <c r="N362" s="36" t="s">
        <v>3872</v>
      </c>
      <c r="O362" s="36" t="s">
        <v>3633</v>
      </c>
      <c r="P362" s="36" t="s">
        <v>887</v>
      </c>
      <c r="Q362" s="36" t="s">
        <v>3873</v>
      </c>
      <c r="R362" s="36" t="s">
        <v>164</v>
      </c>
      <c r="S362" s="42" t="s">
        <v>5095</v>
      </c>
      <c r="T362" s="43" t="s">
        <v>3874</v>
      </c>
      <c r="U362" s="44" t="s">
        <v>2190</v>
      </c>
      <c r="V362" s="43" t="s">
        <v>130</v>
      </c>
      <c r="W362" s="43" t="s">
        <v>130</v>
      </c>
      <c r="X362" s="43" t="s">
        <v>130</v>
      </c>
      <c r="Y362" s="43" t="s">
        <v>130</v>
      </c>
      <c r="Z362" s="43" t="s">
        <v>130</v>
      </c>
      <c r="AA362" s="43" t="s">
        <v>130</v>
      </c>
      <c r="AB362" s="43" t="s">
        <v>130</v>
      </c>
      <c r="AC362" s="43"/>
      <c r="AD362" s="43"/>
      <c r="AE362" s="43"/>
      <c r="AF362" s="43"/>
      <c r="AG362" s="45"/>
      <c r="AH362" s="1"/>
      <c r="AI362" s="1"/>
      <c r="AJ362" s="1"/>
    </row>
    <row r="363" spans="1:36">
      <c r="A363" s="36" t="s">
        <v>3877</v>
      </c>
      <c r="B363" s="36" t="s">
        <v>3878</v>
      </c>
      <c r="C363" s="36" t="s">
        <v>3879</v>
      </c>
      <c r="D363" s="36" t="s">
        <v>3880</v>
      </c>
      <c r="E363" s="38" t="s">
        <v>3881</v>
      </c>
      <c r="F363" s="36"/>
      <c r="G363" s="36" t="s">
        <v>3882</v>
      </c>
      <c r="H363" s="36" t="s">
        <v>3883</v>
      </c>
      <c r="I363" s="40"/>
      <c r="J363" s="36" t="s">
        <v>230</v>
      </c>
      <c r="K363" s="36" t="s">
        <v>94</v>
      </c>
      <c r="L363" s="36" t="s">
        <v>3586</v>
      </c>
      <c r="M363" s="36" t="s">
        <v>3884</v>
      </c>
      <c r="N363" s="36" t="s">
        <v>3885</v>
      </c>
      <c r="O363" s="36" t="s">
        <v>3886</v>
      </c>
      <c r="P363" s="36" t="s">
        <v>3884</v>
      </c>
      <c r="Q363" s="36" t="s">
        <v>3887</v>
      </c>
      <c r="R363" s="36" t="s">
        <v>2839</v>
      </c>
      <c r="S363" s="42" t="s">
        <v>5068</v>
      </c>
      <c r="T363" s="43" t="s">
        <v>3888</v>
      </c>
      <c r="U363" s="44" t="s">
        <v>3889</v>
      </c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5"/>
      <c r="AH363" s="1"/>
      <c r="AI363" s="1"/>
      <c r="AJ363" s="1"/>
    </row>
    <row r="364" spans="1:36">
      <c r="A364" s="36" t="s">
        <v>3877</v>
      </c>
      <c r="B364" s="36" t="s">
        <v>3878</v>
      </c>
      <c r="C364" s="36" t="s">
        <v>3892</v>
      </c>
      <c r="D364" s="36" t="s">
        <v>3893</v>
      </c>
      <c r="E364" s="38"/>
      <c r="F364" s="36"/>
      <c r="G364" s="36" t="s">
        <v>3882</v>
      </c>
      <c r="H364" s="36" t="s">
        <v>3883</v>
      </c>
      <c r="I364" s="40" t="s">
        <v>130</v>
      </c>
      <c r="J364" s="36" t="s">
        <v>94</v>
      </c>
      <c r="K364" s="36" t="s">
        <v>94</v>
      </c>
      <c r="L364" s="36" t="s">
        <v>3586</v>
      </c>
      <c r="M364" s="36" t="s">
        <v>3894</v>
      </c>
      <c r="N364" s="36" t="s">
        <v>3895</v>
      </c>
      <c r="O364" s="36" t="s">
        <v>3886</v>
      </c>
      <c r="P364" s="36" t="s">
        <v>3894</v>
      </c>
      <c r="Q364" s="36" t="s">
        <v>3896</v>
      </c>
      <c r="R364" s="36" t="s">
        <v>164</v>
      </c>
      <c r="S364" s="42" t="s">
        <v>5135</v>
      </c>
      <c r="T364" s="43" t="s">
        <v>959</v>
      </c>
      <c r="U364" s="44" t="s">
        <v>3897</v>
      </c>
      <c r="V364" s="43" t="s">
        <v>130</v>
      </c>
      <c r="W364" s="43" t="s">
        <v>130</v>
      </c>
      <c r="X364" s="43" t="s">
        <v>130</v>
      </c>
      <c r="Y364" s="43" t="s">
        <v>130</v>
      </c>
      <c r="Z364" s="43" t="s">
        <v>130</v>
      </c>
      <c r="AA364" s="43" t="s">
        <v>130</v>
      </c>
      <c r="AB364" s="43" t="s">
        <v>130</v>
      </c>
      <c r="AC364" s="43"/>
      <c r="AD364" s="43"/>
      <c r="AE364" s="43"/>
      <c r="AF364" s="43"/>
      <c r="AG364" s="45"/>
      <c r="AH364" s="1"/>
      <c r="AI364" s="1"/>
      <c r="AJ364" s="1"/>
    </row>
    <row r="365" spans="1:36">
      <c r="A365" s="36" t="s">
        <v>3877</v>
      </c>
      <c r="B365" s="36" t="s">
        <v>3878</v>
      </c>
      <c r="C365" s="36" t="s">
        <v>3898</v>
      </c>
      <c r="D365" s="36" t="s">
        <v>3899</v>
      </c>
      <c r="E365" s="38" t="s">
        <v>3900</v>
      </c>
      <c r="F365" s="36"/>
      <c r="G365" s="36" t="s">
        <v>3882</v>
      </c>
      <c r="H365" s="36" t="s">
        <v>3883</v>
      </c>
      <c r="I365" s="40"/>
      <c r="J365" s="36" t="s">
        <v>159</v>
      </c>
      <c r="K365" s="36" t="s">
        <v>94</v>
      </c>
      <c r="L365" s="36" t="s">
        <v>3586</v>
      </c>
      <c r="M365" s="36" t="s">
        <v>3902</v>
      </c>
      <c r="N365" s="36" t="s">
        <v>3903</v>
      </c>
      <c r="O365" s="36" t="s">
        <v>3886</v>
      </c>
      <c r="P365" s="36" t="s">
        <v>3904</v>
      </c>
      <c r="Q365" s="36" t="s">
        <v>3905</v>
      </c>
      <c r="R365" s="36" t="s">
        <v>3906</v>
      </c>
      <c r="S365" s="42" t="s">
        <v>5106</v>
      </c>
      <c r="T365" s="43" t="s">
        <v>3907</v>
      </c>
      <c r="U365" s="44" t="s">
        <v>3889</v>
      </c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5"/>
      <c r="AH365" s="1"/>
      <c r="AI365" s="1"/>
      <c r="AJ365" s="1"/>
    </row>
    <row r="366" spans="1:36">
      <c r="A366" s="36" t="s">
        <v>3877</v>
      </c>
      <c r="B366" s="36" t="s">
        <v>3878</v>
      </c>
      <c r="C366" s="36" t="s">
        <v>3908</v>
      </c>
      <c r="D366" s="36" t="s">
        <v>3909</v>
      </c>
      <c r="E366" s="38" t="s">
        <v>3910</v>
      </c>
      <c r="F366" s="36"/>
      <c r="G366" s="36" t="s">
        <v>3882</v>
      </c>
      <c r="H366" s="36" t="s">
        <v>3883</v>
      </c>
      <c r="I366" s="40"/>
      <c r="J366" s="36" t="s">
        <v>94</v>
      </c>
      <c r="K366" s="36" t="s">
        <v>94</v>
      </c>
      <c r="L366" s="36" t="s">
        <v>3586</v>
      </c>
      <c r="M366" s="36" t="s">
        <v>1118</v>
      </c>
      <c r="N366" s="36" t="s">
        <v>3912</v>
      </c>
      <c r="O366" s="36" t="s">
        <v>3886</v>
      </c>
      <c r="P366" s="36" t="s">
        <v>1118</v>
      </c>
      <c r="Q366" s="36" t="s">
        <v>3914</v>
      </c>
      <c r="R366" s="36" t="s">
        <v>2474</v>
      </c>
      <c r="S366" s="42" t="s">
        <v>5080</v>
      </c>
      <c r="T366" s="43" t="s">
        <v>1162</v>
      </c>
      <c r="U366" s="44" t="s">
        <v>3897</v>
      </c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5"/>
      <c r="AH366" s="1"/>
      <c r="AI366" s="1"/>
      <c r="AJ366" s="1"/>
    </row>
    <row r="367" spans="1:36">
      <c r="A367" s="36" t="s">
        <v>3877</v>
      </c>
      <c r="B367" s="36" t="s">
        <v>3878</v>
      </c>
      <c r="C367" s="36" t="s">
        <v>3915</v>
      </c>
      <c r="D367" s="36" t="s">
        <v>3916</v>
      </c>
      <c r="E367" s="38" t="s">
        <v>3917</v>
      </c>
      <c r="F367" s="36"/>
      <c r="G367" s="36" t="s">
        <v>3918</v>
      </c>
      <c r="H367" s="36" t="s">
        <v>3919</v>
      </c>
      <c r="I367" s="40"/>
      <c r="J367" s="36" t="s">
        <v>94</v>
      </c>
      <c r="K367" s="36" t="s">
        <v>94</v>
      </c>
      <c r="L367" s="36" t="s">
        <v>3586</v>
      </c>
      <c r="M367" s="36" t="s">
        <v>1362</v>
      </c>
      <c r="N367" s="36" t="s">
        <v>3920</v>
      </c>
      <c r="O367" s="36" t="s">
        <v>3886</v>
      </c>
      <c r="P367" s="36" t="s">
        <v>1362</v>
      </c>
      <c r="Q367" s="36" t="s">
        <v>3921</v>
      </c>
      <c r="R367" s="36" t="s">
        <v>3922</v>
      </c>
      <c r="S367" s="42" t="s">
        <v>5076</v>
      </c>
      <c r="T367" s="43" t="s">
        <v>1652</v>
      </c>
      <c r="U367" s="44" t="s">
        <v>2317</v>
      </c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5"/>
      <c r="AH367" s="1"/>
      <c r="AI367" s="1"/>
      <c r="AJ367" s="1"/>
    </row>
    <row r="368" spans="1:36">
      <c r="A368" s="36" t="s">
        <v>3877</v>
      </c>
      <c r="B368" s="36" t="s">
        <v>3878</v>
      </c>
      <c r="C368" s="36" t="s">
        <v>3923</v>
      </c>
      <c r="D368" s="57" t="s">
        <v>3924</v>
      </c>
      <c r="E368" s="38" t="s">
        <v>3925</v>
      </c>
      <c r="F368" s="36"/>
      <c r="G368" s="36" t="s">
        <v>3918</v>
      </c>
      <c r="H368" s="36" t="s">
        <v>3919</v>
      </c>
      <c r="I368" s="40"/>
      <c r="J368" s="36" t="s">
        <v>159</v>
      </c>
      <c r="K368" s="36" t="s">
        <v>94</v>
      </c>
      <c r="L368" s="36" t="s">
        <v>3586</v>
      </c>
      <c r="M368" s="36" t="s">
        <v>3926</v>
      </c>
      <c r="N368" s="36" t="s">
        <v>3927</v>
      </c>
      <c r="O368" s="36" t="s">
        <v>3886</v>
      </c>
      <c r="P368" s="36" t="s">
        <v>3926</v>
      </c>
      <c r="Q368" s="36" t="s">
        <v>3928</v>
      </c>
      <c r="R368" s="36" t="s">
        <v>2687</v>
      </c>
      <c r="S368" s="42" t="s">
        <v>5105</v>
      </c>
      <c r="T368" s="43" t="s">
        <v>1642</v>
      </c>
      <c r="U368" s="44" t="s">
        <v>2317</v>
      </c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5"/>
      <c r="AH368" s="1"/>
      <c r="AI368" s="1"/>
      <c r="AJ368" s="1"/>
    </row>
    <row r="369" spans="1:36">
      <c r="A369" s="36" t="s">
        <v>3877</v>
      </c>
      <c r="B369" s="36" t="s">
        <v>3878</v>
      </c>
      <c r="C369" s="36" t="s">
        <v>3930</v>
      </c>
      <c r="D369" s="36" t="s">
        <v>3931</v>
      </c>
      <c r="E369" s="38" t="s">
        <v>3932</v>
      </c>
      <c r="F369" s="36"/>
      <c r="G369" s="36" t="s">
        <v>3918</v>
      </c>
      <c r="H369" s="36" t="s">
        <v>3919</v>
      </c>
      <c r="I369" s="40"/>
      <c r="J369" s="36" t="s">
        <v>94</v>
      </c>
      <c r="K369" s="36" t="s">
        <v>94</v>
      </c>
      <c r="L369" s="36" t="s">
        <v>3586</v>
      </c>
      <c r="M369" s="36" t="s">
        <v>1341</v>
      </c>
      <c r="N369" s="36" t="s">
        <v>3933</v>
      </c>
      <c r="O369" s="36" t="s">
        <v>3886</v>
      </c>
      <c r="P369" s="36" t="s">
        <v>1341</v>
      </c>
      <c r="Q369" s="36" t="s">
        <v>3935</v>
      </c>
      <c r="R369" s="36" t="s">
        <v>3937</v>
      </c>
      <c r="S369" s="42" t="s">
        <v>5071</v>
      </c>
      <c r="T369" s="43" t="s">
        <v>1634</v>
      </c>
      <c r="U369" s="44" t="s">
        <v>3938</v>
      </c>
      <c r="V369" s="43" t="s">
        <v>130</v>
      </c>
      <c r="W369" s="43" t="s">
        <v>130</v>
      </c>
      <c r="X369" s="43" t="s">
        <v>130</v>
      </c>
      <c r="Y369" s="43" t="s">
        <v>130</v>
      </c>
      <c r="Z369" s="43" t="s">
        <v>130</v>
      </c>
      <c r="AA369" s="43"/>
      <c r="AB369" s="43"/>
      <c r="AC369" s="43"/>
      <c r="AD369" s="43"/>
      <c r="AE369" s="43"/>
      <c r="AF369" s="43"/>
      <c r="AG369" s="45"/>
      <c r="AH369" s="1"/>
      <c r="AI369" s="1"/>
      <c r="AJ369" s="1"/>
    </row>
    <row r="370" spans="1:36">
      <c r="A370" s="36" t="s">
        <v>3877</v>
      </c>
      <c r="B370" s="36" t="s">
        <v>3878</v>
      </c>
      <c r="C370" s="36" t="s">
        <v>3939</v>
      </c>
      <c r="D370" s="57" t="s">
        <v>3940</v>
      </c>
      <c r="E370" s="38" t="s">
        <v>3941</v>
      </c>
      <c r="F370" s="36"/>
      <c r="G370" s="36" t="s">
        <v>3918</v>
      </c>
      <c r="H370" s="36" t="s">
        <v>3919</v>
      </c>
      <c r="I370" s="40"/>
      <c r="J370" s="36" t="s">
        <v>94</v>
      </c>
      <c r="K370" s="36" t="s">
        <v>94</v>
      </c>
      <c r="L370" s="36" t="s">
        <v>3586</v>
      </c>
      <c r="M370" s="36" t="s">
        <v>2936</v>
      </c>
      <c r="N370" s="36" t="s">
        <v>3942</v>
      </c>
      <c r="O370" s="36" t="s">
        <v>3886</v>
      </c>
      <c r="P370" s="36" t="s">
        <v>2965</v>
      </c>
      <c r="Q370" s="36" t="s">
        <v>3943</v>
      </c>
      <c r="R370" s="36" t="s">
        <v>3944</v>
      </c>
      <c r="S370" s="42" t="s">
        <v>5083</v>
      </c>
      <c r="T370" s="43" t="s">
        <v>2956</v>
      </c>
      <c r="U370" s="44" t="s">
        <v>3938</v>
      </c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5"/>
      <c r="AH370" s="1"/>
      <c r="AI370" s="1"/>
      <c r="AJ370" s="1"/>
    </row>
    <row r="371" spans="1:36">
      <c r="A371" s="36" t="s">
        <v>3877</v>
      </c>
      <c r="B371" s="36" t="s">
        <v>3878</v>
      </c>
      <c r="C371" s="36" t="s">
        <v>3947</v>
      </c>
      <c r="D371" s="36" t="s">
        <v>3948</v>
      </c>
      <c r="E371" s="38" t="s">
        <v>3949</v>
      </c>
      <c r="F371" s="36"/>
      <c r="G371" s="36" t="s">
        <v>3950</v>
      </c>
      <c r="H371" s="36" t="s">
        <v>3951</v>
      </c>
      <c r="I371" s="40" t="s">
        <v>130</v>
      </c>
      <c r="J371" s="36" t="s">
        <v>94</v>
      </c>
      <c r="K371" s="36" t="s">
        <v>94</v>
      </c>
      <c r="L371" s="36" t="s">
        <v>3586</v>
      </c>
      <c r="M371" s="36" t="s">
        <v>2993</v>
      </c>
      <c r="N371" s="36" t="s">
        <v>3952</v>
      </c>
      <c r="O371" s="36" t="s">
        <v>3886</v>
      </c>
      <c r="P371" s="36" t="s">
        <v>2993</v>
      </c>
      <c r="Q371" s="36" t="s">
        <v>3953</v>
      </c>
      <c r="R371" s="36" t="s">
        <v>164</v>
      </c>
      <c r="S371" s="42" t="s">
        <v>5084</v>
      </c>
      <c r="T371" s="43" t="s">
        <v>3201</v>
      </c>
      <c r="U371" s="44" t="s">
        <v>551</v>
      </c>
      <c r="V371" s="43" t="s">
        <v>130</v>
      </c>
      <c r="W371" s="43" t="s">
        <v>130</v>
      </c>
      <c r="X371" s="43" t="s">
        <v>130</v>
      </c>
      <c r="Y371" s="43" t="s">
        <v>130</v>
      </c>
      <c r="Z371" s="43" t="s">
        <v>130</v>
      </c>
      <c r="AA371" s="43" t="s">
        <v>130</v>
      </c>
      <c r="AB371" s="43" t="s">
        <v>130</v>
      </c>
      <c r="AC371" s="43"/>
      <c r="AD371" s="43"/>
      <c r="AE371" s="43"/>
      <c r="AF371" s="43"/>
      <c r="AG371" s="45"/>
      <c r="AH371" s="1"/>
      <c r="AI371" s="1"/>
      <c r="AJ371" s="1"/>
    </row>
    <row r="372" spans="1:36">
      <c r="A372" s="36" t="s">
        <v>3877</v>
      </c>
      <c r="B372" s="36" t="s">
        <v>3878</v>
      </c>
      <c r="C372" s="36" t="s">
        <v>3955</v>
      </c>
      <c r="D372" s="57" t="s">
        <v>3956</v>
      </c>
      <c r="E372" s="38" t="s">
        <v>3957</v>
      </c>
      <c r="F372" s="36"/>
      <c r="G372" s="36" t="s">
        <v>3950</v>
      </c>
      <c r="H372" s="36" t="s">
        <v>3951</v>
      </c>
      <c r="I372" s="40"/>
      <c r="J372" s="36" t="s">
        <v>159</v>
      </c>
      <c r="K372" s="36" t="s">
        <v>94</v>
      </c>
      <c r="L372" s="36" t="s">
        <v>3586</v>
      </c>
      <c r="M372" s="36" t="s">
        <v>3904</v>
      </c>
      <c r="N372" s="36" t="s">
        <v>3958</v>
      </c>
      <c r="O372" s="36" t="s">
        <v>3886</v>
      </c>
      <c r="P372" s="36" t="s">
        <v>3959</v>
      </c>
      <c r="Q372" s="36" t="s">
        <v>3960</v>
      </c>
      <c r="R372" s="36" t="s">
        <v>3961</v>
      </c>
      <c r="S372" s="42" t="s">
        <v>5079</v>
      </c>
      <c r="T372" s="43" t="s">
        <v>3962</v>
      </c>
      <c r="U372" s="44" t="s">
        <v>3889</v>
      </c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5"/>
      <c r="AH372" s="1"/>
      <c r="AI372" s="1"/>
      <c r="AJ372" s="1"/>
    </row>
    <row r="373" spans="1:36">
      <c r="A373" s="36" t="s">
        <v>3877</v>
      </c>
      <c r="B373" s="36" t="s">
        <v>3878</v>
      </c>
      <c r="C373" s="36" t="s">
        <v>3963</v>
      </c>
      <c r="D373" s="36" t="s">
        <v>3965</v>
      </c>
      <c r="E373" s="38" t="s">
        <v>3966</v>
      </c>
      <c r="F373" s="36"/>
      <c r="G373" s="36" t="s">
        <v>3950</v>
      </c>
      <c r="H373" s="36" t="s">
        <v>3951</v>
      </c>
      <c r="I373" s="40"/>
      <c r="J373" s="36" t="s">
        <v>94</v>
      </c>
      <c r="K373" s="36" t="s">
        <v>94</v>
      </c>
      <c r="L373" s="36" t="s">
        <v>3586</v>
      </c>
      <c r="M373" s="36" t="s">
        <v>3967</v>
      </c>
      <c r="N373" s="36" t="s">
        <v>3968</v>
      </c>
      <c r="O373" s="36" t="s">
        <v>3886</v>
      </c>
      <c r="P373" s="36" t="s">
        <v>3902</v>
      </c>
      <c r="Q373" s="36" t="s">
        <v>3969</v>
      </c>
      <c r="R373" s="36" t="s">
        <v>3970</v>
      </c>
      <c r="S373" s="42" t="s">
        <v>5070</v>
      </c>
      <c r="T373" s="43" t="s">
        <v>3971</v>
      </c>
      <c r="U373" s="44" t="s">
        <v>551</v>
      </c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5"/>
      <c r="AH373" s="1"/>
      <c r="AI373" s="1"/>
      <c r="AJ373" s="1"/>
    </row>
    <row r="374" spans="1:36">
      <c r="A374" s="36" t="s">
        <v>3877</v>
      </c>
      <c r="B374" s="36" t="s">
        <v>3878</v>
      </c>
      <c r="C374" s="36" t="s">
        <v>3972</v>
      </c>
      <c r="D374" s="36" t="s">
        <v>3973</v>
      </c>
      <c r="E374" s="38" t="s">
        <v>3974</v>
      </c>
      <c r="F374" s="36"/>
      <c r="G374" s="36" t="s">
        <v>3950</v>
      </c>
      <c r="H374" s="36" t="s">
        <v>3951</v>
      </c>
      <c r="I374" s="40" t="s">
        <v>130</v>
      </c>
      <c r="J374" s="36" t="s">
        <v>94</v>
      </c>
      <c r="K374" s="36" t="s">
        <v>94</v>
      </c>
      <c r="L374" s="36" t="s">
        <v>3586</v>
      </c>
      <c r="M374" s="36" t="s">
        <v>1034</v>
      </c>
      <c r="N374" s="36" t="s">
        <v>3975</v>
      </c>
      <c r="O374" s="36" t="s">
        <v>3886</v>
      </c>
      <c r="P374" s="36" t="s">
        <v>1034</v>
      </c>
      <c r="Q374" s="36" t="s">
        <v>3976</v>
      </c>
      <c r="R374" s="36" t="s">
        <v>164</v>
      </c>
      <c r="S374" s="42" t="s">
        <v>5081</v>
      </c>
      <c r="T374" s="43" t="s">
        <v>1147</v>
      </c>
      <c r="U374" s="44" t="s">
        <v>551</v>
      </c>
      <c r="V374" s="43"/>
      <c r="W374" s="43"/>
      <c r="X374" s="43"/>
      <c r="Y374" s="43"/>
      <c r="Z374" s="43"/>
      <c r="AA374" s="43" t="s">
        <v>130</v>
      </c>
      <c r="AB374" s="43" t="s">
        <v>130</v>
      </c>
      <c r="AC374" s="43"/>
      <c r="AD374" s="43"/>
      <c r="AE374" s="43"/>
      <c r="AF374" s="43"/>
      <c r="AG374" s="45"/>
      <c r="AH374" s="1"/>
      <c r="AI374" s="1"/>
      <c r="AJ374" s="1"/>
    </row>
    <row r="375" spans="1:36">
      <c r="A375" s="36" t="s">
        <v>3877</v>
      </c>
      <c r="B375" s="36" t="s">
        <v>3878</v>
      </c>
      <c r="C375" s="36" t="s">
        <v>3977</v>
      </c>
      <c r="D375" s="36" t="s">
        <v>3978</v>
      </c>
      <c r="E375" s="38" t="s">
        <v>3979</v>
      </c>
      <c r="F375" s="36"/>
      <c r="G375" s="36" t="s">
        <v>3950</v>
      </c>
      <c r="H375" s="36" t="s">
        <v>3951</v>
      </c>
      <c r="I375" s="40"/>
      <c r="J375" s="36" t="s">
        <v>94</v>
      </c>
      <c r="K375" s="36" t="s">
        <v>94</v>
      </c>
      <c r="L375" s="36" t="s">
        <v>3586</v>
      </c>
      <c r="M375" s="36" t="s">
        <v>1100</v>
      </c>
      <c r="N375" s="36" t="s">
        <v>3980</v>
      </c>
      <c r="O375" s="36" t="s">
        <v>3886</v>
      </c>
      <c r="P375" s="36" t="s">
        <v>1100</v>
      </c>
      <c r="Q375" s="36" t="s">
        <v>3981</v>
      </c>
      <c r="R375" s="36" t="s">
        <v>511</v>
      </c>
      <c r="S375" s="42" t="s">
        <v>5082</v>
      </c>
      <c r="T375" s="43" t="s">
        <v>3386</v>
      </c>
      <c r="U375" s="44" t="s">
        <v>3897</v>
      </c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5"/>
      <c r="AH375" s="1"/>
      <c r="AI375" s="1"/>
      <c r="AJ375" s="1"/>
    </row>
    <row r="376" spans="1:36">
      <c r="A376" s="36" t="s">
        <v>3877</v>
      </c>
      <c r="B376" s="36" t="s">
        <v>3878</v>
      </c>
      <c r="C376" s="36" t="s">
        <v>3982</v>
      </c>
      <c r="D376" s="36" t="s">
        <v>3983</v>
      </c>
      <c r="E376" s="38" t="s">
        <v>3984</v>
      </c>
      <c r="F376" s="36"/>
      <c r="G376" s="36" t="s">
        <v>2190</v>
      </c>
      <c r="H376" s="36" t="s">
        <v>3985</v>
      </c>
      <c r="I376" s="40" t="s">
        <v>130</v>
      </c>
      <c r="J376" s="36" t="s">
        <v>94</v>
      </c>
      <c r="K376" s="36" t="s">
        <v>94</v>
      </c>
      <c r="L376" s="36" t="s">
        <v>3586</v>
      </c>
      <c r="M376" s="36" t="s">
        <v>3986</v>
      </c>
      <c r="N376" s="36" t="s">
        <v>3987</v>
      </c>
      <c r="O376" s="36" t="s">
        <v>3988</v>
      </c>
      <c r="P376" s="36" t="s">
        <v>3986</v>
      </c>
      <c r="Q376" s="36" t="s">
        <v>3989</v>
      </c>
      <c r="R376" s="36" t="s">
        <v>164</v>
      </c>
      <c r="S376" s="42" t="s">
        <v>5069</v>
      </c>
      <c r="T376" s="43" t="s">
        <v>3990</v>
      </c>
      <c r="U376" s="44" t="s">
        <v>3820</v>
      </c>
      <c r="V376" s="43" t="s">
        <v>130</v>
      </c>
      <c r="W376" s="43" t="s">
        <v>130</v>
      </c>
      <c r="X376" s="43" t="s">
        <v>130</v>
      </c>
      <c r="Y376" s="43" t="s">
        <v>130</v>
      </c>
      <c r="Z376" s="43" t="s">
        <v>130</v>
      </c>
      <c r="AA376" s="43" t="s">
        <v>130</v>
      </c>
      <c r="AB376" s="43" t="s">
        <v>130</v>
      </c>
      <c r="AC376" s="43"/>
      <c r="AD376" s="43"/>
      <c r="AE376" s="43"/>
      <c r="AF376" s="43"/>
      <c r="AG376" s="45"/>
      <c r="AH376" s="1"/>
      <c r="AI376" s="1"/>
      <c r="AJ376" s="1"/>
    </row>
    <row r="377" spans="1:36">
      <c r="A377" s="36" t="s">
        <v>3877</v>
      </c>
      <c r="B377" s="36" t="s">
        <v>3878</v>
      </c>
      <c r="C377" s="36" t="s">
        <v>3993</v>
      </c>
      <c r="D377" s="36" t="s">
        <v>3994</v>
      </c>
      <c r="E377" s="38" t="s">
        <v>3995</v>
      </c>
      <c r="F377" s="36"/>
      <c r="G377" s="36" t="s">
        <v>2190</v>
      </c>
      <c r="H377" s="36" t="s">
        <v>3985</v>
      </c>
      <c r="I377" s="40" t="s">
        <v>130</v>
      </c>
      <c r="J377" s="36" t="s">
        <v>290</v>
      </c>
      <c r="K377" s="36" t="s">
        <v>94</v>
      </c>
      <c r="L377" s="36" t="s">
        <v>3586</v>
      </c>
      <c r="M377" s="36" t="s">
        <v>3996</v>
      </c>
      <c r="N377" s="36" t="s">
        <v>3997</v>
      </c>
      <c r="O377" s="36" t="s">
        <v>3988</v>
      </c>
      <c r="P377" s="36" t="s">
        <v>3996</v>
      </c>
      <c r="Q377" s="36" t="s">
        <v>3998</v>
      </c>
      <c r="R377" s="36" t="s">
        <v>3999</v>
      </c>
      <c r="S377" s="42" t="s">
        <v>5077</v>
      </c>
      <c r="T377" s="43" t="s">
        <v>4000</v>
      </c>
      <c r="U377" s="44" t="s">
        <v>3820</v>
      </c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5"/>
      <c r="AH377" s="1"/>
      <c r="AI377" s="1"/>
      <c r="AJ377" s="1"/>
    </row>
    <row r="378" spans="1:36">
      <c r="A378" s="36" t="s">
        <v>3877</v>
      </c>
      <c r="B378" s="36" t="s">
        <v>3878</v>
      </c>
      <c r="C378" s="36" t="s">
        <v>4001</v>
      </c>
      <c r="D378" s="36" t="s">
        <v>4002</v>
      </c>
      <c r="E378" s="38" t="s">
        <v>4003</v>
      </c>
      <c r="F378" s="36" t="s">
        <v>130</v>
      </c>
      <c r="G378" s="36" t="s">
        <v>4005</v>
      </c>
      <c r="H378" s="36" t="s">
        <v>4006</v>
      </c>
      <c r="I378" s="40" t="s">
        <v>130</v>
      </c>
      <c r="J378" s="36" t="s">
        <v>94</v>
      </c>
      <c r="K378" s="36" t="s">
        <v>94</v>
      </c>
      <c r="L378" s="36" t="s">
        <v>3586</v>
      </c>
      <c r="M378" s="36" t="s">
        <v>4007</v>
      </c>
      <c r="N378" s="36" t="s">
        <v>4008</v>
      </c>
      <c r="O378" s="36" t="s">
        <v>3988</v>
      </c>
      <c r="P378" s="36" t="s">
        <v>4007</v>
      </c>
      <c r="Q378" s="36" t="s">
        <v>4009</v>
      </c>
      <c r="R378" s="36" t="s">
        <v>164</v>
      </c>
      <c r="S378" s="42" t="s">
        <v>5085</v>
      </c>
      <c r="T378" s="43" t="s">
        <v>4010</v>
      </c>
      <c r="U378" s="44" t="s">
        <v>4011</v>
      </c>
      <c r="V378" s="43" t="s">
        <v>130</v>
      </c>
      <c r="W378" s="43" t="s">
        <v>130</v>
      </c>
      <c r="X378" s="43" t="s">
        <v>130</v>
      </c>
      <c r="Y378" s="43" t="s">
        <v>130</v>
      </c>
      <c r="Z378" s="43" t="s">
        <v>130</v>
      </c>
      <c r="AA378" s="43" t="s">
        <v>130</v>
      </c>
      <c r="AB378" s="43" t="s">
        <v>130</v>
      </c>
      <c r="AC378" s="43"/>
      <c r="AD378" s="43"/>
      <c r="AE378" s="43"/>
      <c r="AF378" s="43"/>
      <c r="AG378" s="45"/>
      <c r="AH378" s="1"/>
      <c r="AI378" s="1"/>
      <c r="AJ378" s="1"/>
    </row>
    <row r="379" spans="1:36">
      <c r="A379" s="36" t="s">
        <v>3877</v>
      </c>
      <c r="B379" s="36" t="s">
        <v>3878</v>
      </c>
      <c r="C379" s="36" t="s">
        <v>4012</v>
      </c>
      <c r="D379" s="36" t="s">
        <v>4013</v>
      </c>
      <c r="E379" s="38" t="s">
        <v>4014</v>
      </c>
      <c r="F379" s="36" t="s">
        <v>130</v>
      </c>
      <c r="G379" s="36" t="s">
        <v>4005</v>
      </c>
      <c r="H379" s="36" t="s">
        <v>4006</v>
      </c>
      <c r="I379" s="40"/>
      <c r="J379" s="36" t="s">
        <v>94</v>
      </c>
      <c r="K379" s="36" t="s">
        <v>94</v>
      </c>
      <c r="L379" s="36" t="s">
        <v>3586</v>
      </c>
      <c r="M379" s="36" t="s">
        <v>4016</v>
      </c>
      <c r="N379" s="36" t="s">
        <v>4017</v>
      </c>
      <c r="O379" s="36" t="s">
        <v>3988</v>
      </c>
      <c r="P379" s="36" t="s">
        <v>4016</v>
      </c>
      <c r="Q379" s="36" t="s">
        <v>4018</v>
      </c>
      <c r="R379" s="36" t="s">
        <v>4019</v>
      </c>
      <c r="S379" s="42" t="s">
        <v>5078</v>
      </c>
      <c r="T379" s="43" t="s">
        <v>4020</v>
      </c>
      <c r="U379" s="44" t="s">
        <v>4011</v>
      </c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5"/>
      <c r="AH379" s="1"/>
      <c r="AI379" s="1"/>
      <c r="AJ379" s="1"/>
    </row>
    <row r="380" spans="1:36">
      <c r="A380" s="36" t="s">
        <v>3877</v>
      </c>
      <c r="B380" s="36" t="s">
        <v>3878</v>
      </c>
      <c r="C380" s="36" t="s">
        <v>4021</v>
      </c>
      <c r="D380" s="36" t="s">
        <v>4022</v>
      </c>
      <c r="E380" s="38" t="s">
        <v>4023</v>
      </c>
      <c r="F380" s="36" t="s">
        <v>130</v>
      </c>
      <c r="G380" s="36" t="s">
        <v>4005</v>
      </c>
      <c r="H380" s="36" t="s">
        <v>4006</v>
      </c>
      <c r="I380" s="40"/>
      <c r="J380" s="36" t="s">
        <v>94</v>
      </c>
      <c r="K380" s="36" t="s">
        <v>94</v>
      </c>
      <c r="L380" s="36" t="s">
        <v>3586</v>
      </c>
      <c r="M380" s="36" t="s">
        <v>4024</v>
      </c>
      <c r="N380" s="36" t="s">
        <v>4025</v>
      </c>
      <c r="O380" s="36" t="s">
        <v>3988</v>
      </c>
      <c r="P380" s="36" t="s">
        <v>4024</v>
      </c>
      <c r="Q380" s="36" t="s">
        <v>4026</v>
      </c>
      <c r="R380" s="36" t="s">
        <v>4027</v>
      </c>
      <c r="S380" s="42" t="s">
        <v>5132</v>
      </c>
      <c r="T380" s="43" t="s">
        <v>4029</v>
      </c>
      <c r="U380" s="44" t="s">
        <v>4011</v>
      </c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5"/>
      <c r="AH380" s="1"/>
      <c r="AI380" s="1"/>
      <c r="AJ380" s="1"/>
    </row>
    <row r="381" spans="1:36">
      <c r="A381" s="36" t="s">
        <v>3877</v>
      </c>
      <c r="B381" s="36" t="s">
        <v>3878</v>
      </c>
      <c r="C381" s="36" t="s">
        <v>4030</v>
      </c>
      <c r="D381" s="36" t="s">
        <v>4031</v>
      </c>
      <c r="E381" s="38" t="s">
        <v>4032</v>
      </c>
      <c r="F381" s="36" t="s">
        <v>130</v>
      </c>
      <c r="G381" s="36" t="s">
        <v>4005</v>
      </c>
      <c r="H381" s="36" t="s">
        <v>4006</v>
      </c>
      <c r="I381" s="40"/>
      <c r="J381" s="36" t="s">
        <v>159</v>
      </c>
      <c r="K381" s="36" t="s">
        <v>94</v>
      </c>
      <c r="L381" s="36" t="s">
        <v>3586</v>
      </c>
      <c r="M381" s="36" t="s">
        <v>4033</v>
      </c>
      <c r="N381" s="36" t="s">
        <v>4034</v>
      </c>
      <c r="O381" s="36" t="s">
        <v>3988</v>
      </c>
      <c r="P381" s="36" t="s">
        <v>4033</v>
      </c>
      <c r="Q381" s="36" t="s">
        <v>4035</v>
      </c>
      <c r="R381" s="36" t="s">
        <v>4036</v>
      </c>
      <c r="S381" s="42" t="s">
        <v>5072</v>
      </c>
      <c r="T381" s="43" t="s">
        <v>4037</v>
      </c>
      <c r="U381" s="44" t="s">
        <v>4038</v>
      </c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5"/>
      <c r="AH381" s="1"/>
      <c r="AI381" s="1"/>
      <c r="AJ381" s="1"/>
    </row>
    <row r="382" spans="1:36">
      <c r="A382" s="38" t="s">
        <v>3877</v>
      </c>
      <c r="B382" s="36" t="s">
        <v>3878</v>
      </c>
      <c r="C382" s="38" t="s">
        <v>4040</v>
      </c>
      <c r="D382" s="38" t="s">
        <v>4041</v>
      </c>
      <c r="E382" s="38" t="s">
        <v>4042</v>
      </c>
      <c r="F382" s="38" t="s">
        <v>130</v>
      </c>
      <c r="G382" s="36" t="s">
        <v>4043</v>
      </c>
      <c r="H382" s="38" t="s">
        <v>4044</v>
      </c>
      <c r="I382" s="40"/>
      <c r="J382" s="36" t="s">
        <v>159</v>
      </c>
      <c r="K382" s="36" t="s">
        <v>94</v>
      </c>
      <c r="L382" s="38" t="s">
        <v>3586</v>
      </c>
      <c r="M382" s="38" t="s">
        <v>4045</v>
      </c>
      <c r="N382" s="36" t="s">
        <v>4046</v>
      </c>
      <c r="O382" s="36" t="s">
        <v>4047</v>
      </c>
      <c r="P382" s="36" t="s">
        <v>1034</v>
      </c>
      <c r="Q382" s="36" t="s">
        <v>4048</v>
      </c>
      <c r="R382" s="36" t="s">
        <v>4049</v>
      </c>
      <c r="S382" s="42" t="s">
        <v>5074</v>
      </c>
      <c r="T382" s="43" t="s">
        <v>4051</v>
      </c>
      <c r="U382" s="44" t="s">
        <v>744</v>
      </c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5"/>
      <c r="AH382" s="1"/>
      <c r="AI382" s="1"/>
      <c r="AJ382" s="1"/>
    </row>
    <row r="383" spans="1:36">
      <c r="A383" s="38" t="s">
        <v>3877</v>
      </c>
      <c r="B383" s="36" t="s">
        <v>3878</v>
      </c>
      <c r="C383" s="38" t="s">
        <v>4052</v>
      </c>
      <c r="D383" s="38" t="s">
        <v>4053</v>
      </c>
      <c r="E383" s="38" t="s">
        <v>4054</v>
      </c>
      <c r="F383" s="38"/>
      <c r="G383" s="36" t="s">
        <v>4043</v>
      </c>
      <c r="H383" s="38" t="s">
        <v>4044</v>
      </c>
      <c r="I383" s="40" t="s">
        <v>130</v>
      </c>
      <c r="J383" s="36" t="s">
        <v>94</v>
      </c>
      <c r="K383" s="36" t="s">
        <v>94</v>
      </c>
      <c r="L383" s="38" t="s">
        <v>3586</v>
      </c>
      <c r="M383" s="38" t="s">
        <v>4057</v>
      </c>
      <c r="N383" s="36" t="s">
        <v>4058</v>
      </c>
      <c r="O383" s="36" t="s">
        <v>4047</v>
      </c>
      <c r="P383" s="36" t="s">
        <v>1001</v>
      </c>
      <c r="Q383" s="36" t="s">
        <v>4059</v>
      </c>
      <c r="R383" s="36" t="s">
        <v>164</v>
      </c>
      <c r="S383" s="42" t="s">
        <v>5075</v>
      </c>
      <c r="T383" s="43" t="s">
        <v>4060</v>
      </c>
      <c r="U383" s="44" t="s">
        <v>4061</v>
      </c>
      <c r="V383" s="43" t="s">
        <v>130</v>
      </c>
      <c r="W383" s="43" t="s">
        <v>130</v>
      </c>
      <c r="X383" s="43" t="s">
        <v>130</v>
      </c>
      <c r="Y383" s="43" t="s">
        <v>130</v>
      </c>
      <c r="Z383" s="43" t="s">
        <v>130</v>
      </c>
      <c r="AA383" s="43" t="s">
        <v>130</v>
      </c>
      <c r="AB383" s="43" t="s">
        <v>130</v>
      </c>
      <c r="AC383" s="43"/>
      <c r="AD383" s="43"/>
      <c r="AE383" s="43"/>
      <c r="AF383" s="43"/>
      <c r="AG383" s="45"/>
      <c r="AH383" s="1"/>
      <c r="AI383" s="1"/>
      <c r="AJ383" s="1"/>
    </row>
    <row r="384" spans="1:36">
      <c r="A384" s="38" t="s">
        <v>3877</v>
      </c>
      <c r="B384" s="36" t="s">
        <v>3878</v>
      </c>
      <c r="C384" s="38" t="s">
        <v>4062</v>
      </c>
      <c r="D384" s="57" t="s">
        <v>4063</v>
      </c>
      <c r="E384" s="38" t="s">
        <v>4064</v>
      </c>
      <c r="F384" s="38" t="s">
        <v>130</v>
      </c>
      <c r="G384" s="36" t="s">
        <v>4043</v>
      </c>
      <c r="H384" s="38" t="s">
        <v>4044</v>
      </c>
      <c r="I384" s="40" t="s">
        <v>130</v>
      </c>
      <c r="J384" s="36" t="s">
        <v>94</v>
      </c>
      <c r="K384" s="36" t="s">
        <v>94</v>
      </c>
      <c r="L384" s="38" t="s">
        <v>3586</v>
      </c>
      <c r="M384" s="38" t="s">
        <v>4065</v>
      </c>
      <c r="N384" s="36" t="s">
        <v>4066</v>
      </c>
      <c r="O384" s="36" t="s">
        <v>4047</v>
      </c>
      <c r="P384" s="36" t="s">
        <v>3386</v>
      </c>
      <c r="Q384" s="36" t="s">
        <v>4067</v>
      </c>
      <c r="R384" s="36" t="s">
        <v>164</v>
      </c>
      <c r="S384" s="42" t="s">
        <v>5097</v>
      </c>
      <c r="T384" s="43" t="s">
        <v>4068</v>
      </c>
      <c r="U384" s="44" t="s">
        <v>2577</v>
      </c>
      <c r="V384" s="43"/>
      <c r="W384" s="43"/>
      <c r="X384" s="43"/>
      <c r="Y384" s="43"/>
      <c r="Z384" s="43"/>
      <c r="AA384" s="43" t="s">
        <v>130</v>
      </c>
      <c r="AB384" s="43" t="s">
        <v>130</v>
      </c>
      <c r="AC384" s="43"/>
      <c r="AD384" s="43"/>
      <c r="AE384" s="43"/>
      <c r="AF384" s="43"/>
      <c r="AG384" s="45"/>
      <c r="AH384" s="1"/>
      <c r="AI384" s="1"/>
      <c r="AJ384" s="1"/>
    </row>
    <row r="385" spans="1:36">
      <c r="A385" s="38" t="s">
        <v>3877</v>
      </c>
      <c r="B385" s="36" t="s">
        <v>3878</v>
      </c>
      <c r="C385" s="38" t="s">
        <v>4069</v>
      </c>
      <c r="D385" s="57" t="s">
        <v>4070</v>
      </c>
      <c r="E385" s="38" t="s">
        <v>4071</v>
      </c>
      <c r="F385" s="38"/>
      <c r="G385" s="36" t="s">
        <v>4043</v>
      </c>
      <c r="H385" s="38" t="s">
        <v>4044</v>
      </c>
      <c r="I385" s="40" t="s">
        <v>130</v>
      </c>
      <c r="J385" s="36" t="s">
        <v>94</v>
      </c>
      <c r="K385" s="36" t="s">
        <v>94</v>
      </c>
      <c r="L385" s="38" t="s">
        <v>3586</v>
      </c>
      <c r="M385" s="38" t="s">
        <v>4072</v>
      </c>
      <c r="N385" s="36" t="s">
        <v>4073</v>
      </c>
      <c r="O385" s="36" t="s">
        <v>4047</v>
      </c>
      <c r="P385" s="36" t="s">
        <v>1018</v>
      </c>
      <c r="Q385" s="36" t="s">
        <v>4074</v>
      </c>
      <c r="R385" s="36" t="s">
        <v>164</v>
      </c>
      <c r="S385" s="42" t="s">
        <v>5115</v>
      </c>
      <c r="T385" s="43" t="s">
        <v>4075</v>
      </c>
      <c r="U385" s="44" t="s">
        <v>744</v>
      </c>
      <c r="V385" s="43" t="s">
        <v>130</v>
      </c>
      <c r="W385" s="43" t="s">
        <v>130</v>
      </c>
      <c r="X385" s="43" t="s">
        <v>130</v>
      </c>
      <c r="Y385" s="43" t="s">
        <v>130</v>
      </c>
      <c r="Z385" s="43" t="s">
        <v>130</v>
      </c>
      <c r="AA385" s="43" t="s">
        <v>130</v>
      </c>
      <c r="AB385" s="43" t="s">
        <v>130</v>
      </c>
      <c r="AC385" s="43"/>
      <c r="AD385" s="43"/>
      <c r="AE385" s="43"/>
      <c r="AF385" s="43"/>
      <c r="AG385" s="45"/>
      <c r="AH385" s="1"/>
      <c r="AI385" s="1"/>
      <c r="AJ385" s="1"/>
    </row>
    <row r="386" spans="1:36">
      <c r="A386" s="38" t="s">
        <v>3877</v>
      </c>
      <c r="B386" s="36" t="s">
        <v>3878</v>
      </c>
      <c r="C386" s="38" t="s">
        <v>4077</v>
      </c>
      <c r="D386" s="38" t="s">
        <v>4078</v>
      </c>
      <c r="E386" s="38" t="s">
        <v>4079</v>
      </c>
      <c r="F386" s="38"/>
      <c r="G386" s="36" t="s">
        <v>4043</v>
      </c>
      <c r="H386" s="38" t="s">
        <v>4044</v>
      </c>
      <c r="I386" s="40" t="s">
        <v>130</v>
      </c>
      <c r="J386" s="36" t="s">
        <v>94</v>
      </c>
      <c r="K386" s="36" t="s">
        <v>94</v>
      </c>
      <c r="L386" s="38" t="s">
        <v>3586</v>
      </c>
      <c r="M386" s="38" t="s">
        <v>4080</v>
      </c>
      <c r="N386" s="36" t="s">
        <v>4081</v>
      </c>
      <c r="O386" s="36" t="s">
        <v>4047</v>
      </c>
      <c r="P386" s="36" t="s">
        <v>1183</v>
      </c>
      <c r="Q386" s="36" t="s">
        <v>4082</v>
      </c>
      <c r="R386" s="36" t="s">
        <v>164</v>
      </c>
      <c r="S386" s="42" t="s">
        <v>5136</v>
      </c>
      <c r="T386" s="43" t="s">
        <v>4083</v>
      </c>
      <c r="U386" s="44" t="s">
        <v>4084</v>
      </c>
      <c r="V386" s="43" t="s">
        <v>130</v>
      </c>
      <c r="W386" s="43" t="s">
        <v>130</v>
      </c>
      <c r="X386" s="43" t="s">
        <v>130</v>
      </c>
      <c r="Y386" s="43" t="s">
        <v>130</v>
      </c>
      <c r="Z386" s="43" t="s">
        <v>130</v>
      </c>
      <c r="AA386" s="43" t="s">
        <v>130</v>
      </c>
      <c r="AB386" s="43" t="s">
        <v>130</v>
      </c>
      <c r="AC386" s="43"/>
      <c r="AD386" s="43"/>
      <c r="AE386" s="43"/>
      <c r="AF386" s="43"/>
      <c r="AG386" s="45"/>
      <c r="AH386" s="1"/>
      <c r="AI386" s="1"/>
      <c r="AJ386" s="1"/>
    </row>
    <row r="387" spans="1:36">
      <c r="A387" s="38" t="s">
        <v>3877</v>
      </c>
      <c r="B387" s="36" t="s">
        <v>3878</v>
      </c>
      <c r="C387" s="38" t="s">
        <v>4085</v>
      </c>
      <c r="D387" s="38" t="s">
        <v>4086</v>
      </c>
      <c r="E387" s="38" t="s">
        <v>4087</v>
      </c>
      <c r="F387" s="38"/>
      <c r="G387" s="36" t="s">
        <v>4043</v>
      </c>
      <c r="H387" s="38" t="s">
        <v>4044</v>
      </c>
      <c r="I387" s="40"/>
      <c r="J387" s="36" t="s">
        <v>159</v>
      </c>
      <c r="K387" s="36" t="s">
        <v>94</v>
      </c>
      <c r="L387" s="38" t="s">
        <v>3586</v>
      </c>
      <c r="M387" s="38" t="s">
        <v>4088</v>
      </c>
      <c r="N387" s="36" t="s">
        <v>4089</v>
      </c>
      <c r="O387" s="36" t="s">
        <v>4047</v>
      </c>
      <c r="P387" s="36" t="s">
        <v>3894</v>
      </c>
      <c r="Q387" s="36" t="s">
        <v>4090</v>
      </c>
      <c r="R387" s="36" t="s">
        <v>3405</v>
      </c>
      <c r="S387" s="42" t="s">
        <v>5099</v>
      </c>
      <c r="T387" s="43" t="s">
        <v>4091</v>
      </c>
      <c r="U387" s="44" t="s">
        <v>4092</v>
      </c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5"/>
      <c r="AH387" s="1"/>
      <c r="AI387" s="1"/>
      <c r="AJ387" s="1"/>
    </row>
    <row r="388" spans="1:36">
      <c r="A388" s="38" t="s">
        <v>3877</v>
      </c>
      <c r="B388" s="36" t="s">
        <v>3878</v>
      </c>
      <c r="C388" s="38" t="s">
        <v>4093</v>
      </c>
      <c r="D388" s="57" t="s">
        <v>4094</v>
      </c>
      <c r="E388" s="38" t="s">
        <v>4095</v>
      </c>
      <c r="F388" s="38"/>
      <c r="G388" s="36" t="s">
        <v>4043</v>
      </c>
      <c r="H388" s="38" t="s">
        <v>4044</v>
      </c>
      <c r="I388" s="40"/>
      <c r="J388" s="36" t="s">
        <v>159</v>
      </c>
      <c r="K388" s="36" t="s">
        <v>94</v>
      </c>
      <c r="L388" s="38" t="s">
        <v>3586</v>
      </c>
      <c r="M388" s="38" t="s">
        <v>4096</v>
      </c>
      <c r="N388" s="36" t="s">
        <v>4097</v>
      </c>
      <c r="O388" s="36" t="s">
        <v>4047</v>
      </c>
      <c r="P388" s="36" t="s">
        <v>1162</v>
      </c>
      <c r="Q388" s="36" t="s">
        <v>4098</v>
      </c>
      <c r="R388" s="36" t="s">
        <v>4100</v>
      </c>
      <c r="S388" s="42" t="s">
        <v>5113</v>
      </c>
      <c r="T388" s="43" t="s">
        <v>4101</v>
      </c>
      <c r="U388" s="44" t="s">
        <v>744</v>
      </c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5"/>
      <c r="AH388" s="1"/>
      <c r="AI388" s="1"/>
      <c r="AJ388" s="1"/>
    </row>
    <row r="389" spans="1:36">
      <c r="A389" s="38" t="s">
        <v>3877</v>
      </c>
      <c r="B389" s="36" t="s">
        <v>3878</v>
      </c>
      <c r="C389" s="38" t="s">
        <v>4102</v>
      </c>
      <c r="D389" s="38" t="s">
        <v>4103</v>
      </c>
      <c r="E389" s="38" t="s">
        <v>4104</v>
      </c>
      <c r="F389" s="38"/>
      <c r="G389" s="36" t="s">
        <v>4043</v>
      </c>
      <c r="H389" s="38" t="s">
        <v>4044</v>
      </c>
      <c r="I389" s="40"/>
      <c r="J389" s="36" t="s">
        <v>1369</v>
      </c>
      <c r="K389" s="36" t="s">
        <v>94</v>
      </c>
      <c r="L389" s="38" t="s">
        <v>3586</v>
      </c>
      <c r="M389" s="38" t="s">
        <v>4105</v>
      </c>
      <c r="N389" s="36" t="s">
        <v>4106</v>
      </c>
      <c r="O389" s="36" t="s">
        <v>4047</v>
      </c>
      <c r="P389" s="36" t="s">
        <v>1213</v>
      </c>
      <c r="Q389" s="36" t="s">
        <v>4107</v>
      </c>
      <c r="R389" s="36" t="s">
        <v>4108</v>
      </c>
      <c r="S389" s="42" t="s">
        <v>5114</v>
      </c>
      <c r="T389" s="43" t="s">
        <v>4109</v>
      </c>
      <c r="U389" s="44" t="s">
        <v>4092</v>
      </c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5"/>
      <c r="AH389" s="1"/>
      <c r="AI389" s="1"/>
      <c r="AJ389" s="1"/>
    </row>
    <row r="390" spans="1:36">
      <c r="A390" s="36" t="s">
        <v>3877</v>
      </c>
      <c r="B390" s="36" t="s">
        <v>3878</v>
      </c>
      <c r="C390" s="36" t="s">
        <v>4111</v>
      </c>
      <c r="D390" s="57" t="s">
        <v>4112</v>
      </c>
      <c r="E390" s="38" t="s">
        <v>4113</v>
      </c>
      <c r="F390" s="36"/>
      <c r="G390" s="36" t="s">
        <v>4114</v>
      </c>
      <c r="H390" s="36" t="s">
        <v>4115</v>
      </c>
      <c r="I390" s="40"/>
      <c r="J390" s="36" t="s">
        <v>230</v>
      </c>
      <c r="K390" s="36" t="s">
        <v>94</v>
      </c>
      <c r="L390" s="36" t="s">
        <v>3586</v>
      </c>
      <c r="M390" s="36" t="s">
        <v>4116</v>
      </c>
      <c r="N390" s="36" t="s">
        <v>4117</v>
      </c>
      <c r="O390" s="36" t="s">
        <v>4118</v>
      </c>
      <c r="P390" s="36" t="s">
        <v>1186</v>
      </c>
      <c r="Q390" s="36" t="s">
        <v>4119</v>
      </c>
      <c r="R390" s="36" t="s">
        <v>4120</v>
      </c>
      <c r="S390" s="42" t="s">
        <v>5073</v>
      </c>
      <c r="T390" s="43" t="s">
        <v>4121</v>
      </c>
      <c r="U390" s="44" t="s">
        <v>4122</v>
      </c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5"/>
      <c r="AH390" s="1"/>
      <c r="AI390" s="1"/>
      <c r="AJ390" s="1"/>
    </row>
    <row r="391" spans="1:36">
      <c r="A391" s="36" t="s">
        <v>3877</v>
      </c>
      <c r="B391" s="36" t="s">
        <v>3878</v>
      </c>
      <c r="C391" s="36" t="s">
        <v>4123</v>
      </c>
      <c r="D391" s="36" t="s">
        <v>4124</v>
      </c>
      <c r="E391" s="38" t="s">
        <v>4126</v>
      </c>
      <c r="F391" s="36"/>
      <c r="G391" s="36" t="s">
        <v>4114</v>
      </c>
      <c r="H391" s="36" t="s">
        <v>4115</v>
      </c>
      <c r="I391" s="40" t="s">
        <v>130</v>
      </c>
      <c r="J391" s="36" t="s">
        <v>94</v>
      </c>
      <c r="K391" s="36" t="s">
        <v>94</v>
      </c>
      <c r="L391" s="36" t="s">
        <v>3586</v>
      </c>
      <c r="M391" s="36" t="s">
        <v>4128</v>
      </c>
      <c r="N391" s="36" t="s">
        <v>4129</v>
      </c>
      <c r="O391" s="36" t="s">
        <v>4118</v>
      </c>
      <c r="P391" s="36" t="s">
        <v>895</v>
      </c>
      <c r="Q391" s="36" t="s">
        <v>4130</v>
      </c>
      <c r="R391" s="36" t="s">
        <v>164</v>
      </c>
      <c r="S391" s="42" t="s">
        <v>5074</v>
      </c>
      <c r="T391" s="43" t="s">
        <v>4131</v>
      </c>
      <c r="U391" s="44" t="s">
        <v>4122</v>
      </c>
      <c r="V391" s="43" t="s">
        <v>130</v>
      </c>
      <c r="W391" s="43" t="s">
        <v>130</v>
      </c>
      <c r="X391" s="43" t="s">
        <v>130</v>
      </c>
      <c r="Y391" s="43" t="s">
        <v>130</v>
      </c>
      <c r="Z391" s="43" t="s">
        <v>130</v>
      </c>
      <c r="AA391" s="43" t="s">
        <v>130</v>
      </c>
      <c r="AB391" s="43" t="s">
        <v>130</v>
      </c>
      <c r="AC391" s="43"/>
      <c r="AD391" s="43"/>
      <c r="AE391" s="43"/>
      <c r="AF391" s="43"/>
      <c r="AG391" s="45"/>
      <c r="AH391" s="1"/>
      <c r="AI391" s="1"/>
      <c r="AJ391" s="1"/>
    </row>
    <row r="392" spans="1:36">
      <c r="A392" s="36" t="s">
        <v>3877</v>
      </c>
      <c r="B392" s="36" t="s">
        <v>3878</v>
      </c>
      <c r="C392" s="36" t="s">
        <v>4132</v>
      </c>
      <c r="D392" s="57" t="s">
        <v>4133</v>
      </c>
      <c r="E392" s="38" t="s">
        <v>4134</v>
      </c>
      <c r="F392" s="36"/>
      <c r="G392" s="36" t="s">
        <v>4114</v>
      </c>
      <c r="H392" s="36" t="s">
        <v>4115</v>
      </c>
      <c r="I392" s="40" t="s">
        <v>130</v>
      </c>
      <c r="J392" s="36" t="s">
        <v>94</v>
      </c>
      <c r="K392" s="36" t="s">
        <v>94</v>
      </c>
      <c r="L392" s="36" t="s">
        <v>3586</v>
      </c>
      <c r="M392" s="36" t="s">
        <v>4135</v>
      </c>
      <c r="N392" s="36" t="s">
        <v>4137</v>
      </c>
      <c r="O392" s="36" t="s">
        <v>4118</v>
      </c>
      <c r="P392" s="36" t="s">
        <v>4138</v>
      </c>
      <c r="Q392" s="36" t="s">
        <v>4139</v>
      </c>
      <c r="R392" s="36" t="s">
        <v>164</v>
      </c>
      <c r="S392" s="42" t="s">
        <v>5075</v>
      </c>
      <c r="T392" s="43" t="s">
        <v>4140</v>
      </c>
      <c r="U392" s="44" t="s">
        <v>4122</v>
      </c>
      <c r="V392" s="43" t="s">
        <v>130</v>
      </c>
      <c r="W392" s="43" t="s">
        <v>130</v>
      </c>
      <c r="X392" s="43" t="s">
        <v>130</v>
      </c>
      <c r="Y392" s="43" t="s">
        <v>130</v>
      </c>
      <c r="Z392" s="43" t="s">
        <v>130</v>
      </c>
      <c r="AA392" s="43" t="s">
        <v>130</v>
      </c>
      <c r="AB392" s="43" t="s">
        <v>130</v>
      </c>
      <c r="AC392" s="43"/>
      <c r="AD392" s="43"/>
      <c r="AE392" s="43"/>
      <c r="AF392" s="43"/>
      <c r="AG392" s="45"/>
      <c r="AH392" s="1"/>
      <c r="AI392" s="1"/>
      <c r="AJ392" s="1"/>
    </row>
    <row r="393" spans="1:36">
      <c r="A393" s="36" t="s">
        <v>3877</v>
      </c>
      <c r="B393" s="36" t="s">
        <v>3878</v>
      </c>
      <c r="C393" s="36" t="s">
        <v>4141</v>
      </c>
      <c r="D393" s="36" t="s">
        <v>4142</v>
      </c>
      <c r="E393" s="38" t="s">
        <v>4143</v>
      </c>
      <c r="F393" s="36"/>
      <c r="G393" s="36" t="s">
        <v>4114</v>
      </c>
      <c r="H393" s="36" t="s">
        <v>4115</v>
      </c>
      <c r="I393" s="40" t="s">
        <v>130</v>
      </c>
      <c r="J393" s="36" t="s">
        <v>94</v>
      </c>
      <c r="K393" s="36" t="s">
        <v>94</v>
      </c>
      <c r="L393" s="36" t="s">
        <v>3586</v>
      </c>
      <c r="M393" s="36" t="s">
        <v>4144</v>
      </c>
      <c r="N393" s="36" t="s">
        <v>4145</v>
      </c>
      <c r="O393" s="36" t="s">
        <v>4118</v>
      </c>
      <c r="P393" s="36" t="s">
        <v>3426</v>
      </c>
      <c r="Q393" s="36" t="s">
        <v>4146</v>
      </c>
      <c r="R393" s="36" t="s">
        <v>164</v>
      </c>
      <c r="S393" s="42" t="s">
        <v>5097</v>
      </c>
      <c r="T393" s="43" t="s">
        <v>4148</v>
      </c>
      <c r="U393" s="44" t="s">
        <v>4149</v>
      </c>
      <c r="V393" s="43" t="s">
        <v>130</v>
      </c>
      <c r="W393" s="43" t="s">
        <v>130</v>
      </c>
      <c r="X393" s="43" t="s">
        <v>130</v>
      </c>
      <c r="Y393" s="43" t="s">
        <v>130</v>
      </c>
      <c r="Z393" s="43" t="s">
        <v>130</v>
      </c>
      <c r="AA393" s="43" t="s">
        <v>130</v>
      </c>
      <c r="AB393" s="43" t="s">
        <v>130</v>
      </c>
      <c r="AC393" s="43"/>
      <c r="AD393" s="43"/>
      <c r="AE393" s="43"/>
      <c r="AF393" s="43"/>
      <c r="AG393" s="45"/>
      <c r="AH393" s="1"/>
      <c r="AI393" s="1"/>
      <c r="AJ393" s="1"/>
    </row>
    <row r="394" spans="1:36">
      <c r="A394" s="36" t="s">
        <v>3877</v>
      </c>
      <c r="B394" s="36" t="s">
        <v>3878</v>
      </c>
      <c r="C394" s="36" t="s">
        <v>4150</v>
      </c>
      <c r="D394" s="36" t="s">
        <v>4151</v>
      </c>
      <c r="E394" s="38" t="s">
        <v>4152</v>
      </c>
      <c r="F394" s="36"/>
      <c r="G394" s="36" t="s">
        <v>4114</v>
      </c>
      <c r="H394" s="36" t="s">
        <v>4115</v>
      </c>
      <c r="I394" s="40"/>
      <c r="J394" s="36" t="s">
        <v>159</v>
      </c>
      <c r="K394" s="36" t="s">
        <v>94</v>
      </c>
      <c r="L394" s="36" t="s">
        <v>3586</v>
      </c>
      <c r="M394" s="36" t="s">
        <v>4153</v>
      </c>
      <c r="N394" s="36" t="s">
        <v>4154</v>
      </c>
      <c r="O394" s="36" t="s">
        <v>4118</v>
      </c>
      <c r="P394" s="36" t="s">
        <v>912</v>
      </c>
      <c r="Q394" s="36" t="s">
        <v>4155</v>
      </c>
      <c r="R394" s="36" t="s">
        <v>2146</v>
      </c>
      <c r="S394" s="42" t="s">
        <v>5115</v>
      </c>
      <c r="T394" s="43" t="s">
        <v>4156</v>
      </c>
      <c r="U394" s="44" t="s">
        <v>4157</v>
      </c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5"/>
      <c r="AH394" s="1"/>
      <c r="AI394" s="1"/>
      <c r="AJ394" s="1"/>
    </row>
    <row r="395" spans="1:36">
      <c r="A395" s="36" t="s">
        <v>3877</v>
      </c>
      <c r="B395" s="36" t="s">
        <v>3878</v>
      </c>
      <c r="C395" s="36" t="s">
        <v>4159</v>
      </c>
      <c r="D395" s="36" t="s">
        <v>4160</v>
      </c>
      <c r="E395" s="38" t="s">
        <v>4161</v>
      </c>
      <c r="F395" s="36" t="s">
        <v>130</v>
      </c>
      <c r="G395" s="36" t="s">
        <v>4114</v>
      </c>
      <c r="H395" s="36" t="s">
        <v>4115</v>
      </c>
      <c r="I395" s="40"/>
      <c r="J395" s="36" t="s">
        <v>230</v>
      </c>
      <c r="K395" s="36" t="s">
        <v>94</v>
      </c>
      <c r="L395" s="36" t="s">
        <v>3586</v>
      </c>
      <c r="M395" s="36" t="s">
        <v>4162</v>
      </c>
      <c r="N395" s="36" t="s">
        <v>4163</v>
      </c>
      <c r="O395" s="36" t="s">
        <v>3988</v>
      </c>
      <c r="P395" s="36" t="s">
        <v>2451</v>
      </c>
      <c r="Q395" s="36" t="s">
        <v>4164</v>
      </c>
      <c r="R395" s="36" t="s">
        <v>4165</v>
      </c>
      <c r="S395" s="42" t="s">
        <v>5136</v>
      </c>
      <c r="T395" s="43" t="s">
        <v>4166</v>
      </c>
      <c r="U395" s="44" t="s">
        <v>4149</v>
      </c>
      <c r="V395" s="43" t="s">
        <v>130</v>
      </c>
      <c r="W395" s="43" t="s">
        <v>130</v>
      </c>
      <c r="X395" s="43"/>
      <c r="Y395" s="43"/>
      <c r="Z395" s="43"/>
      <c r="AA395" s="43"/>
      <c r="AB395" s="43"/>
      <c r="AC395" s="43"/>
      <c r="AD395" s="43"/>
      <c r="AE395" s="43"/>
      <c r="AF395" s="43"/>
      <c r="AG395" s="45"/>
      <c r="AH395" s="1"/>
      <c r="AI395" s="1"/>
      <c r="AJ395" s="1"/>
    </row>
    <row r="396" spans="1:36">
      <c r="A396" s="36" t="s">
        <v>3877</v>
      </c>
      <c r="B396" s="36" t="s">
        <v>3878</v>
      </c>
      <c r="C396" s="36" t="s">
        <v>3892</v>
      </c>
      <c r="D396" s="36" t="s">
        <v>4167</v>
      </c>
      <c r="E396" s="38"/>
      <c r="F396" s="36"/>
      <c r="G396" s="36" t="s">
        <v>4114</v>
      </c>
      <c r="H396" s="36" t="s">
        <v>4115</v>
      </c>
      <c r="I396" s="40" t="s">
        <v>130</v>
      </c>
      <c r="J396" s="36" t="s">
        <v>94</v>
      </c>
      <c r="K396" s="36" t="s">
        <v>94</v>
      </c>
      <c r="L396" s="36" t="s">
        <v>3586</v>
      </c>
      <c r="M396" s="36" t="s">
        <v>2451</v>
      </c>
      <c r="N396" s="36"/>
      <c r="O396" s="36" t="s">
        <v>3988</v>
      </c>
      <c r="P396" s="36"/>
      <c r="Q396" s="36" t="s">
        <v>3988</v>
      </c>
      <c r="R396" s="36" t="s">
        <v>164</v>
      </c>
      <c r="S396" s="42" t="s">
        <v>5135</v>
      </c>
      <c r="T396" s="43" t="s">
        <v>4166</v>
      </c>
      <c r="U396" s="44" t="s">
        <v>4149</v>
      </c>
      <c r="V396" s="43"/>
      <c r="W396" s="43"/>
      <c r="X396" s="43"/>
      <c r="Y396" s="43"/>
      <c r="Z396" s="43"/>
      <c r="AA396" s="43" t="s">
        <v>130</v>
      </c>
      <c r="AB396" s="43" t="s">
        <v>130</v>
      </c>
      <c r="AC396" s="43"/>
      <c r="AD396" s="43"/>
      <c r="AE396" s="43"/>
      <c r="AF396" s="43"/>
      <c r="AG396" s="45"/>
      <c r="AH396" s="1"/>
      <c r="AI396" s="1"/>
      <c r="AJ396" s="1"/>
    </row>
    <row r="397" spans="1:36">
      <c r="A397" s="36" t="s">
        <v>3877</v>
      </c>
      <c r="B397" s="36" t="s">
        <v>3878</v>
      </c>
      <c r="C397" s="36" t="s">
        <v>4135</v>
      </c>
      <c r="D397" s="36" t="s">
        <v>4169</v>
      </c>
      <c r="E397" s="38" t="s">
        <v>4170</v>
      </c>
      <c r="F397" s="36"/>
      <c r="G397" s="36" t="s">
        <v>4171</v>
      </c>
      <c r="H397" s="36" t="s">
        <v>4172</v>
      </c>
      <c r="I397" s="40" t="s">
        <v>130</v>
      </c>
      <c r="J397" s="46" t="s">
        <v>94</v>
      </c>
      <c r="K397" s="36" t="s">
        <v>94</v>
      </c>
      <c r="L397" s="36" t="s">
        <v>3586</v>
      </c>
      <c r="M397" s="36" t="s">
        <v>4173</v>
      </c>
      <c r="N397" s="36" t="s">
        <v>4174</v>
      </c>
      <c r="O397" s="36" t="s">
        <v>4175</v>
      </c>
      <c r="P397" s="36" t="s">
        <v>944</v>
      </c>
      <c r="Q397" s="36" t="s">
        <v>4176</v>
      </c>
      <c r="R397" s="36" t="s">
        <v>164</v>
      </c>
      <c r="S397" s="42" t="s">
        <v>5074</v>
      </c>
      <c r="T397" s="43" t="s">
        <v>4178</v>
      </c>
      <c r="U397" s="44" t="s">
        <v>4179</v>
      </c>
      <c r="V397" s="43" t="s">
        <v>130</v>
      </c>
      <c r="W397" s="43" t="s">
        <v>130</v>
      </c>
      <c r="X397" s="43" t="s">
        <v>130</v>
      </c>
      <c r="Y397" s="43" t="s">
        <v>130</v>
      </c>
      <c r="Z397" s="43" t="s">
        <v>130</v>
      </c>
      <c r="AA397" s="43" t="s">
        <v>130</v>
      </c>
      <c r="AB397" s="43" t="s">
        <v>130</v>
      </c>
      <c r="AC397" s="43"/>
      <c r="AD397" s="43"/>
      <c r="AE397" s="43"/>
      <c r="AF397" s="43"/>
      <c r="AG397" s="45"/>
      <c r="AH397" s="1"/>
      <c r="AI397" s="1"/>
      <c r="AJ397" s="1"/>
    </row>
    <row r="398" spans="1:36">
      <c r="A398" s="36" t="s">
        <v>3877</v>
      </c>
      <c r="B398" s="36" t="s">
        <v>3878</v>
      </c>
      <c r="C398" s="36" t="s">
        <v>4153</v>
      </c>
      <c r="D398" s="36" t="s">
        <v>4180</v>
      </c>
      <c r="E398" s="38" t="s">
        <v>4181</v>
      </c>
      <c r="F398" s="36"/>
      <c r="G398" s="36" t="s">
        <v>4171</v>
      </c>
      <c r="H398" s="36" t="s">
        <v>4172</v>
      </c>
      <c r="I398" s="40"/>
      <c r="J398" s="36" t="s">
        <v>94</v>
      </c>
      <c r="K398" s="36" t="s">
        <v>94</v>
      </c>
      <c r="L398" s="36" t="s">
        <v>3586</v>
      </c>
      <c r="M398" s="36" t="s">
        <v>4182</v>
      </c>
      <c r="N398" s="36" t="s">
        <v>4183</v>
      </c>
      <c r="O398" s="36" t="s">
        <v>4175</v>
      </c>
      <c r="P398" s="36" t="s">
        <v>3372</v>
      </c>
      <c r="Q398" s="36" t="s">
        <v>4184</v>
      </c>
      <c r="R398" s="36" t="s">
        <v>4185</v>
      </c>
      <c r="S398" s="42" t="s">
        <v>5097</v>
      </c>
      <c r="T398" s="43" t="s">
        <v>4186</v>
      </c>
      <c r="U398" s="44" t="s">
        <v>4188</v>
      </c>
      <c r="V398" s="43" t="s">
        <v>130</v>
      </c>
      <c r="W398" s="43" t="s">
        <v>130</v>
      </c>
      <c r="X398" s="43" t="s">
        <v>130</v>
      </c>
      <c r="Y398" s="43" t="s">
        <v>130</v>
      </c>
      <c r="Z398" s="43" t="s">
        <v>130</v>
      </c>
      <c r="AA398" s="43"/>
      <c r="AB398" s="43"/>
      <c r="AC398" s="43"/>
      <c r="AD398" s="43"/>
      <c r="AE398" s="43"/>
      <c r="AF398" s="43"/>
      <c r="AG398" s="45"/>
      <c r="AH398" s="1"/>
      <c r="AI398" s="1"/>
      <c r="AJ398" s="1"/>
    </row>
    <row r="399" spans="1:36">
      <c r="A399" s="36" t="s">
        <v>3877</v>
      </c>
      <c r="B399" s="36" t="s">
        <v>3878</v>
      </c>
      <c r="C399" s="36" t="s">
        <v>4190</v>
      </c>
      <c r="D399" s="36" t="s">
        <v>4191</v>
      </c>
      <c r="E399" s="38" t="s">
        <v>4192</v>
      </c>
      <c r="F399" s="36"/>
      <c r="G399" s="36" t="s">
        <v>4171</v>
      </c>
      <c r="H399" s="36" t="s">
        <v>4172</v>
      </c>
      <c r="I399" s="40" t="s">
        <v>130</v>
      </c>
      <c r="J399" s="36" t="s">
        <v>94</v>
      </c>
      <c r="K399" s="36" t="s">
        <v>94</v>
      </c>
      <c r="L399" s="36" t="s">
        <v>3586</v>
      </c>
      <c r="M399" s="36" t="s">
        <v>4193</v>
      </c>
      <c r="N399" s="36" t="s">
        <v>4194</v>
      </c>
      <c r="O399" s="36" t="s">
        <v>4175</v>
      </c>
      <c r="P399" s="36" t="s">
        <v>4195</v>
      </c>
      <c r="Q399" s="36" t="s">
        <v>4196</v>
      </c>
      <c r="R399" s="36" t="s">
        <v>164</v>
      </c>
      <c r="S399" s="42" t="s">
        <v>5115</v>
      </c>
      <c r="T399" s="43" t="s">
        <v>4197</v>
      </c>
      <c r="U399" s="44" t="s">
        <v>4179</v>
      </c>
      <c r="V399" s="43" t="s">
        <v>130</v>
      </c>
      <c r="W399" s="43" t="s">
        <v>130</v>
      </c>
      <c r="X399" s="43" t="s">
        <v>130</v>
      </c>
      <c r="Y399" s="43" t="s">
        <v>130</v>
      </c>
      <c r="Z399" s="43" t="s">
        <v>130</v>
      </c>
      <c r="AA399" s="43" t="s">
        <v>130</v>
      </c>
      <c r="AB399" s="43" t="s">
        <v>130</v>
      </c>
      <c r="AC399" s="43"/>
      <c r="AD399" s="43"/>
      <c r="AE399" s="43"/>
      <c r="AF399" s="43"/>
      <c r="AG399" s="45"/>
      <c r="AH399" s="1"/>
      <c r="AI399" s="1"/>
      <c r="AJ399" s="1"/>
    </row>
    <row r="400" spans="1:36">
      <c r="A400" s="36" t="s">
        <v>3877</v>
      </c>
      <c r="B400" s="36" t="s">
        <v>3878</v>
      </c>
      <c r="C400" s="36" t="s">
        <v>4173</v>
      </c>
      <c r="D400" s="36" t="s">
        <v>4198</v>
      </c>
      <c r="E400" s="38" t="s">
        <v>4199</v>
      </c>
      <c r="F400" s="36"/>
      <c r="G400" s="36" t="s">
        <v>4171</v>
      </c>
      <c r="H400" s="36" t="s">
        <v>4172</v>
      </c>
      <c r="I400" s="40" t="s">
        <v>130</v>
      </c>
      <c r="J400" s="36" t="s">
        <v>94</v>
      </c>
      <c r="K400" s="36" t="s">
        <v>94</v>
      </c>
      <c r="L400" s="36" t="s">
        <v>3586</v>
      </c>
      <c r="M400" s="36" t="s">
        <v>4202</v>
      </c>
      <c r="N400" s="36" t="s">
        <v>4203</v>
      </c>
      <c r="O400" s="36" t="s">
        <v>4175</v>
      </c>
      <c r="P400" s="36" t="s">
        <v>4204</v>
      </c>
      <c r="Q400" s="36" t="s">
        <v>4205</v>
      </c>
      <c r="R400" s="36" t="s">
        <v>164</v>
      </c>
      <c r="S400" s="42" t="s">
        <v>5136</v>
      </c>
      <c r="T400" s="43" t="s">
        <v>4206</v>
      </c>
      <c r="U400" s="44" t="s">
        <v>4207</v>
      </c>
      <c r="V400" s="43" t="s">
        <v>130</v>
      </c>
      <c r="W400" s="43" t="s">
        <v>130</v>
      </c>
      <c r="X400" s="43" t="s">
        <v>130</v>
      </c>
      <c r="Y400" s="43" t="s">
        <v>130</v>
      </c>
      <c r="Z400" s="43" t="s">
        <v>130</v>
      </c>
      <c r="AA400" s="43" t="s">
        <v>130</v>
      </c>
      <c r="AB400" s="43" t="s">
        <v>130</v>
      </c>
      <c r="AC400" s="43"/>
      <c r="AD400" s="43"/>
      <c r="AE400" s="43"/>
      <c r="AF400" s="43"/>
      <c r="AG400" s="45"/>
      <c r="AH400" s="1"/>
      <c r="AI400" s="1"/>
      <c r="AJ400" s="1"/>
    </row>
    <row r="401" spans="1:36">
      <c r="A401" s="36" t="s">
        <v>3877</v>
      </c>
      <c r="B401" s="36" t="s">
        <v>3878</v>
      </c>
      <c r="C401" s="36" t="s">
        <v>4208</v>
      </c>
      <c r="D401" s="61" t="s">
        <v>4209</v>
      </c>
      <c r="E401" s="38" t="s">
        <v>4210</v>
      </c>
      <c r="F401" s="36"/>
      <c r="G401" s="36" t="s">
        <v>4171</v>
      </c>
      <c r="H401" s="36" t="s">
        <v>4172</v>
      </c>
      <c r="I401" s="40" t="s">
        <v>130</v>
      </c>
      <c r="J401" s="46" t="s">
        <v>94</v>
      </c>
      <c r="K401" s="36" t="s">
        <v>94</v>
      </c>
      <c r="L401" s="36" t="s">
        <v>3586</v>
      </c>
      <c r="M401" s="36" t="s">
        <v>4211</v>
      </c>
      <c r="N401" s="36" t="s">
        <v>4212</v>
      </c>
      <c r="O401" s="36" t="s">
        <v>4175</v>
      </c>
      <c r="P401" s="36" t="s">
        <v>1315</v>
      </c>
      <c r="Q401" s="36" t="s">
        <v>4214</v>
      </c>
      <c r="R401" s="36" t="s">
        <v>164</v>
      </c>
      <c r="S401" s="42" t="s">
        <v>5098</v>
      </c>
      <c r="T401" s="43" t="s">
        <v>4215</v>
      </c>
      <c r="U401" s="44" t="s">
        <v>551</v>
      </c>
      <c r="V401" s="43" t="s">
        <v>130</v>
      </c>
      <c r="W401" s="43" t="s">
        <v>130</v>
      </c>
      <c r="X401" s="43" t="s">
        <v>130</v>
      </c>
      <c r="Y401" s="43" t="s">
        <v>130</v>
      </c>
      <c r="Z401" s="43" t="s">
        <v>130</v>
      </c>
      <c r="AA401" s="43" t="s">
        <v>130</v>
      </c>
      <c r="AB401" s="43" t="s">
        <v>130</v>
      </c>
      <c r="AC401" s="43"/>
      <c r="AD401" s="43"/>
      <c r="AE401" s="43"/>
      <c r="AF401" s="43"/>
      <c r="AG401" s="45"/>
      <c r="AH401" s="1"/>
      <c r="AI401" s="1"/>
      <c r="AJ401" s="1"/>
    </row>
    <row r="402" spans="1:36">
      <c r="A402" s="36" t="s">
        <v>3877</v>
      </c>
      <c r="B402" s="36" t="s">
        <v>3878</v>
      </c>
      <c r="C402" s="36" t="s">
        <v>4211</v>
      </c>
      <c r="D402" s="36" t="s">
        <v>4216</v>
      </c>
      <c r="E402" s="38" t="s">
        <v>4217</v>
      </c>
      <c r="F402" s="36"/>
      <c r="G402" s="36" t="s">
        <v>4171</v>
      </c>
      <c r="H402" s="36" t="s">
        <v>4172</v>
      </c>
      <c r="I402" s="40" t="s">
        <v>130</v>
      </c>
      <c r="J402" s="36" t="s">
        <v>94</v>
      </c>
      <c r="K402" s="36" t="s">
        <v>94</v>
      </c>
      <c r="L402" s="36" t="s">
        <v>3586</v>
      </c>
      <c r="M402" s="36" t="s">
        <v>4218</v>
      </c>
      <c r="N402" s="36" t="s">
        <v>4219</v>
      </c>
      <c r="O402" s="36" t="s">
        <v>4175</v>
      </c>
      <c r="P402" s="36" t="s">
        <v>854</v>
      </c>
      <c r="Q402" s="36" t="s">
        <v>4220</v>
      </c>
      <c r="R402" s="36" t="s">
        <v>164</v>
      </c>
      <c r="S402" s="42" t="s">
        <v>5099</v>
      </c>
      <c r="T402" s="43" t="s">
        <v>4222</v>
      </c>
      <c r="U402" s="44" t="s">
        <v>551</v>
      </c>
      <c r="V402" s="43" t="s">
        <v>130</v>
      </c>
      <c r="W402" s="43" t="s">
        <v>130</v>
      </c>
      <c r="X402" s="43" t="s">
        <v>130</v>
      </c>
      <c r="Y402" s="43" t="s">
        <v>130</v>
      </c>
      <c r="Z402" s="43" t="s">
        <v>130</v>
      </c>
      <c r="AA402" s="43" t="s">
        <v>130</v>
      </c>
      <c r="AB402" s="43" t="s">
        <v>130</v>
      </c>
      <c r="AC402" s="43"/>
      <c r="AD402" s="43"/>
      <c r="AE402" s="43"/>
      <c r="AF402" s="43"/>
      <c r="AG402" s="45"/>
      <c r="AH402" s="1"/>
      <c r="AI402" s="1"/>
      <c r="AJ402" s="1"/>
    </row>
    <row r="403" spans="1:36">
      <c r="A403" s="36" t="s">
        <v>3877</v>
      </c>
      <c r="B403" s="36" t="s">
        <v>3878</v>
      </c>
      <c r="C403" s="36" t="s">
        <v>4218</v>
      </c>
      <c r="D403" s="36" t="s">
        <v>4224</v>
      </c>
      <c r="E403" s="38" t="s">
        <v>4225</v>
      </c>
      <c r="F403" s="36"/>
      <c r="G403" s="36" t="s">
        <v>4171</v>
      </c>
      <c r="H403" s="36" t="s">
        <v>4172</v>
      </c>
      <c r="I403" s="40"/>
      <c r="J403" s="36" t="s">
        <v>1369</v>
      </c>
      <c r="K403" s="36" t="s">
        <v>94</v>
      </c>
      <c r="L403" s="36" t="s">
        <v>3586</v>
      </c>
      <c r="M403" s="36" t="s">
        <v>4226</v>
      </c>
      <c r="N403" s="36" t="s">
        <v>4227</v>
      </c>
      <c r="O403" s="36" t="s">
        <v>4175</v>
      </c>
      <c r="P403" s="36" t="s">
        <v>1053</v>
      </c>
      <c r="Q403" s="36" t="s">
        <v>4228</v>
      </c>
      <c r="R403" s="36" t="s">
        <v>4229</v>
      </c>
      <c r="S403" s="42" t="s">
        <v>5113</v>
      </c>
      <c r="T403" s="43" t="s">
        <v>4230</v>
      </c>
      <c r="U403" s="44" t="s">
        <v>4229</v>
      </c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5"/>
      <c r="AH403" s="1"/>
      <c r="AI403" s="1"/>
      <c r="AJ403" s="1"/>
    </row>
    <row r="404" spans="1:36">
      <c r="A404" s="36" t="s">
        <v>3877</v>
      </c>
      <c r="B404" s="36" t="s">
        <v>3878</v>
      </c>
      <c r="C404" s="36" t="s">
        <v>4226</v>
      </c>
      <c r="D404" s="36" t="s">
        <v>4233</v>
      </c>
      <c r="E404" s="38" t="s">
        <v>4234</v>
      </c>
      <c r="F404" s="36"/>
      <c r="G404" s="36" t="s">
        <v>4171</v>
      </c>
      <c r="H404" s="36" t="s">
        <v>4172</v>
      </c>
      <c r="I404" s="40"/>
      <c r="J404" s="36" t="s">
        <v>159</v>
      </c>
      <c r="K404" s="36" t="s">
        <v>94</v>
      </c>
      <c r="L404" s="36" t="s">
        <v>3586</v>
      </c>
      <c r="M404" s="36" t="s">
        <v>4235</v>
      </c>
      <c r="N404" s="36" t="s">
        <v>4236</v>
      </c>
      <c r="O404" s="36" t="s">
        <v>4175</v>
      </c>
      <c r="P404" s="36" t="s">
        <v>1068</v>
      </c>
      <c r="Q404" s="36" t="s">
        <v>4237</v>
      </c>
      <c r="R404" s="36" t="s">
        <v>4238</v>
      </c>
      <c r="S404" s="42" t="s">
        <v>5114</v>
      </c>
      <c r="T404" s="43" t="s">
        <v>4239</v>
      </c>
      <c r="U404" s="44" t="s">
        <v>4229</v>
      </c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5"/>
      <c r="AH404" s="1"/>
      <c r="AI404" s="1"/>
      <c r="AJ404" s="1"/>
    </row>
    <row r="405" spans="1:36">
      <c r="A405" s="36" t="s">
        <v>3877</v>
      </c>
      <c r="B405" s="36" t="s">
        <v>3878</v>
      </c>
      <c r="C405" s="36" t="s">
        <v>4235</v>
      </c>
      <c r="D405" s="36" t="s">
        <v>4240</v>
      </c>
      <c r="E405" s="38" t="s">
        <v>4241</v>
      </c>
      <c r="F405" s="36"/>
      <c r="G405" s="36" t="s">
        <v>4171</v>
      </c>
      <c r="H405" s="36" t="s">
        <v>4172</v>
      </c>
      <c r="I405" s="40"/>
      <c r="J405" s="36" t="s">
        <v>230</v>
      </c>
      <c r="K405" s="36" t="s">
        <v>94</v>
      </c>
      <c r="L405" s="36" t="s">
        <v>3586</v>
      </c>
      <c r="M405" s="36" t="s">
        <v>4242</v>
      </c>
      <c r="N405" s="36" t="s">
        <v>4244</v>
      </c>
      <c r="O405" s="36" t="s">
        <v>4175</v>
      </c>
      <c r="P405" s="36" t="s">
        <v>1300</v>
      </c>
      <c r="Q405" s="36" t="s">
        <v>4245</v>
      </c>
      <c r="R405" s="36" t="s">
        <v>4246</v>
      </c>
      <c r="S405" s="42" t="s">
        <v>5143</v>
      </c>
      <c r="T405" s="43" t="s">
        <v>4247</v>
      </c>
      <c r="U405" s="44" t="s">
        <v>551</v>
      </c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5"/>
      <c r="AH405" s="1"/>
      <c r="AI405" s="1"/>
      <c r="AJ405" s="1"/>
    </row>
    <row r="406" spans="1:36">
      <c r="A406" s="36" t="s">
        <v>3877</v>
      </c>
      <c r="B406" s="36" t="s">
        <v>3878</v>
      </c>
      <c r="C406" s="36" t="s">
        <v>4248</v>
      </c>
      <c r="D406" s="61" t="s">
        <v>4249</v>
      </c>
      <c r="E406" s="38" t="s">
        <v>4250</v>
      </c>
      <c r="F406" s="36"/>
      <c r="G406" s="36" t="s">
        <v>435</v>
      </c>
      <c r="H406" s="36" t="s">
        <v>4251</v>
      </c>
      <c r="I406" s="40"/>
      <c r="J406" s="36" t="s">
        <v>230</v>
      </c>
      <c r="K406" s="36" t="s">
        <v>94</v>
      </c>
      <c r="L406" s="36" t="s">
        <v>3586</v>
      </c>
      <c r="M406" s="36" t="s">
        <v>3153</v>
      </c>
      <c r="N406" s="36" t="s">
        <v>4252</v>
      </c>
      <c r="O406" s="36" t="s">
        <v>3988</v>
      </c>
      <c r="P406" s="36" t="s">
        <v>3153</v>
      </c>
      <c r="Q406" s="36" t="s">
        <v>4253</v>
      </c>
      <c r="R406" s="36" t="s">
        <v>4254</v>
      </c>
      <c r="S406" s="42" t="s">
        <v>5137</v>
      </c>
      <c r="T406" s="43" t="s">
        <v>4255</v>
      </c>
      <c r="U406" s="44" t="s">
        <v>551</v>
      </c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5"/>
      <c r="AH406" s="1"/>
      <c r="AI406" s="1"/>
      <c r="AJ406" s="1"/>
    </row>
    <row r="407" spans="1:36">
      <c r="A407" s="36" t="s">
        <v>3877</v>
      </c>
      <c r="B407" s="36" t="s">
        <v>3878</v>
      </c>
      <c r="C407" s="36" t="s">
        <v>4258</v>
      </c>
      <c r="D407" s="57" t="s">
        <v>4259</v>
      </c>
      <c r="E407" s="38" t="s">
        <v>4260</v>
      </c>
      <c r="F407" s="36"/>
      <c r="G407" s="36" t="s">
        <v>435</v>
      </c>
      <c r="H407" s="36" t="s">
        <v>4251</v>
      </c>
      <c r="I407" s="40" t="s">
        <v>130</v>
      </c>
      <c r="J407" s="36" t="s">
        <v>94</v>
      </c>
      <c r="K407" s="36" t="s">
        <v>94</v>
      </c>
      <c r="L407" s="36" t="s">
        <v>3586</v>
      </c>
      <c r="M407" s="36" t="s">
        <v>4261</v>
      </c>
      <c r="N407" s="36" t="s">
        <v>4262</v>
      </c>
      <c r="O407" s="36" t="s">
        <v>3988</v>
      </c>
      <c r="P407" s="36" t="s">
        <v>4261</v>
      </c>
      <c r="Q407" s="36" t="s">
        <v>4263</v>
      </c>
      <c r="R407" s="36" t="s">
        <v>164</v>
      </c>
      <c r="S407" s="42" t="s">
        <v>5133</v>
      </c>
      <c r="T407" s="43" t="s">
        <v>4264</v>
      </c>
      <c r="U407" s="44" t="s">
        <v>3897</v>
      </c>
      <c r="V407" s="43" t="s">
        <v>130</v>
      </c>
      <c r="W407" s="43" t="s">
        <v>130</v>
      </c>
      <c r="X407" s="43" t="s">
        <v>130</v>
      </c>
      <c r="Y407" s="43" t="s">
        <v>130</v>
      </c>
      <c r="Z407" s="43" t="s">
        <v>130</v>
      </c>
      <c r="AA407" s="43" t="s">
        <v>130</v>
      </c>
      <c r="AB407" s="43" t="s">
        <v>130</v>
      </c>
      <c r="AC407" s="43"/>
      <c r="AD407" s="43"/>
      <c r="AE407" s="43"/>
      <c r="AF407" s="43"/>
      <c r="AG407" s="45"/>
      <c r="AH407" s="1"/>
      <c r="AI407" s="1"/>
      <c r="AJ407" s="1"/>
    </row>
    <row r="408" spans="1:36">
      <c r="A408" s="36" t="s">
        <v>3877</v>
      </c>
      <c r="B408" s="36" t="s">
        <v>3878</v>
      </c>
      <c r="C408" s="36" t="s">
        <v>4266</v>
      </c>
      <c r="D408" s="36" t="s">
        <v>4267</v>
      </c>
      <c r="E408" s="38" t="s">
        <v>4268</v>
      </c>
      <c r="F408" s="36"/>
      <c r="G408" s="36" t="s">
        <v>435</v>
      </c>
      <c r="H408" s="36" t="s">
        <v>4251</v>
      </c>
      <c r="I408" s="40"/>
      <c r="J408" s="36" t="s">
        <v>94</v>
      </c>
      <c r="K408" s="36" t="s">
        <v>94</v>
      </c>
      <c r="L408" s="36" t="s">
        <v>3586</v>
      </c>
      <c r="M408" s="36" t="s">
        <v>4269</v>
      </c>
      <c r="N408" s="36" t="s">
        <v>4270</v>
      </c>
      <c r="O408" s="36" t="s">
        <v>3988</v>
      </c>
      <c r="P408" s="36" t="s">
        <v>4269</v>
      </c>
      <c r="Q408" s="36" t="s">
        <v>4271</v>
      </c>
      <c r="R408" s="36" t="s">
        <v>4272</v>
      </c>
      <c r="S408" s="42" t="s">
        <v>5134</v>
      </c>
      <c r="T408" s="43" t="s">
        <v>4273</v>
      </c>
      <c r="U408" s="44" t="s">
        <v>551</v>
      </c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5"/>
      <c r="AH408" s="1"/>
      <c r="AI408" s="1"/>
      <c r="AJ408" s="1"/>
    </row>
    <row r="409" spans="1:36">
      <c r="A409" s="38" t="s">
        <v>3877</v>
      </c>
      <c r="B409" s="36" t="s">
        <v>3878</v>
      </c>
      <c r="C409" s="38" t="s">
        <v>4274</v>
      </c>
      <c r="D409" s="57" t="s">
        <v>4275</v>
      </c>
      <c r="E409" s="38"/>
      <c r="F409" s="38"/>
      <c r="G409" s="36" t="s">
        <v>435</v>
      </c>
      <c r="H409" s="38" t="s">
        <v>4251</v>
      </c>
      <c r="I409" s="40"/>
      <c r="J409" s="36" t="s">
        <v>650</v>
      </c>
      <c r="K409" s="36" t="s">
        <v>94</v>
      </c>
      <c r="L409" s="38" t="s">
        <v>3586</v>
      </c>
      <c r="M409" s="38" t="s">
        <v>4278</v>
      </c>
      <c r="N409" s="36" t="s">
        <v>4279</v>
      </c>
      <c r="O409" s="36" t="s">
        <v>4047</v>
      </c>
      <c r="P409" s="36" t="s">
        <v>959</v>
      </c>
      <c r="Q409" s="36" t="s">
        <v>4280</v>
      </c>
      <c r="R409" s="36" t="s">
        <v>4281</v>
      </c>
      <c r="S409" s="42" t="s">
        <v>5100</v>
      </c>
      <c r="T409" s="43" t="s">
        <v>4282</v>
      </c>
      <c r="U409" s="44" t="s">
        <v>4084</v>
      </c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5"/>
      <c r="AH409" s="1"/>
      <c r="AI409" s="1"/>
      <c r="AJ409" s="1"/>
    </row>
    <row r="410" spans="1:36">
      <c r="A410" s="38" t="s">
        <v>3047</v>
      </c>
      <c r="B410" s="36" t="s">
        <v>4283</v>
      </c>
      <c r="C410" s="38" t="s">
        <v>4284</v>
      </c>
      <c r="D410" s="38" t="s">
        <v>4285</v>
      </c>
      <c r="E410" s="38" t="s">
        <v>4284</v>
      </c>
      <c r="F410" s="38" t="s">
        <v>130</v>
      </c>
      <c r="G410" s="36" t="s">
        <v>4287</v>
      </c>
      <c r="H410" s="38" t="s">
        <v>4288</v>
      </c>
      <c r="I410" s="40" t="s">
        <v>130</v>
      </c>
      <c r="J410" s="36" t="s">
        <v>94</v>
      </c>
      <c r="K410" s="36" t="s">
        <v>94</v>
      </c>
      <c r="L410" s="38" t="s">
        <v>4290</v>
      </c>
      <c r="M410" s="38" t="s">
        <v>4291</v>
      </c>
      <c r="N410" s="36" t="s">
        <v>4292</v>
      </c>
      <c r="O410" s="36" t="s">
        <v>4283</v>
      </c>
      <c r="P410" s="36" t="s">
        <v>4291</v>
      </c>
      <c r="Q410" s="36" t="s">
        <v>4293</v>
      </c>
      <c r="R410" s="36" t="s">
        <v>164</v>
      </c>
      <c r="S410" s="42" t="s">
        <v>5077</v>
      </c>
      <c r="T410" s="43" t="s">
        <v>4294</v>
      </c>
      <c r="U410" s="44" t="s">
        <v>4295</v>
      </c>
      <c r="V410" s="43" t="s">
        <v>130</v>
      </c>
      <c r="W410" s="43" t="s">
        <v>130</v>
      </c>
      <c r="X410" s="43" t="s">
        <v>130</v>
      </c>
      <c r="Y410" s="43" t="s">
        <v>130</v>
      </c>
      <c r="Z410" s="43" t="s">
        <v>130</v>
      </c>
      <c r="AA410" s="43" t="s">
        <v>130</v>
      </c>
      <c r="AB410" s="43" t="s">
        <v>130</v>
      </c>
      <c r="AC410" s="43"/>
      <c r="AD410" s="43"/>
      <c r="AE410" s="43"/>
      <c r="AF410" s="43"/>
      <c r="AG410" s="45"/>
      <c r="AH410" s="1"/>
      <c r="AI410" s="1"/>
      <c r="AJ410" s="1"/>
    </row>
    <row r="411" spans="1:36">
      <c r="A411" s="38" t="s">
        <v>3047</v>
      </c>
      <c r="B411" s="36" t="s">
        <v>4283</v>
      </c>
      <c r="C411" s="38" t="s">
        <v>4296</v>
      </c>
      <c r="D411" s="38" t="s">
        <v>4297</v>
      </c>
      <c r="E411" s="38" t="s">
        <v>4296</v>
      </c>
      <c r="F411" s="38" t="s">
        <v>130</v>
      </c>
      <c r="G411" s="36" t="s">
        <v>4287</v>
      </c>
      <c r="H411" s="38" t="s">
        <v>4288</v>
      </c>
      <c r="I411" s="40"/>
      <c r="J411" s="36" t="s">
        <v>159</v>
      </c>
      <c r="K411" s="36" t="s">
        <v>94</v>
      </c>
      <c r="L411" s="38" t="s">
        <v>4290</v>
      </c>
      <c r="M411" s="38" t="s">
        <v>4298</v>
      </c>
      <c r="N411" s="36" t="s">
        <v>4299</v>
      </c>
      <c r="O411" s="36" t="s">
        <v>4283</v>
      </c>
      <c r="P411" s="36" t="s">
        <v>4298</v>
      </c>
      <c r="Q411" s="36" t="s">
        <v>4300</v>
      </c>
      <c r="R411" s="36" t="s">
        <v>4301</v>
      </c>
      <c r="S411" s="42" t="s">
        <v>5080</v>
      </c>
      <c r="T411" s="43" t="s">
        <v>4304</v>
      </c>
      <c r="U411" s="44" t="s">
        <v>4305</v>
      </c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5"/>
      <c r="AH411" s="1"/>
      <c r="AI411" s="1"/>
      <c r="AJ411" s="1"/>
    </row>
    <row r="412" spans="1:36">
      <c r="A412" s="38" t="s">
        <v>3047</v>
      </c>
      <c r="B412" s="36" t="s">
        <v>4283</v>
      </c>
      <c r="C412" s="38" t="s">
        <v>4306</v>
      </c>
      <c r="D412" s="38" t="s">
        <v>4307</v>
      </c>
      <c r="E412" s="38" t="s">
        <v>4306</v>
      </c>
      <c r="F412" s="38" t="s">
        <v>130</v>
      </c>
      <c r="G412" s="36" t="s">
        <v>4287</v>
      </c>
      <c r="H412" s="38" t="s">
        <v>4288</v>
      </c>
      <c r="I412" s="40" t="s">
        <v>130</v>
      </c>
      <c r="J412" s="36" t="s">
        <v>94</v>
      </c>
      <c r="K412" s="36" t="s">
        <v>94</v>
      </c>
      <c r="L412" s="38" t="s">
        <v>4290</v>
      </c>
      <c r="M412" s="38" t="s">
        <v>4308</v>
      </c>
      <c r="N412" s="36" t="s">
        <v>4309</v>
      </c>
      <c r="O412" s="36" t="s">
        <v>4283</v>
      </c>
      <c r="P412" s="36" t="s">
        <v>4308</v>
      </c>
      <c r="Q412" s="36" t="s">
        <v>4310</v>
      </c>
      <c r="R412" s="36" t="s">
        <v>164</v>
      </c>
      <c r="S412" s="42" t="s">
        <v>5082</v>
      </c>
      <c r="T412" s="43" t="s">
        <v>4311</v>
      </c>
      <c r="U412" s="44" t="s">
        <v>4305</v>
      </c>
      <c r="V412" s="43" t="s">
        <v>130</v>
      </c>
      <c r="W412" s="43" t="s">
        <v>130</v>
      </c>
      <c r="X412" s="43" t="s">
        <v>130</v>
      </c>
      <c r="Y412" s="43" t="s">
        <v>130</v>
      </c>
      <c r="Z412" s="43" t="s">
        <v>130</v>
      </c>
      <c r="AA412" s="43" t="s">
        <v>130</v>
      </c>
      <c r="AB412" s="43" t="s">
        <v>130</v>
      </c>
      <c r="AC412" s="43"/>
      <c r="AD412" s="43"/>
      <c r="AE412" s="43"/>
      <c r="AF412" s="43"/>
      <c r="AG412" s="45"/>
      <c r="AH412" s="1"/>
      <c r="AI412" s="1"/>
      <c r="AJ412" s="1"/>
    </row>
    <row r="413" spans="1:36">
      <c r="A413" s="38" t="s">
        <v>3047</v>
      </c>
      <c r="B413" s="36" t="s">
        <v>4283</v>
      </c>
      <c r="C413" s="38" t="s">
        <v>4313</v>
      </c>
      <c r="D413" s="38" t="s">
        <v>4314</v>
      </c>
      <c r="E413" s="38"/>
      <c r="F413" s="38"/>
      <c r="G413" s="36" t="s">
        <v>4287</v>
      </c>
      <c r="H413" s="38" t="s">
        <v>4288</v>
      </c>
      <c r="I413" s="40"/>
      <c r="J413" s="36" t="s">
        <v>94</v>
      </c>
      <c r="K413" s="36" t="s">
        <v>94</v>
      </c>
      <c r="L413" s="38" t="s">
        <v>4290</v>
      </c>
      <c r="M413" s="38"/>
      <c r="N413" s="36"/>
      <c r="O413" s="36"/>
      <c r="P413" s="36"/>
      <c r="Q413" s="36" t="s">
        <v>728</v>
      </c>
      <c r="R413" s="36"/>
      <c r="S413" s="42"/>
      <c r="T413" s="43"/>
      <c r="U413" s="44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5"/>
      <c r="AH413" s="1"/>
      <c r="AI413" s="1"/>
      <c r="AJ413" s="1"/>
    </row>
    <row r="414" spans="1:36">
      <c r="A414" s="38" t="s">
        <v>3047</v>
      </c>
      <c r="B414" s="36" t="s">
        <v>4283</v>
      </c>
      <c r="C414" s="38" t="s">
        <v>4316</v>
      </c>
      <c r="D414" s="38" t="s">
        <v>4317</v>
      </c>
      <c r="E414" s="38" t="s">
        <v>4316</v>
      </c>
      <c r="F414" s="38" t="s">
        <v>130</v>
      </c>
      <c r="G414" s="36" t="s">
        <v>4287</v>
      </c>
      <c r="H414" s="38" t="s">
        <v>4288</v>
      </c>
      <c r="I414" s="40"/>
      <c r="J414" s="36" t="s">
        <v>94</v>
      </c>
      <c r="K414" s="36" t="s">
        <v>94</v>
      </c>
      <c r="L414" s="38" t="s">
        <v>4290</v>
      </c>
      <c r="M414" s="38" t="s">
        <v>4318</v>
      </c>
      <c r="N414" s="36" t="s">
        <v>4319</v>
      </c>
      <c r="O414" s="36" t="s">
        <v>4283</v>
      </c>
      <c r="P414" s="36" t="s">
        <v>4318</v>
      </c>
      <c r="Q414" s="36" t="s">
        <v>4320</v>
      </c>
      <c r="R414" s="36" t="s">
        <v>4321</v>
      </c>
      <c r="S414" s="42" t="s">
        <v>5083</v>
      </c>
      <c r="T414" s="43" t="s">
        <v>4294</v>
      </c>
      <c r="U414" s="44" t="s">
        <v>4295</v>
      </c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5"/>
      <c r="AH414" s="1"/>
      <c r="AI414" s="1"/>
      <c r="AJ414" s="1"/>
    </row>
    <row r="415" spans="1:36">
      <c r="A415" s="38" t="s">
        <v>3047</v>
      </c>
      <c r="B415" s="36" t="s">
        <v>4283</v>
      </c>
      <c r="C415" s="38" t="s">
        <v>4323</v>
      </c>
      <c r="D415" s="57" t="s">
        <v>4324</v>
      </c>
      <c r="E415" s="38" t="s">
        <v>4323</v>
      </c>
      <c r="F415" s="38" t="s">
        <v>130</v>
      </c>
      <c r="G415" s="36" t="s">
        <v>4325</v>
      </c>
      <c r="H415" s="38" t="s">
        <v>4326</v>
      </c>
      <c r="I415" s="40"/>
      <c r="J415" s="36" t="s">
        <v>159</v>
      </c>
      <c r="K415" s="36" t="s">
        <v>94</v>
      </c>
      <c r="L415" s="38" t="s">
        <v>4290</v>
      </c>
      <c r="M415" s="38" t="s">
        <v>4327</v>
      </c>
      <c r="N415" s="36" t="s">
        <v>4328</v>
      </c>
      <c r="O415" s="36" t="s">
        <v>4283</v>
      </c>
      <c r="P415" s="36" t="s">
        <v>4327</v>
      </c>
      <c r="Q415" s="36" t="s">
        <v>4329</v>
      </c>
      <c r="R415" s="36" t="s">
        <v>4330</v>
      </c>
      <c r="S415" s="42" t="s">
        <v>5068</v>
      </c>
      <c r="T415" s="43" t="s">
        <v>4331</v>
      </c>
      <c r="U415" s="44" t="s">
        <v>4332</v>
      </c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5"/>
      <c r="AH415" s="1"/>
      <c r="AI415" s="1"/>
      <c r="AJ415" s="1"/>
    </row>
    <row r="416" spans="1:36">
      <c r="A416" s="38" t="s">
        <v>3047</v>
      </c>
      <c r="B416" s="36" t="s">
        <v>4283</v>
      </c>
      <c r="C416" s="38" t="s">
        <v>4335</v>
      </c>
      <c r="D416" s="36" t="s">
        <v>4336</v>
      </c>
      <c r="E416" s="38" t="s">
        <v>4335</v>
      </c>
      <c r="F416" s="38" t="s">
        <v>130</v>
      </c>
      <c r="G416" s="36" t="s">
        <v>4325</v>
      </c>
      <c r="H416" s="38" t="s">
        <v>4326</v>
      </c>
      <c r="I416" s="40"/>
      <c r="J416" s="36" t="s">
        <v>94</v>
      </c>
      <c r="K416" s="36" t="s">
        <v>94</v>
      </c>
      <c r="L416" s="38" t="s">
        <v>4290</v>
      </c>
      <c r="M416" s="38" t="s">
        <v>4337</v>
      </c>
      <c r="N416" s="36" t="s">
        <v>4338</v>
      </c>
      <c r="O416" s="36" t="s">
        <v>4283</v>
      </c>
      <c r="P416" s="36" t="s">
        <v>4337</v>
      </c>
      <c r="Q416" s="36" t="s">
        <v>4339</v>
      </c>
      <c r="R416" s="36" t="s">
        <v>4340</v>
      </c>
      <c r="S416" s="42" t="s">
        <v>5085</v>
      </c>
      <c r="T416" s="43" t="s">
        <v>4341</v>
      </c>
      <c r="U416" s="44" t="s">
        <v>4342</v>
      </c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5"/>
      <c r="AH416" s="1"/>
      <c r="AI416" s="1"/>
      <c r="AJ416" s="1"/>
    </row>
    <row r="417" spans="1:36">
      <c r="A417" s="38" t="s">
        <v>3047</v>
      </c>
      <c r="B417" s="36" t="s">
        <v>4283</v>
      </c>
      <c r="C417" s="38" t="s">
        <v>4345</v>
      </c>
      <c r="D417" s="36" t="s">
        <v>4346</v>
      </c>
      <c r="E417" s="38" t="s">
        <v>4345</v>
      </c>
      <c r="F417" s="38" t="s">
        <v>130</v>
      </c>
      <c r="G417" s="36" t="s">
        <v>4325</v>
      </c>
      <c r="H417" s="38" t="s">
        <v>4326</v>
      </c>
      <c r="I417" s="40" t="s">
        <v>130</v>
      </c>
      <c r="J417" s="36" t="s">
        <v>94</v>
      </c>
      <c r="K417" s="36" t="s">
        <v>94</v>
      </c>
      <c r="L417" s="38" t="s">
        <v>4290</v>
      </c>
      <c r="M417" s="38" t="s">
        <v>4347</v>
      </c>
      <c r="N417" s="36" t="s">
        <v>4348</v>
      </c>
      <c r="O417" s="36" t="s">
        <v>4283</v>
      </c>
      <c r="P417" s="36" t="s">
        <v>4347</v>
      </c>
      <c r="Q417" s="36" t="s">
        <v>4349</v>
      </c>
      <c r="R417" s="36" t="s">
        <v>164</v>
      </c>
      <c r="S417" s="42" t="s">
        <v>5079</v>
      </c>
      <c r="T417" s="43" t="s">
        <v>4350</v>
      </c>
      <c r="U417" s="44" t="s">
        <v>4351</v>
      </c>
      <c r="V417" s="43"/>
      <c r="W417" s="43"/>
      <c r="X417" s="43" t="s">
        <v>130</v>
      </c>
      <c r="Y417" s="43" t="s">
        <v>130</v>
      </c>
      <c r="Z417" s="43" t="s">
        <v>130</v>
      </c>
      <c r="AA417" s="43" t="s">
        <v>130</v>
      </c>
      <c r="AB417" s="43" t="s">
        <v>130</v>
      </c>
      <c r="AC417" s="43"/>
      <c r="AD417" s="43"/>
      <c r="AE417" s="43"/>
      <c r="AF417" s="43"/>
      <c r="AG417" s="45"/>
      <c r="AH417" s="1"/>
      <c r="AI417" s="1"/>
      <c r="AJ417" s="1"/>
    </row>
    <row r="418" spans="1:36">
      <c r="A418" s="38" t="s">
        <v>3047</v>
      </c>
      <c r="B418" s="36" t="s">
        <v>4283</v>
      </c>
      <c r="C418" s="38" t="s">
        <v>4352</v>
      </c>
      <c r="D418" s="38" t="s">
        <v>4353</v>
      </c>
      <c r="E418" s="38" t="s">
        <v>4352</v>
      </c>
      <c r="F418" s="38" t="s">
        <v>130</v>
      </c>
      <c r="G418" s="36" t="s">
        <v>4325</v>
      </c>
      <c r="H418" s="38" t="s">
        <v>4326</v>
      </c>
      <c r="I418" s="40" t="s">
        <v>130</v>
      </c>
      <c r="J418" s="36" t="s">
        <v>94</v>
      </c>
      <c r="K418" s="36" t="s">
        <v>94</v>
      </c>
      <c r="L418" s="38" t="s">
        <v>4290</v>
      </c>
      <c r="M418" s="38" t="s">
        <v>4356</v>
      </c>
      <c r="N418" s="36" t="s">
        <v>4357</v>
      </c>
      <c r="O418" s="36" t="s">
        <v>4283</v>
      </c>
      <c r="P418" s="36" t="s">
        <v>4356</v>
      </c>
      <c r="Q418" s="36" t="s">
        <v>4358</v>
      </c>
      <c r="R418" s="36" t="s">
        <v>164</v>
      </c>
      <c r="S418" s="42" t="s">
        <v>5106</v>
      </c>
      <c r="T418" s="43" t="s">
        <v>4359</v>
      </c>
      <c r="U418" s="44" t="s">
        <v>4360</v>
      </c>
      <c r="V418" s="43" t="s">
        <v>130</v>
      </c>
      <c r="W418" s="43"/>
      <c r="X418" s="43" t="s">
        <v>130</v>
      </c>
      <c r="Y418" s="43" t="s">
        <v>130</v>
      </c>
      <c r="Z418" s="43"/>
      <c r="AA418" s="43" t="s">
        <v>130</v>
      </c>
      <c r="AB418" s="43" t="s">
        <v>130</v>
      </c>
      <c r="AC418" s="43"/>
      <c r="AD418" s="43"/>
      <c r="AE418" s="43"/>
      <c r="AF418" s="43"/>
      <c r="AG418" s="45"/>
      <c r="AH418" s="1"/>
      <c r="AI418" s="1"/>
      <c r="AJ418" s="1"/>
    </row>
    <row r="419" spans="1:36">
      <c r="A419" s="38" t="s">
        <v>3047</v>
      </c>
      <c r="B419" s="36" t="s">
        <v>4283</v>
      </c>
      <c r="C419" s="38" t="s">
        <v>4361</v>
      </c>
      <c r="D419" s="57" t="s">
        <v>4362</v>
      </c>
      <c r="E419" s="38" t="s">
        <v>4361</v>
      </c>
      <c r="F419" s="38" t="s">
        <v>130</v>
      </c>
      <c r="G419" s="36" t="s">
        <v>4325</v>
      </c>
      <c r="H419" s="38" t="s">
        <v>4326</v>
      </c>
      <c r="I419" s="40" t="s">
        <v>130</v>
      </c>
      <c r="J419" s="36" t="s">
        <v>94</v>
      </c>
      <c r="K419" s="36" t="s">
        <v>94</v>
      </c>
      <c r="L419" s="38" t="s">
        <v>4290</v>
      </c>
      <c r="M419" s="38" t="s">
        <v>4363</v>
      </c>
      <c r="N419" s="36" t="s">
        <v>4364</v>
      </c>
      <c r="O419" s="36" t="s">
        <v>4283</v>
      </c>
      <c r="P419" s="36" t="s">
        <v>4363</v>
      </c>
      <c r="Q419" s="36" t="s">
        <v>4365</v>
      </c>
      <c r="R419" s="36" t="s">
        <v>164</v>
      </c>
      <c r="S419" s="42" t="s">
        <v>5070</v>
      </c>
      <c r="T419" s="43" t="s">
        <v>4366</v>
      </c>
      <c r="U419" s="44" t="s">
        <v>4360</v>
      </c>
      <c r="V419" s="43"/>
      <c r="W419" s="43"/>
      <c r="X419" s="43"/>
      <c r="Y419" s="43"/>
      <c r="Z419" s="43" t="s">
        <v>130</v>
      </c>
      <c r="AA419" s="43" t="s">
        <v>130</v>
      </c>
      <c r="AB419" s="43" t="s">
        <v>130</v>
      </c>
      <c r="AC419" s="43"/>
      <c r="AD419" s="43"/>
      <c r="AE419" s="43"/>
      <c r="AF419" s="43"/>
      <c r="AG419" s="45"/>
      <c r="AH419" s="1"/>
      <c r="AI419" s="1"/>
      <c r="AJ419" s="1"/>
    </row>
    <row r="420" spans="1:36">
      <c r="A420" s="38" t="s">
        <v>3047</v>
      </c>
      <c r="B420" s="36" t="s">
        <v>4283</v>
      </c>
      <c r="C420" s="38" t="s">
        <v>4367</v>
      </c>
      <c r="D420" s="38" t="s">
        <v>4369</v>
      </c>
      <c r="E420" s="38" t="s">
        <v>4367</v>
      </c>
      <c r="F420" s="38" t="s">
        <v>130</v>
      </c>
      <c r="G420" s="36" t="s">
        <v>4370</v>
      </c>
      <c r="H420" s="38" t="s">
        <v>4371</v>
      </c>
      <c r="I420" s="40" t="s">
        <v>130</v>
      </c>
      <c r="J420" s="36" t="s">
        <v>94</v>
      </c>
      <c r="K420" s="36" t="s">
        <v>94</v>
      </c>
      <c r="L420" s="38" t="s">
        <v>4290</v>
      </c>
      <c r="M420" s="38" t="s">
        <v>4372</v>
      </c>
      <c r="N420" s="36" t="s">
        <v>4373</v>
      </c>
      <c r="O420" s="36" t="s">
        <v>4283</v>
      </c>
      <c r="P420" s="36" t="s">
        <v>4372</v>
      </c>
      <c r="Q420" s="36" t="s">
        <v>4374</v>
      </c>
      <c r="R420" s="36" t="s">
        <v>164</v>
      </c>
      <c r="S420" s="42" t="s">
        <v>5076</v>
      </c>
      <c r="T420" s="43" t="s">
        <v>4375</v>
      </c>
      <c r="U420" s="44" t="s">
        <v>4376</v>
      </c>
      <c r="V420" s="43"/>
      <c r="W420" s="43"/>
      <c r="X420" s="43"/>
      <c r="Y420" s="43"/>
      <c r="Z420" s="43"/>
      <c r="AA420" s="43" t="s">
        <v>130</v>
      </c>
      <c r="AB420" s="43" t="s">
        <v>130</v>
      </c>
      <c r="AC420" s="43"/>
      <c r="AD420" s="43"/>
      <c r="AE420" s="43"/>
      <c r="AF420" s="43"/>
      <c r="AG420" s="45"/>
      <c r="AH420" s="1"/>
      <c r="AI420" s="1"/>
      <c r="AJ420" s="1"/>
    </row>
    <row r="421" spans="1:36">
      <c r="A421" s="38" t="s">
        <v>3047</v>
      </c>
      <c r="B421" s="36" t="s">
        <v>4283</v>
      </c>
      <c r="C421" s="38" t="s">
        <v>4377</v>
      </c>
      <c r="D421" s="38" t="s">
        <v>4378</v>
      </c>
      <c r="E421" s="38" t="s">
        <v>4377</v>
      </c>
      <c r="F421" s="38" t="s">
        <v>130</v>
      </c>
      <c r="G421" s="36" t="s">
        <v>4370</v>
      </c>
      <c r="H421" s="38" t="s">
        <v>4371</v>
      </c>
      <c r="I421" s="40" t="s">
        <v>130</v>
      </c>
      <c r="J421" s="36" t="s">
        <v>94</v>
      </c>
      <c r="K421" s="36" t="s">
        <v>94</v>
      </c>
      <c r="L421" s="38" t="s">
        <v>4290</v>
      </c>
      <c r="M421" s="38" t="s">
        <v>4380</v>
      </c>
      <c r="N421" s="36" t="s">
        <v>4381</v>
      </c>
      <c r="O421" s="36" t="s">
        <v>4283</v>
      </c>
      <c r="P421" s="36" t="s">
        <v>4380</v>
      </c>
      <c r="Q421" s="36" t="s">
        <v>4383</v>
      </c>
      <c r="R421" s="36" t="s">
        <v>164</v>
      </c>
      <c r="S421" s="42" t="s">
        <v>5105</v>
      </c>
      <c r="T421" s="43" t="s">
        <v>4384</v>
      </c>
      <c r="U421" s="44" t="s">
        <v>4385</v>
      </c>
      <c r="V421" s="43" t="s">
        <v>130</v>
      </c>
      <c r="W421" s="43" t="s">
        <v>130</v>
      </c>
      <c r="X421" s="43" t="s">
        <v>130</v>
      </c>
      <c r="Y421" s="43" t="s">
        <v>130</v>
      </c>
      <c r="Z421" s="43" t="s">
        <v>130</v>
      </c>
      <c r="AA421" s="43" t="s">
        <v>130</v>
      </c>
      <c r="AB421" s="43" t="s">
        <v>130</v>
      </c>
      <c r="AC421" s="43"/>
      <c r="AD421" s="43"/>
      <c r="AE421" s="43"/>
      <c r="AF421" s="43"/>
      <c r="AG421" s="45"/>
      <c r="AH421" s="1"/>
      <c r="AI421" s="1"/>
      <c r="AJ421" s="1"/>
    </row>
    <row r="422" spans="1:36">
      <c r="A422" s="38" t="s">
        <v>3047</v>
      </c>
      <c r="B422" s="36" t="s">
        <v>4283</v>
      </c>
      <c r="C422" s="38" t="s">
        <v>4386</v>
      </c>
      <c r="D422" s="38" t="s">
        <v>4387</v>
      </c>
      <c r="E422" s="38" t="s">
        <v>4386</v>
      </c>
      <c r="F422" s="38" t="s">
        <v>130</v>
      </c>
      <c r="G422" s="36" t="s">
        <v>4370</v>
      </c>
      <c r="H422" s="38" t="s">
        <v>4371</v>
      </c>
      <c r="I422" s="40"/>
      <c r="J422" s="36" t="s">
        <v>230</v>
      </c>
      <c r="K422" s="36" t="s">
        <v>94</v>
      </c>
      <c r="L422" s="38" t="s">
        <v>4290</v>
      </c>
      <c r="M422" s="38" t="s">
        <v>4388</v>
      </c>
      <c r="N422" s="36" t="s">
        <v>4389</v>
      </c>
      <c r="O422" s="36" t="s">
        <v>4283</v>
      </c>
      <c r="P422" s="36" t="s">
        <v>4388</v>
      </c>
      <c r="Q422" s="36" t="s">
        <v>4390</v>
      </c>
      <c r="R422" s="36" t="s">
        <v>1922</v>
      </c>
      <c r="S422" s="42" t="s">
        <v>5084</v>
      </c>
      <c r="T422" s="43" t="s">
        <v>4391</v>
      </c>
      <c r="U422" s="44" t="s">
        <v>4376</v>
      </c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5"/>
      <c r="AH422" s="1"/>
      <c r="AI422" s="1"/>
      <c r="AJ422" s="1"/>
    </row>
    <row r="423" spans="1:36">
      <c r="A423" s="38" t="s">
        <v>3047</v>
      </c>
      <c r="B423" s="36" t="s">
        <v>4283</v>
      </c>
      <c r="C423" s="38" t="s">
        <v>4393</v>
      </c>
      <c r="D423" s="38" t="s">
        <v>4394</v>
      </c>
      <c r="E423" s="38" t="s">
        <v>4393</v>
      </c>
      <c r="F423" s="38" t="s">
        <v>130</v>
      </c>
      <c r="G423" s="36" t="s">
        <v>4370</v>
      </c>
      <c r="H423" s="38" t="s">
        <v>4371</v>
      </c>
      <c r="I423" s="40" t="s">
        <v>130</v>
      </c>
      <c r="J423" s="36" t="s">
        <v>94</v>
      </c>
      <c r="K423" s="36" t="s">
        <v>94</v>
      </c>
      <c r="L423" s="38" t="s">
        <v>4290</v>
      </c>
      <c r="M423" s="38" t="s">
        <v>4395</v>
      </c>
      <c r="N423" s="36" t="s">
        <v>4396</v>
      </c>
      <c r="O423" s="36" t="s">
        <v>4283</v>
      </c>
      <c r="P423" s="36" t="s">
        <v>4395</v>
      </c>
      <c r="Q423" s="36" t="s">
        <v>4397</v>
      </c>
      <c r="R423" s="36" t="s">
        <v>164</v>
      </c>
      <c r="S423" s="42" t="s">
        <v>5069</v>
      </c>
      <c r="T423" s="43" t="s">
        <v>4398</v>
      </c>
      <c r="U423" s="44" t="s">
        <v>4376</v>
      </c>
      <c r="V423" s="43" t="s">
        <v>130</v>
      </c>
      <c r="W423" s="43" t="s">
        <v>130</v>
      </c>
      <c r="X423" s="43" t="s">
        <v>130</v>
      </c>
      <c r="Y423" s="43" t="s">
        <v>130</v>
      </c>
      <c r="Z423" s="43" t="s">
        <v>130</v>
      </c>
      <c r="AA423" s="43" t="s">
        <v>130</v>
      </c>
      <c r="AB423" s="43" t="s">
        <v>130</v>
      </c>
      <c r="AC423" s="43"/>
      <c r="AD423" s="43"/>
      <c r="AE423" s="43"/>
      <c r="AF423" s="43"/>
      <c r="AG423" s="45"/>
      <c r="AH423" s="1"/>
      <c r="AI423" s="1"/>
      <c r="AJ423" s="1"/>
    </row>
    <row r="424" spans="1:36">
      <c r="A424" s="38" t="s">
        <v>3047</v>
      </c>
      <c r="B424" s="36" t="s">
        <v>4283</v>
      </c>
      <c r="C424" s="38" t="s">
        <v>4402</v>
      </c>
      <c r="D424" s="38" t="s">
        <v>4403</v>
      </c>
      <c r="E424" s="38" t="s">
        <v>4402</v>
      </c>
      <c r="F424" s="38" t="s">
        <v>130</v>
      </c>
      <c r="G424" s="36" t="s">
        <v>4370</v>
      </c>
      <c r="H424" s="38" t="s">
        <v>4371</v>
      </c>
      <c r="I424" s="40"/>
      <c r="J424" s="36" t="s">
        <v>159</v>
      </c>
      <c r="K424" s="36" t="s">
        <v>94</v>
      </c>
      <c r="L424" s="38" t="s">
        <v>4290</v>
      </c>
      <c r="M424" s="38" t="s">
        <v>4404</v>
      </c>
      <c r="N424" s="36" t="s">
        <v>4405</v>
      </c>
      <c r="O424" s="36" t="s">
        <v>4283</v>
      </c>
      <c r="P424" s="36" t="s">
        <v>4404</v>
      </c>
      <c r="Q424" s="36" t="s">
        <v>4406</v>
      </c>
      <c r="R424" s="36" t="s">
        <v>4407</v>
      </c>
      <c r="S424" s="42" t="s">
        <v>5078</v>
      </c>
      <c r="T424" s="43" t="s">
        <v>4408</v>
      </c>
      <c r="U424" s="44" t="s">
        <v>4332</v>
      </c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5"/>
      <c r="AH424" s="1"/>
      <c r="AI424" s="1"/>
      <c r="AJ424" s="1"/>
    </row>
    <row r="425" spans="1:36">
      <c r="A425" s="36" t="s">
        <v>3047</v>
      </c>
      <c r="B425" s="172" t="s">
        <v>4409</v>
      </c>
      <c r="C425" s="36" t="s">
        <v>4413</v>
      </c>
      <c r="D425" s="57" t="s">
        <v>4414</v>
      </c>
      <c r="E425" s="38" t="s">
        <v>4415</v>
      </c>
      <c r="F425" s="36"/>
      <c r="G425" s="36" t="s">
        <v>4416</v>
      </c>
      <c r="H425" s="36" t="s">
        <v>4417</v>
      </c>
      <c r="I425" s="40" t="s">
        <v>130</v>
      </c>
      <c r="J425" s="36" t="s">
        <v>94</v>
      </c>
      <c r="K425" s="36" t="s">
        <v>94</v>
      </c>
      <c r="L425" s="36" t="s">
        <v>4290</v>
      </c>
      <c r="M425" s="36" t="s">
        <v>4419</v>
      </c>
      <c r="N425" s="36" t="s">
        <v>4420</v>
      </c>
      <c r="O425" s="36" t="s">
        <v>4421</v>
      </c>
      <c r="P425" s="36" t="s">
        <v>4422</v>
      </c>
      <c r="Q425" s="36" t="s">
        <v>4423</v>
      </c>
      <c r="R425" s="36" t="s">
        <v>164</v>
      </c>
      <c r="S425" s="42" t="s">
        <v>5144</v>
      </c>
      <c r="T425" s="43" t="s">
        <v>4424</v>
      </c>
      <c r="U425" s="44" t="s">
        <v>4425</v>
      </c>
      <c r="V425" s="43"/>
      <c r="W425" s="43"/>
      <c r="X425" s="43"/>
      <c r="Y425" s="43"/>
      <c r="Z425" s="43"/>
      <c r="AA425" s="43" t="s">
        <v>130</v>
      </c>
      <c r="AB425" s="43" t="s">
        <v>130</v>
      </c>
      <c r="AC425" s="43"/>
      <c r="AD425" s="43"/>
      <c r="AE425" s="43"/>
      <c r="AF425" s="43"/>
      <c r="AG425" s="45"/>
      <c r="AH425" s="1"/>
      <c r="AI425" s="1"/>
      <c r="AJ425" s="1"/>
    </row>
    <row r="426" spans="1:36">
      <c r="A426" s="36" t="s">
        <v>3047</v>
      </c>
      <c r="B426" s="189" t="s">
        <v>4409</v>
      </c>
      <c r="C426" s="36" t="s">
        <v>4427</v>
      </c>
      <c r="D426" s="61" t="s">
        <v>4428</v>
      </c>
      <c r="E426" s="38" t="s">
        <v>4429</v>
      </c>
      <c r="F426" s="36"/>
      <c r="G426" s="36" t="s">
        <v>4416</v>
      </c>
      <c r="H426" s="36" t="s">
        <v>4417</v>
      </c>
      <c r="I426" s="40"/>
      <c r="J426" s="36" t="s">
        <v>159</v>
      </c>
      <c r="K426" s="36" t="s">
        <v>94</v>
      </c>
      <c r="L426" s="36" t="s">
        <v>4290</v>
      </c>
      <c r="M426" s="36" t="s">
        <v>4430</v>
      </c>
      <c r="N426" s="36" t="s">
        <v>4431</v>
      </c>
      <c r="O426" s="36" t="s">
        <v>4421</v>
      </c>
      <c r="P426" s="36" t="s">
        <v>4432</v>
      </c>
      <c r="Q426" s="36" t="s">
        <v>4433</v>
      </c>
      <c r="R426" s="36" t="s">
        <v>4434</v>
      </c>
      <c r="S426" s="42" t="s">
        <v>5145</v>
      </c>
      <c r="T426" s="43" t="s">
        <v>4437</v>
      </c>
      <c r="U426" s="44" t="s">
        <v>4438</v>
      </c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5"/>
      <c r="AH426" s="1"/>
      <c r="AI426" s="1"/>
      <c r="AJ426" s="1"/>
    </row>
    <row r="427" spans="1:36">
      <c r="A427" s="36" t="s">
        <v>3047</v>
      </c>
      <c r="B427" s="172" t="s">
        <v>4409</v>
      </c>
      <c r="C427" s="36" t="s">
        <v>4439</v>
      </c>
      <c r="D427" s="36" t="s">
        <v>4440</v>
      </c>
      <c r="E427" s="38" t="s">
        <v>4441</v>
      </c>
      <c r="F427" s="36"/>
      <c r="G427" s="36" t="s">
        <v>4416</v>
      </c>
      <c r="H427" s="36" t="s">
        <v>4417</v>
      </c>
      <c r="I427" s="40"/>
      <c r="J427" s="36" t="s">
        <v>230</v>
      </c>
      <c r="K427" s="36" t="s">
        <v>94</v>
      </c>
      <c r="L427" s="36" t="s">
        <v>4290</v>
      </c>
      <c r="M427" s="36" t="s">
        <v>4442</v>
      </c>
      <c r="N427" s="36" t="s">
        <v>4443</v>
      </c>
      <c r="O427" s="36" t="s">
        <v>4421</v>
      </c>
      <c r="P427" s="36" t="s">
        <v>4442</v>
      </c>
      <c r="Q427" s="36" t="s">
        <v>4444</v>
      </c>
      <c r="R427" s="36" t="s">
        <v>4036</v>
      </c>
      <c r="S427" s="42" t="s">
        <v>5129</v>
      </c>
      <c r="T427" s="43" t="s">
        <v>4447</v>
      </c>
      <c r="U427" s="44" t="s">
        <v>4448</v>
      </c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5"/>
      <c r="AH427" s="1"/>
      <c r="AI427" s="1"/>
      <c r="AJ427" s="1"/>
    </row>
    <row r="428" spans="1:36">
      <c r="A428" s="36" t="s">
        <v>3047</v>
      </c>
      <c r="B428" s="172" t="s">
        <v>4409</v>
      </c>
      <c r="C428" s="36" t="s">
        <v>4449</v>
      </c>
      <c r="D428" s="36" t="s">
        <v>4450</v>
      </c>
      <c r="E428" s="38" t="s">
        <v>4451</v>
      </c>
      <c r="F428" s="36"/>
      <c r="G428" s="36" t="s">
        <v>4416</v>
      </c>
      <c r="H428" s="36" t="s">
        <v>4417</v>
      </c>
      <c r="I428" s="40"/>
      <c r="J428" s="36" t="s">
        <v>1014</v>
      </c>
      <c r="K428" s="36" t="s">
        <v>94</v>
      </c>
      <c r="L428" s="36" t="s">
        <v>4290</v>
      </c>
      <c r="M428" s="36" t="s">
        <v>4452</v>
      </c>
      <c r="N428" s="36" t="s">
        <v>4453</v>
      </c>
      <c r="O428" s="36" t="s">
        <v>4421</v>
      </c>
      <c r="P428" s="36" t="s">
        <v>4452</v>
      </c>
      <c r="Q428" s="36" t="s">
        <v>4454</v>
      </c>
      <c r="R428" s="36" t="s">
        <v>4455</v>
      </c>
      <c r="S428" s="42" t="s">
        <v>5130</v>
      </c>
      <c r="T428" s="43" t="s">
        <v>4456</v>
      </c>
      <c r="U428" s="44" t="s">
        <v>4448</v>
      </c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5"/>
      <c r="AH428" s="1"/>
      <c r="AI428" s="1"/>
      <c r="AJ428" s="1"/>
    </row>
    <row r="429" spans="1:36">
      <c r="A429" s="36" t="s">
        <v>3047</v>
      </c>
      <c r="B429" s="36" t="s">
        <v>4459</v>
      </c>
      <c r="C429" s="36" t="s">
        <v>4460</v>
      </c>
      <c r="D429" s="57" t="s">
        <v>4461</v>
      </c>
      <c r="E429" s="38" t="s">
        <v>3287</v>
      </c>
      <c r="F429" s="36"/>
      <c r="G429" s="36" t="s">
        <v>4462</v>
      </c>
      <c r="H429" s="36" t="s">
        <v>4463</v>
      </c>
      <c r="I429" s="40"/>
      <c r="J429" s="36" t="s">
        <v>94</v>
      </c>
      <c r="K429" s="36" t="s">
        <v>94</v>
      </c>
      <c r="L429" s="36" t="s">
        <v>4290</v>
      </c>
      <c r="M429" s="36" t="s">
        <v>4464</v>
      </c>
      <c r="N429" s="36" t="s">
        <v>4465</v>
      </c>
      <c r="O429" s="36" t="s">
        <v>4459</v>
      </c>
      <c r="P429" s="36" t="s">
        <v>4466</v>
      </c>
      <c r="Q429" s="36" t="s">
        <v>4467</v>
      </c>
      <c r="R429" s="36" t="s">
        <v>4468</v>
      </c>
      <c r="S429" s="42" t="s">
        <v>5137</v>
      </c>
      <c r="T429" s="43" t="s">
        <v>4469</v>
      </c>
      <c r="U429" s="44" t="s">
        <v>4470</v>
      </c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5"/>
      <c r="AH429" s="1"/>
      <c r="AI429" s="1"/>
      <c r="AJ429" s="1"/>
    </row>
    <row r="430" spans="1:36">
      <c r="A430" s="36" t="s">
        <v>3047</v>
      </c>
      <c r="B430" s="36" t="s">
        <v>4459</v>
      </c>
      <c r="C430" s="36" t="s">
        <v>4471</v>
      </c>
      <c r="D430" s="36" t="s">
        <v>4472</v>
      </c>
      <c r="E430" s="38" t="s">
        <v>3269</v>
      </c>
      <c r="F430" s="36"/>
      <c r="G430" s="36" t="s">
        <v>4462</v>
      </c>
      <c r="H430" s="36" t="s">
        <v>4463</v>
      </c>
      <c r="I430" s="40"/>
      <c r="J430" s="36" t="s">
        <v>230</v>
      </c>
      <c r="K430" s="36" t="s">
        <v>94</v>
      </c>
      <c r="L430" s="36" t="s">
        <v>4290</v>
      </c>
      <c r="M430" s="36" t="s">
        <v>4475</v>
      </c>
      <c r="N430" s="36" t="s">
        <v>4476</v>
      </c>
      <c r="O430" s="36" t="s">
        <v>4459</v>
      </c>
      <c r="P430" s="36" t="s">
        <v>4477</v>
      </c>
      <c r="Q430" s="36" t="s">
        <v>4478</v>
      </c>
      <c r="R430" s="36" t="s">
        <v>4479</v>
      </c>
      <c r="S430" s="42" t="s">
        <v>5133</v>
      </c>
      <c r="T430" s="43" t="s">
        <v>4480</v>
      </c>
      <c r="U430" s="44" t="s">
        <v>4481</v>
      </c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5"/>
      <c r="AH430" s="1"/>
      <c r="AI430" s="1"/>
      <c r="AJ430" s="1"/>
    </row>
    <row r="431" spans="1:36">
      <c r="A431" s="36" t="s">
        <v>3047</v>
      </c>
      <c r="B431" s="36" t="s">
        <v>4459</v>
      </c>
      <c r="C431" s="36" t="s">
        <v>4482</v>
      </c>
      <c r="D431" s="57" t="s">
        <v>4483</v>
      </c>
      <c r="E431" s="38" t="s">
        <v>3279</v>
      </c>
      <c r="F431" s="36"/>
      <c r="G431" s="36" t="s">
        <v>4462</v>
      </c>
      <c r="H431" s="36" t="s">
        <v>4463</v>
      </c>
      <c r="I431" s="40"/>
      <c r="J431" s="36" t="s">
        <v>159</v>
      </c>
      <c r="K431" s="36" t="s">
        <v>94</v>
      </c>
      <c r="L431" s="36" t="s">
        <v>4290</v>
      </c>
      <c r="M431" s="36" t="s">
        <v>4484</v>
      </c>
      <c r="N431" s="36" t="s">
        <v>4485</v>
      </c>
      <c r="O431" s="36" t="s">
        <v>4459</v>
      </c>
      <c r="P431" s="36" t="s">
        <v>4486</v>
      </c>
      <c r="Q431" s="36" t="s">
        <v>4487</v>
      </c>
      <c r="R431" s="36" t="s">
        <v>4488</v>
      </c>
      <c r="S431" s="42" t="s">
        <v>5131</v>
      </c>
      <c r="T431" s="43" t="s">
        <v>4490</v>
      </c>
      <c r="U431" s="44" t="s">
        <v>4470</v>
      </c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5"/>
      <c r="AH431" s="1"/>
      <c r="AI431" s="1"/>
      <c r="AJ431" s="1"/>
    </row>
    <row r="432" spans="1:36">
      <c r="A432" s="36" t="s">
        <v>3047</v>
      </c>
      <c r="B432" s="36" t="s">
        <v>4459</v>
      </c>
      <c r="C432" s="36" t="s">
        <v>4491</v>
      </c>
      <c r="D432" s="61" t="s">
        <v>4492</v>
      </c>
      <c r="E432" s="38" t="s">
        <v>3092</v>
      </c>
      <c r="F432" s="36"/>
      <c r="G432" s="36" t="s">
        <v>4462</v>
      </c>
      <c r="H432" s="36" t="s">
        <v>4463</v>
      </c>
      <c r="I432" s="40" t="s">
        <v>130</v>
      </c>
      <c r="J432" s="36" t="s">
        <v>290</v>
      </c>
      <c r="K432" s="36" t="s">
        <v>94</v>
      </c>
      <c r="L432" s="36" t="s">
        <v>4290</v>
      </c>
      <c r="M432" s="36" t="s">
        <v>4493</v>
      </c>
      <c r="N432" s="36" t="s">
        <v>4494</v>
      </c>
      <c r="O432" s="36" t="s">
        <v>4459</v>
      </c>
      <c r="P432" s="36" t="s">
        <v>4495</v>
      </c>
      <c r="Q432" s="36" t="s">
        <v>4496</v>
      </c>
      <c r="R432" s="36" t="s">
        <v>4462</v>
      </c>
      <c r="S432" s="42" t="s">
        <v>5134</v>
      </c>
      <c r="T432" s="43" t="s">
        <v>4498</v>
      </c>
      <c r="U432" s="44" t="s">
        <v>4470</v>
      </c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5"/>
      <c r="AH432" s="1"/>
      <c r="AI432" s="1"/>
      <c r="AJ432" s="1"/>
    </row>
    <row r="433" spans="1:36">
      <c r="A433" s="36" t="s">
        <v>3047</v>
      </c>
      <c r="B433" s="36" t="s">
        <v>4459</v>
      </c>
      <c r="C433" s="36" t="s">
        <v>4500</v>
      </c>
      <c r="D433" s="36" t="s">
        <v>4501</v>
      </c>
      <c r="E433" s="38" t="s">
        <v>4502</v>
      </c>
      <c r="F433" s="36"/>
      <c r="G433" s="36" t="s">
        <v>957</v>
      </c>
      <c r="H433" s="36" t="s">
        <v>4503</v>
      </c>
      <c r="I433" s="40"/>
      <c r="J433" s="36" t="s">
        <v>94</v>
      </c>
      <c r="K433" s="36" t="s">
        <v>94</v>
      </c>
      <c r="L433" s="36" t="s">
        <v>4290</v>
      </c>
      <c r="M433" s="36" t="s">
        <v>4504</v>
      </c>
      <c r="N433" s="36" t="s">
        <v>4505</v>
      </c>
      <c r="O433" s="36" t="s">
        <v>4459</v>
      </c>
      <c r="P433" s="36" t="s">
        <v>4504</v>
      </c>
      <c r="Q433" s="36" t="s">
        <v>4506</v>
      </c>
      <c r="R433" s="36" t="s">
        <v>4507</v>
      </c>
      <c r="S433" s="42" t="s">
        <v>5105</v>
      </c>
      <c r="T433" s="43" t="s">
        <v>4508</v>
      </c>
      <c r="U433" s="44" t="s">
        <v>4509</v>
      </c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5"/>
      <c r="AH433" s="1"/>
      <c r="AI433" s="1"/>
      <c r="AJ433" s="1"/>
    </row>
    <row r="434" spans="1:36">
      <c r="A434" s="36" t="s">
        <v>3047</v>
      </c>
      <c r="B434" s="36" t="s">
        <v>4459</v>
      </c>
      <c r="C434" s="36" t="s">
        <v>4511</v>
      </c>
      <c r="D434" s="36" t="s">
        <v>4512</v>
      </c>
      <c r="E434" s="38" t="s">
        <v>4513</v>
      </c>
      <c r="F434" s="36"/>
      <c r="G434" s="36" t="s">
        <v>957</v>
      </c>
      <c r="H434" s="36" t="s">
        <v>4503</v>
      </c>
      <c r="I434" s="40" t="s">
        <v>130</v>
      </c>
      <c r="J434" s="36" t="s">
        <v>94</v>
      </c>
      <c r="K434" s="36" t="s">
        <v>94</v>
      </c>
      <c r="L434" s="36" t="s">
        <v>4290</v>
      </c>
      <c r="M434" s="36" t="s">
        <v>3907</v>
      </c>
      <c r="N434" s="36" t="s">
        <v>4514</v>
      </c>
      <c r="O434" s="36" t="s">
        <v>4459</v>
      </c>
      <c r="P434" s="36" t="s">
        <v>3907</v>
      </c>
      <c r="Q434" s="36" t="s">
        <v>4515</v>
      </c>
      <c r="R434" s="36" t="s">
        <v>551</v>
      </c>
      <c r="S434" s="42" t="s">
        <v>5069</v>
      </c>
      <c r="T434" s="43" t="s">
        <v>4516</v>
      </c>
      <c r="U434" s="44" t="s">
        <v>4509</v>
      </c>
      <c r="V434" s="43" t="s">
        <v>130</v>
      </c>
      <c r="W434" s="43" t="s">
        <v>130</v>
      </c>
      <c r="X434" s="43" t="s">
        <v>130</v>
      </c>
      <c r="Y434" s="43" t="s">
        <v>130</v>
      </c>
      <c r="Z434" s="43"/>
      <c r="AA434" s="43" t="s">
        <v>130</v>
      </c>
      <c r="AB434" s="43" t="s">
        <v>130</v>
      </c>
      <c r="AC434" s="43"/>
      <c r="AD434" s="43"/>
      <c r="AE434" s="43"/>
      <c r="AF434" s="43"/>
      <c r="AG434" s="45"/>
      <c r="AH434" s="1"/>
      <c r="AI434" s="1"/>
      <c r="AJ434" s="1"/>
    </row>
    <row r="435" spans="1:36">
      <c r="A435" s="36" t="s">
        <v>3047</v>
      </c>
      <c r="B435" s="36" t="s">
        <v>4459</v>
      </c>
      <c r="C435" s="36" t="s">
        <v>4518</v>
      </c>
      <c r="D435" s="36" t="s">
        <v>4519</v>
      </c>
      <c r="E435" s="38" t="s">
        <v>4520</v>
      </c>
      <c r="F435" s="36"/>
      <c r="G435" s="36" t="s">
        <v>957</v>
      </c>
      <c r="H435" s="36" t="s">
        <v>4503</v>
      </c>
      <c r="I435" s="40"/>
      <c r="J435" s="36" t="s">
        <v>159</v>
      </c>
      <c r="K435" s="36" t="s">
        <v>94</v>
      </c>
      <c r="L435" s="36" t="s">
        <v>4290</v>
      </c>
      <c r="M435" s="36" t="s">
        <v>4521</v>
      </c>
      <c r="N435" s="36" t="s">
        <v>4522</v>
      </c>
      <c r="O435" s="36" t="s">
        <v>4459</v>
      </c>
      <c r="P435" s="36" t="s">
        <v>4521</v>
      </c>
      <c r="Q435" s="36" t="s">
        <v>4523</v>
      </c>
      <c r="R435" s="36" t="s">
        <v>4524</v>
      </c>
      <c r="S435" s="42" t="s">
        <v>5077</v>
      </c>
      <c r="T435" s="43" t="s">
        <v>4525</v>
      </c>
      <c r="U435" s="44" t="s">
        <v>4526</v>
      </c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5"/>
      <c r="AH435" s="1"/>
      <c r="AI435" s="1"/>
      <c r="AJ435" s="1"/>
    </row>
    <row r="436" spans="1:36">
      <c r="A436" s="36" t="s">
        <v>3047</v>
      </c>
      <c r="B436" s="36" t="s">
        <v>4459</v>
      </c>
      <c r="C436" s="36" t="s">
        <v>4527</v>
      </c>
      <c r="D436" s="36" t="s">
        <v>4528</v>
      </c>
      <c r="E436" s="38" t="s">
        <v>4500</v>
      </c>
      <c r="F436" s="36"/>
      <c r="G436" s="36" t="s">
        <v>957</v>
      </c>
      <c r="H436" s="36" t="s">
        <v>4503</v>
      </c>
      <c r="I436" s="40"/>
      <c r="J436" s="36" t="s">
        <v>159</v>
      </c>
      <c r="K436" s="36" t="s">
        <v>94</v>
      </c>
      <c r="L436" s="36" t="s">
        <v>4290</v>
      </c>
      <c r="M436" s="36" t="s">
        <v>4530</v>
      </c>
      <c r="N436" s="36" t="s">
        <v>4531</v>
      </c>
      <c r="O436" s="36" t="s">
        <v>4459</v>
      </c>
      <c r="P436" s="36" t="s">
        <v>4532</v>
      </c>
      <c r="Q436" s="36" t="s">
        <v>4533</v>
      </c>
      <c r="R436" s="36" t="s">
        <v>4534</v>
      </c>
      <c r="S436" s="42" t="s">
        <v>5085</v>
      </c>
      <c r="T436" s="43" t="s">
        <v>4535</v>
      </c>
      <c r="U436" s="44" t="s">
        <v>4536</v>
      </c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5"/>
      <c r="AH436" s="1"/>
      <c r="AI436" s="1"/>
      <c r="AJ436" s="1"/>
    </row>
    <row r="437" spans="1:36">
      <c r="A437" s="36" t="s">
        <v>3047</v>
      </c>
      <c r="B437" s="36" t="s">
        <v>4459</v>
      </c>
      <c r="C437" s="36" t="s">
        <v>4415</v>
      </c>
      <c r="D437" s="36" t="s">
        <v>4537</v>
      </c>
      <c r="E437" s="38" t="s">
        <v>4538</v>
      </c>
      <c r="F437" s="36"/>
      <c r="G437" s="36" t="s">
        <v>957</v>
      </c>
      <c r="H437" s="36" t="s">
        <v>4503</v>
      </c>
      <c r="I437" s="40"/>
      <c r="J437" s="36" t="s">
        <v>94</v>
      </c>
      <c r="K437" s="36" t="s">
        <v>94</v>
      </c>
      <c r="L437" s="36" t="s">
        <v>4290</v>
      </c>
      <c r="M437" s="36" t="s">
        <v>4539</v>
      </c>
      <c r="N437" s="36" t="s">
        <v>4540</v>
      </c>
      <c r="O437" s="36" t="s">
        <v>4459</v>
      </c>
      <c r="P437" s="36" t="s">
        <v>4541</v>
      </c>
      <c r="Q437" s="36" t="s">
        <v>4542</v>
      </c>
      <c r="R437" s="36" t="s">
        <v>4543</v>
      </c>
      <c r="S437" s="42" t="s">
        <v>5074</v>
      </c>
      <c r="T437" s="43" t="s">
        <v>4544</v>
      </c>
      <c r="U437" s="44" t="s">
        <v>4545</v>
      </c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5"/>
      <c r="AH437" s="1"/>
      <c r="AI437" s="1"/>
      <c r="AJ437" s="1"/>
    </row>
    <row r="438" spans="1:36">
      <c r="A438" s="36" t="s">
        <v>3047</v>
      </c>
      <c r="B438" s="36" t="s">
        <v>4459</v>
      </c>
      <c r="C438" s="36" t="s">
        <v>4546</v>
      </c>
      <c r="D438" s="57" t="s">
        <v>4547</v>
      </c>
      <c r="E438" s="38" t="s">
        <v>4548</v>
      </c>
      <c r="F438" s="36"/>
      <c r="G438" s="36" t="s">
        <v>435</v>
      </c>
      <c r="H438" s="36" t="s">
        <v>4549</v>
      </c>
      <c r="I438" s="40" t="s">
        <v>130</v>
      </c>
      <c r="J438" s="36" t="s">
        <v>94</v>
      </c>
      <c r="K438" s="36" t="s">
        <v>94</v>
      </c>
      <c r="L438" s="36" t="s">
        <v>4290</v>
      </c>
      <c r="M438" s="36" t="s">
        <v>4550</v>
      </c>
      <c r="N438" s="36" t="s">
        <v>4551</v>
      </c>
      <c r="O438" s="36" t="s">
        <v>4459</v>
      </c>
      <c r="P438" s="36" t="s">
        <v>4550</v>
      </c>
      <c r="Q438" s="36" t="s">
        <v>4552</v>
      </c>
      <c r="R438" s="36" t="s">
        <v>164</v>
      </c>
      <c r="S438" s="42" t="s">
        <v>5075</v>
      </c>
      <c r="T438" s="43" t="s">
        <v>4553</v>
      </c>
      <c r="U438" s="44" t="s">
        <v>4545</v>
      </c>
      <c r="V438" s="43"/>
      <c r="W438" s="43"/>
      <c r="X438" s="43" t="s">
        <v>130</v>
      </c>
      <c r="Y438" s="43" t="s">
        <v>130</v>
      </c>
      <c r="Z438" s="43" t="s">
        <v>130</v>
      </c>
      <c r="AA438" s="43" t="s">
        <v>130</v>
      </c>
      <c r="AB438" s="43" t="s">
        <v>130</v>
      </c>
      <c r="AC438" s="43"/>
      <c r="AD438" s="43"/>
      <c r="AE438" s="43"/>
      <c r="AF438" s="43"/>
      <c r="AG438" s="45"/>
      <c r="AH438" s="1"/>
      <c r="AI438" s="1"/>
      <c r="AJ438" s="1"/>
    </row>
    <row r="439" spans="1:36">
      <c r="A439" s="38" t="s">
        <v>3047</v>
      </c>
      <c r="B439" s="36" t="s">
        <v>4459</v>
      </c>
      <c r="C439" s="38" t="s">
        <v>4554</v>
      </c>
      <c r="D439" s="38" t="s">
        <v>4556</v>
      </c>
      <c r="E439" s="38" t="s">
        <v>4557</v>
      </c>
      <c r="F439" s="38"/>
      <c r="G439" s="36" t="s">
        <v>4558</v>
      </c>
      <c r="H439" s="38" t="s">
        <v>4559</v>
      </c>
      <c r="I439" s="40"/>
      <c r="J439" s="36" t="s">
        <v>1369</v>
      </c>
      <c r="K439" s="36" t="s">
        <v>94</v>
      </c>
      <c r="L439" s="38" t="s">
        <v>4290</v>
      </c>
      <c r="M439" s="38" t="s">
        <v>4560</v>
      </c>
      <c r="N439" s="36" t="s">
        <v>4561</v>
      </c>
      <c r="O439" s="36" t="s">
        <v>4421</v>
      </c>
      <c r="P439" s="36" t="s">
        <v>3063</v>
      </c>
      <c r="Q439" s="36" t="s">
        <v>4562</v>
      </c>
      <c r="R439" s="36" t="s">
        <v>2580</v>
      </c>
      <c r="S439" s="42" t="s">
        <v>5091</v>
      </c>
      <c r="T439" s="43" t="s">
        <v>4563</v>
      </c>
      <c r="U439" s="44" t="s">
        <v>2580</v>
      </c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5"/>
      <c r="AH439" s="1"/>
      <c r="AI439" s="1"/>
      <c r="AJ439" s="1"/>
    </row>
    <row r="440" spans="1:36">
      <c r="A440" s="38" t="s">
        <v>3047</v>
      </c>
      <c r="B440" s="36" t="s">
        <v>4459</v>
      </c>
      <c r="C440" s="38" t="s">
        <v>4564</v>
      </c>
      <c r="D440" s="38" t="s">
        <v>4565</v>
      </c>
      <c r="E440" s="38" t="s">
        <v>4566</v>
      </c>
      <c r="F440" s="38"/>
      <c r="G440" s="36" t="s">
        <v>4558</v>
      </c>
      <c r="H440" s="38" t="s">
        <v>4559</v>
      </c>
      <c r="I440" s="40" t="s">
        <v>130</v>
      </c>
      <c r="J440" s="36" t="s">
        <v>94</v>
      </c>
      <c r="K440" s="36" t="s">
        <v>94</v>
      </c>
      <c r="L440" s="38" t="s">
        <v>4290</v>
      </c>
      <c r="M440" s="38" t="s">
        <v>4567</v>
      </c>
      <c r="N440" s="36" t="s">
        <v>4568</v>
      </c>
      <c r="O440" s="36" t="s">
        <v>4421</v>
      </c>
      <c r="P440" s="36" t="s">
        <v>3072</v>
      </c>
      <c r="Q440" s="36" t="s">
        <v>4569</v>
      </c>
      <c r="R440" s="36" t="s">
        <v>164</v>
      </c>
      <c r="S440" s="42" t="s">
        <v>5092</v>
      </c>
      <c r="T440" s="43" t="s">
        <v>4570</v>
      </c>
      <c r="U440" s="44" t="s">
        <v>2580</v>
      </c>
      <c r="V440" s="43" t="s">
        <v>130</v>
      </c>
      <c r="W440" s="43" t="s">
        <v>130</v>
      </c>
      <c r="X440" s="43" t="s">
        <v>130</v>
      </c>
      <c r="Y440" s="43" t="s">
        <v>130</v>
      </c>
      <c r="Z440" s="43" t="s">
        <v>130</v>
      </c>
      <c r="AA440" s="43" t="s">
        <v>130</v>
      </c>
      <c r="AB440" s="43" t="s">
        <v>130</v>
      </c>
      <c r="AC440" s="43"/>
      <c r="AD440" s="43"/>
      <c r="AE440" s="43"/>
      <c r="AF440" s="43"/>
      <c r="AG440" s="45"/>
      <c r="AH440" s="1"/>
      <c r="AI440" s="1"/>
      <c r="AJ440" s="1"/>
    </row>
    <row r="441" spans="1:36">
      <c r="A441" s="38" t="s">
        <v>3047</v>
      </c>
      <c r="B441" s="36" t="s">
        <v>4459</v>
      </c>
      <c r="C441" s="38" t="s">
        <v>4571</v>
      </c>
      <c r="D441" s="38" t="s">
        <v>4572</v>
      </c>
      <c r="E441" s="38" t="s">
        <v>4573</v>
      </c>
      <c r="F441" s="38"/>
      <c r="G441" s="36" t="s">
        <v>4558</v>
      </c>
      <c r="H441" s="38" t="s">
        <v>4559</v>
      </c>
      <c r="I441" s="40" t="s">
        <v>130</v>
      </c>
      <c r="J441" s="36" t="s">
        <v>94</v>
      </c>
      <c r="K441" s="36" t="s">
        <v>94</v>
      </c>
      <c r="L441" s="38" t="s">
        <v>4290</v>
      </c>
      <c r="M441" s="38" t="s">
        <v>4575</v>
      </c>
      <c r="N441" s="36" t="s">
        <v>4576</v>
      </c>
      <c r="O441" s="36" t="s">
        <v>4421</v>
      </c>
      <c r="P441" s="36" t="s">
        <v>3084</v>
      </c>
      <c r="Q441" s="36" t="s">
        <v>4577</v>
      </c>
      <c r="R441" s="36" t="s">
        <v>164</v>
      </c>
      <c r="S441" s="42" t="s">
        <v>5094</v>
      </c>
      <c r="T441" s="43" t="s">
        <v>4578</v>
      </c>
      <c r="U441" s="44" t="s">
        <v>4579</v>
      </c>
      <c r="V441" s="43" t="s">
        <v>130</v>
      </c>
      <c r="W441" s="43"/>
      <c r="X441" s="43" t="s">
        <v>130</v>
      </c>
      <c r="Y441" s="43" t="s">
        <v>130</v>
      </c>
      <c r="Z441" s="43" t="s">
        <v>130</v>
      </c>
      <c r="AA441" s="43" t="s">
        <v>130</v>
      </c>
      <c r="AB441" s="43" t="s">
        <v>130</v>
      </c>
      <c r="AC441" s="43"/>
      <c r="AD441" s="43"/>
      <c r="AE441" s="43"/>
      <c r="AF441" s="43"/>
      <c r="AG441" s="45"/>
      <c r="AH441" s="1"/>
      <c r="AI441" s="1"/>
      <c r="AJ441" s="1"/>
    </row>
    <row r="442" spans="1:36">
      <c r="A442" s="38" t="s">
        <v>3047</v>
      </c>
      <c r="B442" s="36" t="s">
        <v>4459</v>
      </c>
      <c r="C442" s="38" t="s">
        <v>4580</v>
      </c>
      <c r="D442" s="38" t="s">
        <v>4581</v>
      </c>
      <c r="E442" s="38" t="s">
        <v>4062</v>
      </c>
      <c r="F442" s="38"/>
      <c r="G442" s="36" t="s">
        <v>4558</v>
      </c>
      <c r="H442" s="38" t="s">
        <v>4559</v>
      </c>
      <c r="I442" s="40" t="s">
        <v>130</v>
      </c>
      <c r="J442" s="36" t="s">
        <v>94</v>
      </c>
      <c r="K442" s="36" t="s">
        <v>94</v>
      </c>
      <c r="L442" s="38" t="s">
        <v>4290</v>
      </c>
      <c r="M442" s="38" t="s">
        <v>4582</v>
      </c>
      <c r="N442" s="36" t="s">
        <v>4583</v>
      </c>
      <c r="O442" s="36" t="s">
        <v>4421</v>
      </c>
      <c r="P442" s="36" t="s">
        <v>4584</v>
      </c>
      <c r="Q442" s="36" t="s">
        <v>4585</v>
      </c>
      <c r="R442" s="36" t="s">
        <v>164</v>
      </c>
      <c r="S442" s="42" t="s">
        <v>5107</v>
      </c>
      <c r="T442" s="43" t="s">
        <v>4587</v>
      </c>
      <c r="U442" s="44" t="s">
        <v>4579</v>
      </c>
      <c r="V442" s="43" t="s">
        <v>130</v>
      </c>
      <c r="W442" s="43" t="s">
        <v>130</v>
      </c>
      <c r="X442" s="43" t="s">
        <v>130</v>
      </c>
      <c r="Y442" s="43" t="s">
        <v>130</v>
      </c>
      <c r="Z442" s="43" t="s">
        <v>130</v>
      </c>
      <c r="AA442" s="43" t="s">
        <v>130</v>
      </c>
      <c r="AB442" s="43" t="s">
        <v>130</v>
      </c>
      <c r="AC442" s="43"/>
      <c r="AD442" s="43"/>
      <c r="AE442" s="43"/>
      <c r="AF442" s="43"/>
      <c r="AG442" s="45"/>
      <c r="AH442" s="1"/>
      <c r="AI442" s="1"/>
      <c r="AJ442" s="1"/>
    </row>
    <row r="443" spans="1:36">
      <c r="A443" s="38" t="s">
        <v>3047</v>
      </c>
      <c r="B443" s="36" t="s">
        <v>4459</v>
      </c>
      <c r="C443" s="38" t="s">
        <v>4588</v>
      </c>
      <c r="D443" s="61" t="s">
        <v>4589</v>
      </c>
      <c r="E443" s="38" t="s">
        <v>4069</v>
      </c>
      <c r="F443" s="38"/>
      <c r="G443" s="36" t="s">
        <v>4558</v>
      </c>
      <c r="H443" s="38" t="s">
        <v>4559</v>
      </c>
      <c r="I443" s="40" t="s">
        <v>130</v>
      </c>
      <c r="J443" s="36" t="s">
        <v>94</v>
      </c>
      <c r="K443" s="36" t="s">
        <v>94</v>
      </c>
      <c r="L443" s="38" t="s">
        <v>4290</v>
      </c>
      <c r="M443" s="38" t="s">
        <v>4590</v>
      </c>
      <c r="N443" s="36" t="s">
        <v>4591</v>
      </c>
      <c r="O443" s="36" t="s">
        <v>4421</v>
      </c>
      <c r="P443" s="36" t="s">
        <v>3198</v>
      </c>
      <c r="Q443" s="36" t="s">
        <v>4592</v>
      </c>
      <c r="R443" s="36" t="s">
        <v>164</v>
      </c>
      <c r="S443" s="42" t="s">
        <v>5116</v>
      </c>
      <c r="T443" s="43" t="s">
        <v>4593</v>
      </c>
      <c r="U443" s="44" t="s">
        <v>4579</v>
      </c>
      <c r="V443" s="43" t="s">
        <v>130</v>
      </c>
      <c r="W443" s="43"/>
      <c r="X443" s="43" t="s">
        <v>130</v>
      </c>
      <c r="Y443" s="43" t="s">
        <v>130</v>
      </c>
      <c r="Z443" s="43" t="s">
        <v>130</v>
      </c>
      <c r="AA443" s="43" t="s">
        <v>130</v>
      </c>
      <c r="AB443" s="43" t="s">
        <v>130</v>
      </c>
      <c r="AC443" s="43"/>
      <c r="AD443" s="43"/>
      <c r="AE443" s="43"/>
      <c r="AF443" s="43"/>
      <c r="AG443" s="45"/>
      <c r="AH443" s="1"/>
      <c r="AI443" s="1"/>
      <c r="AJ443" s="1"/>
    </row>
    <row r="444" spans="1:36">
      <c r="A444" s="38" t="s">
        <v>3047</v>
      </c>
      <c r="B444" s="36" t="s">
        <v>4459</v>
      </c>
      <c r="C444" s="38" t="s">
        <v>4595</v>
      </c>
      <c r="D444" s="61" t="s">
        <v>4596</v>
      </c>
      <c r="E444" s="38" t="s">
        <v>4077</v>
      </c>
      <c r="F444" s="38"/>
      <c r="G444" s="36" t="s">
        <v>4558</v>
      </c>
      <c r="H444" s="38" t="s">
        <v>4559</v>
      </c>
      <c r="I444" s="40"/>
      <c r="J444" s="36" t="s">
        <v>1369</v>
      </c>
      <c r="K444" s="36" t="s">
        <v>94</v>
      </c>
      <c r="L444" s="38" t="s">
        <v>4290</v>
      </c>
      <c r="M444" s="38" t="s">
        <v>4597</v>
      </c>
      <c r="N444" s="36" t="s">
        <v>4598</v>
      </c>
      <c r="O444" s="36" t="s">
        <v>4421</v>
      </c>
      <c r="P444" s="36" t="s">
        <v>3208</v>
      </c>
      <c r="Q444" s="36" t="s">
        <v>4599</v>
      </c>
      <c r="R444" s="36" t="s">
        <v>4579</v>
      </c>
      <c r="S444" s="42" t="s">
        <v>5117</v>
      </c>
      <c r="T444" s="43" t="s">
        <v>4600</v>
      </c>
      <c r="U444" s="44" t="s">
        <v>4579</v>
      </c>
      <c r="V444" s="43"/>
      <c r="W444" s="43" t="s">
        <v>130</v>
      </c>
      <c r="X444" s="43"/>
      <c r="Y444" s="43"/>
      <c r="Z444" s="43"/>
      <c r="AA444" s="43"/>
      <c r="AB444" s="43"/>
      <c r="AC444" s="43"/>
      <c r="AD444" s="43"/>
      <c r="AE444" s="43"/>
      <c r="AF444" s="43"/>
      <c r="AG444" s="45"/>
      <c r="AH444" s="1"/>
      <c r="AI444" s="1"/>
      <c r="AJ444" s="1"/>
    </row>
    <row r="445" spans="1:36">
      <c r="A445" s="38" t="s">
        <v>3047</v>
      </c>
      <c r="B445" s="36" t="s">
        <v>4459</v>
      </c>
      <c r="C445" s="38" t="s">
        <v>4603</v>
      </c>
      <c r="D445" s="38" t="s">
        <v>4604</v>
      </c>
      <c r="E445" s="38" t="s">
        <v>4052</v>
      </c>
      <c r="F445" s="38"/>
      <c r="G445" s="36" t="s">
        <v>4558</v>
      </c>
      <c r="H445" s="38" t="s">
        <v>4559</v>
      </c>
      <c r="I445" s="40"/>
      <c r="J445" s="36" t="s">
        <v>230</v>
      </c>
      <c r="K445" s="36" t="s">
        <v>94</v>
      </c>
      <c r="L445" s="38" t="s">
        <v>4290</v>
      </c>
      <c r="M445" s="38" t="s">
        <v>4605</v>
      </c>
      <c r="N445" s="36" t="s">
        <v>4606</v>
      </c>
      <c r="O445" s="36" t="s">
        <v>4421</v>
      </c>
      <c r="P445" s="36" t="s">
        <v>3191</v>
      </c>
      <c r="Q445" s="36" t="s">
        <v>4607</v>
      </c>
      <c r="R445" s="36" t="s">
        <v>4608</v>
      </c>
      <c r="S445" s="42" t="s">
        <v>5118</v>
      </c>
      <c r="T445" s="43" t="s">
        <v>4609</v>
      </c>
      <c r="U445" s="44" t="s">
        <v>3232</v>
      </c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5"/>
      <c r="AH445" s="1"/>
      <c r="AI445" s="1"/>
      <c r="AJ445" s="1"/>
    </row>
    <row r="446" spans="1:36">
      <c r="A446" s="36" t="s">
        <v>3047</v>
      </c>
      <c r="B446" s="36" t="s">
        <v>4459</v>
      </c>
      <c r="C446" s="36" t="s">
        <v>4610</v>
      </c>
      <c r="D446" s="36" t="s">
        <v>4611</v>
      </c>
      <c r="E446" s="38" t="s">
        <v>4511</v>
      </c>
      <c r="F446" s="36"/>
      <c r="G446" s="36" t="s">
        <v>4612</v>
      </c>
      <c r="H446" s="36" t="s">
        <v>4613</v>
      </c>
      <c r="I446" s="40"/>
      <c r="J446" s="36" t="s">
        <v>159</v>
      </c>
      <c r="K446" s="36" t="s">
        <v>94</v>
      </c>
      <c r="L446" s="36" t="s">
        <v>4290</v>
      </c>
      <c r="M446" s="36" t="s">
        <v>4615</v>
      </c>
      <c r="N446" s="36" t="s">
        <v>4616</v>
      </c>
      <c r="O446" s="36" t="s">
        <v>4421</v>
      </c>
      <c r="P446" s="36" t="s">
        <v>4615</v>
      </c>
      <c r="Q446" s="36" t="s">
        <v>4618</v>
      </c>
      <c r="R446" s="36" t="s">
        <v>4619</v>
      </c>
      <c r="S446" s="42" t="s">
        <v>5139</v>
      </c>
      <c r="T446" s="43" t="s">
        <v>4620</v>
      </c>
      <c r="U446" s="44" t="s">
        <v>4621</v>
      </c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5"/>
      <c r="AH446" s="1"/>
      <c r="AI446" s="1"/>
      <c r="AJ446" s="1"/>
    </row>
    <row r="447" spans="1:36">
      <c r="A447" s="36" t="s">
        <v>3047</v>
      </c>
      <c r="B447" s="36" t="s">
        <v>4459</v>
      </c>
      <c r="C447" s="36" t="s">
        <v>4622</v>
      </c>
      <c r="D447" s="36" t="s">
        <v>4623</v>
      </c>
      <c r="E447" s="38" t="s">
        <v>4518</v>
      </c>
      <c r="F447" s="36"/>
      <c r="G447" s="36" t="s">
        <v>4612</v>
      </c>
      <c r="H447" s="36" t="s">
        <v>4613</v>
      </c>
      <c r="I447" s="40"/>
      <c r="J447" s="36" t="s">
        <v>230</v>
      </c>
      <c r="K447" s="36" t="s">
        <v>94</v>
      </c>
      <c r="L447" s="36" t="s">
        <v>4290</v>
      </c>
      <c r="M447" s="36" t="s">
        <v>4624</v>
      </c>
      <c r="N447" s="36" t="s">
        <v>4625</v>
      </c>
      <c r="O447" s="36" t="s">
        <v>4421</v>
      </c>
      <c r="P447" s="36" t="s">
        <v>4624</v>
      </c>
      <c r="Q447" s="36" t="s">
        <v>4626</v>
      </c>
      <c r="R447" s="36" t="s">
        <v>4627</v>
      </c>
      <c r="S447" s="42" t="s">
        <v>5140</v>
      </c>
      <c r="T447" s="43" t="s">
        <v>4629</v>
      </c>
      <c r="U447" s="44" t="s">
        <v>4630</v>
      </c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5"/>
      <c r="AH447" s="1"/>
      <c r="AI447" s="1"/>
      <c r="AJ447" s="1"/>
    </row>
    <row r="448" spans="1:36">
      <c r="A448" s="36" t="s">
        <v>3047</v>
      </c>
      <c r="B448" s="36" t="s">
        <v>4459</v>
      </c>
      <c r="C448" s="36" t="s">
        <v>4632</v>
      </c>
      <c r="D448" s="36" t="s">
        <v>4633</v>
      </c>
      <c r="E448" s="38" t="s">
        <v>4634</v>
      </c>
      <c r="F448" s="36"/>
      <c r="G448" s="36" t="s">
        <v>4612</v>
      </c>
      <c r="H448" s="36" t="s">
        <v>4613</v>
      </c>
      <c r="I448" s="40"/>
      <c r="J448" s="36" t="s">
        <v>1369</v>
      </c>
      <c r="K448" s="36" t="s">
        <v>94</v>
      </c>
      <c r="L448" s="36" t="s">
        <v>4290</v>
      </c>
      <c r="M448" s="36" t="s">
        <v>4635</v>
      </c>
      <c r="N448" s="36" t="s">
        <v>4636</v>
      </c>
      <c r="O448" s="36" t="s">
        <v>4421</v>
      </c>
      <c r="P448" s="36" t="s">
        <v>4635</v>
      </c>
      <c r="Q448" s="36" t="s">
        <v>4637</v>
      </c>
      <c r="R448" s="36" t="s">
        <v>4638</v>
      </c>
      <c r="S448" s="42" t="s">
        <v>5138</v>
      </c>
      <c r="T448" s="43" t="s">
        <v>4639</v>
      </c>
      <c r="U448" s="44" t="s">
        <v>4621</v>
      </c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5"/>
      <c r="AH448" s="1"/>
      <c r="AI448" s="1"/>
      <c r="AJ448" s="1"/>
    </row>
    <row r="449" spans="1:36">
      <c r="A449" s="36" t="s">
        <v>3047</v>
      </c>
      <c r="B449" s="36" t="s">
        <v>4459</v>
      </c>
      <c r="C449" s="36" t="s">
        <v>4641</v>
      </c>
      <c r="D449" s="36" t="s">
        <v>4642</v>
      </c>
      <c r="E449" s="38" t="s">
        <v>4040</v>
      </c>
      <c r="F449" s="36"/>
      <c r="G449" s="36" t="s">
        <v>4612</v>
      </c>
      <c r="H449" s="36" t="s">
        <v>4613</v>
      </c>
      <c r="I449" s="40" t="s">
        <v>130</v>
      </c>
      <c r="J449" s="36" t="s">
        <v>94</v>
      </c>
      <c r="K449" s="36" t="s">
        <v>94</v>
      </c>
      <c r="L449" s="36" t="s">
        <v>4290</v>
      </c>
      <c r="M449" s="36" t="s">
        <v>4643</v>
      </c>
      <c r="N449" s="36" t="s">
        <v>4644</v>
      </c>
      <c r="O449" s="36" t="s">
        <v>4421</v>
      </c>
      <c r="P449" s="36" t="s">
        <v>3141</v>
      </c>
      <c r="Q449" s="36" t="s">
        <v>4645</v>
      </c>
      <c r="R449" s="36" t="s">
        <v>164</v>
      </c>
      <c r="S449" s="42" t="s">
        <v>5093</v>
      </c>
      <c r="T449" s="43" t="s">
        <v>4646</v>
      </c>
      <c r="U449" s="44" t="s">
        <v>4630</v>
      </c>
      <c r="V449" s="43" t="s">
        <v>130</v>
      </c>
      <c r="W449" s="43" t="s">
        <v>130</v>
      </c>
      <c r="X449" s="43"/>
      <c r="Y449" s="43"/>
      <c r="Z449" s="43"/>
      <c r="AA449" s="43" t="s">
        <v>130</v>
      </c>
      <c r="AB449" s="43" t="s">
        <v>130</v>
      </c>
      <c r="AC449" s="43"/>
      <c r="AD449" s="43"/>
      <c r="AE449" s="43"/>
      <c r="AF449" s="43"/>
      <c r="AG449" s="45"/>
      <c r="AH449" s="1"/>
      <c r="AI449" s="1"/>
      <c r="AJ449" s="1"/>
    </row>
    <row r="450" spans="1:36">
      <c r="A450" s="36" t="s">
        <v>3047</v>
      </c>
      <c r="B450" s="36" t="s">
        <v>4459</v>
      </c>
      <c r="C450" s="36" t="s">
        <v>4648</v>
      </c>
      <c r="D450" s="57" t="s">
        <v>4649</v>
      </c>
      <c r="E450" s="38" t="s">
        <v>4650</v>
      </c>
      <c r="F450" s="36"/>
      <c r="G450" s="36" t="s">
        <v>4651</v>
      </c>
      <c r="H450" s="36" t="s">
        <v>4652</v>
      </c>
      <c r="I450" s="40"/>
      <c r="J450" s="36" t="s">
        <v>230</v>
      </c>
      <c r="K450" s="36" t="s">
        <v>94</v>
      </c>
      <c r="L450" s="36" t="s">
        <v>4290</v>
      </c>
      <c r="M450" s="36" t="s">
        <v>3884</v>
      </c>
      <c r="N450" s="36" t="s">
        <v>4653</v>
      </c>
      <c r="O450" s="36" t="s">
        <v>4459</v>
      </c>
      <c r="P450" s="36" t="s">
        <v>3884</v>
      </c>
      <c r="Q450" s="36" t="s">
        <v>4654</v>
      </c>
      <c r="R450" s="36" t="s">
        <v>4655</v>
      </c>
      <c r="S450" s="42" t="s">
        <v>5068</v>
      </c>
      <c r="T450" s="43" t="s">
        <v>4656</v>
      </c>
      <c r="U450" s="44" t="s">
        <v>4657</v>
      </c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5"/>
      <c r="AH450" s="1"/>
      <c r="AI450" s="1"/>
      <c r="AJ450" s="1"/>
    </row>
    <row r="451" spans="1:36">
      <c r="A451" s="36" t="s">
        <v>3047</v>
      </c>
      <c r="B451" s="36" t="s">
        <v>4459</v>
      </c>
      <c r="C451" s="36" t="s">
        <v>4658</v>
      </c>
      <c r="D451" s="36" t="s">
        <v>4659</v>
      </c>
      <c r="E451" s="38" t="s">
        <v>4648</v>
      </c>
      <c r="F451" s="36"/>
      <c r="G451" s="36" t="s">
        <v>4651</v>
      </c>
      <c r="H451" s="36" t="s">
        <v>4652</v>
      </c>
      <c r="I451" s="40" t="s">
        <v>130</v>
      </c>
      <c r="J451" s="36" t="s">
        <v>94</v>
      </c>
      <c r="K451" s="36" t="s">
        <v>94</v>
      </c>
      <c r="L451" s="36" t="s">
        <v>4290</v>
      </c>
      <c r="M451" s="36" t="s">
        <v>3904</v>
      </c>
      <c r="N451" s="36" t="s">
        <v>4661</v>
      </c>
      <c r="O451" s="36" t="s">
        <v>4459</v>
      </c>
      <c r="P451" s="36" t="s">
        <v>4662</v>
      </c>
      <c r="Q451" s="36" t="s">
        <v>4663</v>
      </c>
      <c r="R451" s="36" t="s">
        <v>551</v>
      </c>
      <c r="S451" s="42" t="s">
        <v>5106</v>
      </c>
      <c r="T451" s="43" t="s">
        <v>4664</v>
      </c>
      <c r="U451" s="44" t="s">
        <v>4526</v>
      </c>
      <c r="V451" s="43" t="s">
        <v>130</v>
      </c>
      <c r="W451" s="43" t="s">
        <v>130</v>
      </c>
      <c r="X451" s="43" t="s">
        <v>130</v>
      </c>
      <c r="Y451" s="43" t="s">
        <v>130</v>
      </c>
      <c r="Z451" s="43" t="s">
        <v>130</v>
      </c>
      <c r="AA451" s="43" t="s">
        <v>130</v>
      </c>
      <c r="AB451" s="43" t="s">
        <v>130</v>
      </c>
      <c r="AC451" s="43"/>
      <c r="AD451" s="43"/>
      <c r="AE451" s="43"/>
      <c r="AF451" s="43"/>
      <c r="AG451" s="45"/>
      <c r="AH451" s="1"/>
      <c r="AI451" s="1"/>
      <c r="AJ451" s="1"/>
    </row>
    <row r="452" spans="1:36">
      <c r="A452" s="36" t="s">
        <v>3047</v>
      </c>
      <c r="B452" s="36" t="s">
        <v>4459</v>
      </c>
      <c r="C452" s="36" t="s">
        <v>4513</v>
      </c>
      <c r="D452" s="36" t="s">
        <v>4665</v>
      </c>
      <c r="E452" s="38" t="s">
        <v>4666</v>
      </c>
      <c r="F452" s="36"/>
      <c r="G452" s="36" t="s">
        <v>4651</v>
      </c>
      <c r="H452" s="36" t="s">
        <v>4652</v>
      </c>
      <c r="I452" s="40"/>
      <c r="J452" s="36" t="s">
        <v>159</v>
      </c>
      <c r="K452" s="36" t="s">
        <v>94</v>
      </c>
      <c r="L452" s="36" t="s">
        <v>4290</v>
      </c>
      <c r="M452" s="36" t="s">
        <v>4662</v>
      </c>
      <c r="N452" s="36" t="s">
        <v>4669</v>
      </c>
      <c r="O452" s="36" t="s">
        <v>4459</v>
      </c>
      <c r="P452" s="36" t="s">
        <v>4670</v>
      </c>
      <c r="Q452" s="36" t="s">
        <v>4671</v>
      </c>
      <c r="R452" s="36" t="s">
        <v>4672</v>
      </c>
      <c r="S452" s="42" t="s">
        <v>5070</v>
      </c>
      <c r="T452" s="43" t="s">
        <v>4673</v>
      </c>
      <c r="U452" s="44" t="s">
        <v>4509</v>
      </c>
      <c r="V452" s="43"/>
      <c r="W452" s="43"/>
      <c r="X452" s="43"/>
      <c r="Y452" s="43"/>
      <c r="Z452" s="43"/>
      <c r="AA452" s="43"/>
      <c r="AB452" s="43" t="s">
        <v>130</v>
      </c>
      <c r="AC452" s="43"/>
      <c r="AD452" s="43"/>
      <c r="AE452" s="43"/>
      <c r="AF452" s="43"/>
      <c r="AG452" s="45"/>
      <c r="AH452" s="1"/>
      <c r="AI452" s="1"/>
      <c r="AJ452" s="1"/>
    </row>
    <row r="453" spans="1:36">
      <c r="A453" s="36" t="s">
        <v>3047</v>
      </c>
      <c r="B453" s="36" t="s">
        <v>4459</v>
      </c>
      <c r="C453" s="36" t="s">
        <v>4520</v>
      </c>
      <c r="D453" s="36" t="s">
        <v>4674</v>
      </c>
      <c r="E453" s="38" t="s">
        <v>4675</v>
      </c>
      <c r="F453" s="36"/>
      <c r="G453" s="36" t="s">
        <v>4651</v>
      </c>
      <c r="H453" s="36" t="s">
        <v>4652</v>
      </c>
      <c r="I453" s="40" t="s">
        <v>130</v>
      </c>
      <c r="J453" s="36" t="s">
        <v>94</v>
      </c>
      <c r="K453" s="36" t="s">
        <v>94</v>
      </c>
      <c r="L453" s="36" t="s">
        <v>4290</v>
      </c>
      <c r="M453" s="36" t="s">
        <v>3967</v>
      </c>
      <c r="N453" s="36" t="s">
        <v>4676</v>
      </c>
      <c r="O453" s="36" t="s">
        <v>4459</v>
      </c>
      <c r="P453" s="36" t="s">
        <v>3967</v>
      </c>
      <c r="Q453" s="36" t="s">
        <v>4677</v>
      </c>
      <c r="R453" s="36" t="s">
        <v>551</v>
      </c>
      <c r="S453" s="42" t="s">
        <v>5080</v>
      </c>
      <c r="T453" s="43" t="s">
        <v>4678</v>
      </c>
      <c r="U453" s="44" t="s">
        <v>4526</v>
      </c>
      <c r="V453" s="43"/>
      <c r="W453" s="43" t="s">
        <v>130</v>
      </c>
      <c r="X453" s="43" t="s">
        <v>130</v>
      </c>
      <c r="Y453" s="43" t="s">
        <v>130</v>
      </c>
      <c r="Z453" s="43" t="s">
        <v>130</v>
      </c>
      <c r="AA453" s="43" t="s">
        <v>130</v>
      </c>
      <c r="AB453" s="43" t="s">
        <v>130</v>
      </c>
      <c r="AC453" s="43"/>
      <c r="AD453" s="43"/>
      <c r="AE453" s="43"/>
      <c r="AF453" s="43"/>
      <c r="AG453" s="45"/>
      <c r="AH453" s="1"/>
      <c r="AI453" s="1"/>
      <c r="AJ453" s="1"/>
    </row>
    <row r="454" spans="1:36">
      <c r="A454" s="192" t="s">
        <v>3047</v>
      </c>
      <c r="B454" s="192" t="s">
        <v>4459</v>
      </c>
      <c r="C454" s="192" t="s">
        <v>4650</v>
      </c>
      <c r="D454" s="193" t="s">
        <v>4680</v>
      </c>
      <c r="E454" s="194" t="s">
        <v>4681</v>
      </c>
      <c r="F454" s="192"/>
      <c r="G454" s="192" t="s">
        <v>4651</v>
      </c>
      <c r="H454" s="192" t="s">
        <v>4652</v>
      </c>
      <c r="I454" s="195" t="s">
        <v>130</v>
      </c>
      <c r="J454" s="192" t="s">
        <v>94</v>
      </c>
      <c r="K454" s="192" t="s">
        <v>94</v>
      </c>
      <c r="L454" s="192" t="s">
        <v>4290</v>
      </c>
      <c r="M454" s="192" t="s">
        <v>4684</v>
      </c>
      <c r="N454" s="192" t="s">
        <v>4685</v>
      </c>
      <c r="O454" s="192" t="s">
        <v>4459</v>
      </c>
      <c r="P454" s="192" t="s">
        <v>4684</v>
      </c>
      <c r="Q454" s="192" t="s">
        <v>4686</v>
      </c>
      <c r="R454" s="192" t="s">
        <v>164</v>
      </c>
      <c r="S454" s="196" t="s">
        <v>5081</v>
      </c>
      <c r="T454" s="197" t="s">
        <v>4687</v>
      </c>
      <c r="U454" s="198" t="s">
        <v>4657</v>
      </c>
      <c r="V454" s="197" t="s">
        <v>130</v>
      </c>
      <c r="W454" s="197"/>
      <c r="X454" s="197"/>
      <c r="Y454" s="197"/>
      <c r="Z454" s="197"/>
      <c r="AA454" s="197" t="s">
        <v>130</v>
      </c>
      <c r="AB454" s="197" t="s">
        <v>130</v>
      </c>
      <c r="AC454" s="197"/>
      <c r="AD454" s="197"/>
      <c r="AE454" s="197"/>
      <c r="AF454" s="197"/>
      <c r="AG454" s="199"/>
      <c r="AH454" s="1"/>
      <c r="AI454" s="1"/>
      <c r="AJ454" s="1"/>
    </row>
  </sheetData>
  <hyperlinks>
    <hyperlink ref="B326" r:id="rId1" xr:uid="{00000000-0004-0000-0000-000000000000}"/>
    <hyperlink ref="B327" r:id="rId2" xr:uid="{00000000-0004-0000-0000-000001000000}"/>
    <hyperlink ref="B328" r:id="rId3" xr:uid="{00000000-0004-0000-0000-000002000000}"/>
    <hyperlink ref="B329" r:id="rId4" xr:uid="{00000000-0004-0000-0000-000003000000}"/>
    <hyperlink ref="B330" r:id="rId5" xr:uid="{00000000-0004-0000-0000-000004000000}"/>
    <hyperlink ref="B425" r:id="rId6" xr:uid="{00000000-0004-0000-0000-000005000000}"/>
    <hyperlink ref="B426" r:id="rId7" xr:uid="{00000000-0004-0000-0000-000006000000}"/>
    <hyperlink ref="B427" r:id="rId8" xr:uid="{00000000-0004-0000-0000-000007000000}"/>
    <hyperlink ref="B428" r:id="rId9" xr:uid="{00000000-0004-0000-0000-000008000000}"/>
  </hyperlinks>
  <pageMargins left="0.7" right="0.7" top="0.75" bottom="0.75" header="0.3" footer="0.3"/>
  <pageSetup orientation="portrait" horizontalDpi="0" verticalDpi="0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/>
  <cols>
    <col min="1" max="1" width="13.5703125" customWidth="1"/>
    <col min="2" max="2" width="23.85546875" customWidth="1"/>
    <col min="3" max="3" width="11.140625" customWidth="1"/>
    <col min="4" max="4" width="25.140625" customWidth="1"/>
    <col min="5" max="5" width="23.85546875" customWidth="1"/>
    <col min="6" max="6" width="22.85546875" customWidth="1"/>
    <col min="7" max="7" width="21.140625" customWidth="1"/>
    <col min="8" max="26" width="8.7109375" customWidth="1"/>
  </cols>
  <sheetData>
    <row r="1" spans="1:26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26">
      <c r="A2" s="1" t="s">
        <v>8</v>
      </c>
      <c r="B2" s="1" t="s">
        <v>9</v>
      </c>
      <c r="C2" s="1" t="s">
        <v>8</v>
      </c>
      <c r="D2" s="1" t="s">
        <v>8</v>
      </c>
      <c r="E2" s="1" t="s">
        <v>9</v>
      </c>
      <c r="F2" s="1" t="s">
        <v>9</v>
      </c>
    </row>
    <row r="3" spans="1:26">
      <c r="A3" s="1" t="s">
        <v>10</v>
      </c>
      <c r="B3" s="1" t="s">
        <v>12</v>
      </c>
      <c r="C3" s="1" t="s">
        <v>10</v>
      </c>
      <c r="D3" s="1" t="s">
        <v>10</v>
      </c>
      <c r="E3" s="1" t="s">
        <v>12</v>
      </c>
      <c r="F3" s="1" t="s">
        <v>12</v>
      </c>
    </row>
    <row r="4" spans="1:26">
      <c r="B4" s="1" t="s">
        <v>15</v>
      </c>
      <c r="C4" s="1">
        <v>0</v>
      </c>
      <c r="D4" s="1" t="s">
        <v>10</v>
      </c>
      <c r="E4" s="1" t="s">
        <v>12</v>
      </c>
      <c r="F4" s="1" t="s">
        <v>12</v>
      </c>
    </row>
    <row r="5" spans="1:26">
      <c r="A5" s="1" t="s">
        <v>18</v>
      </c>
      <c r="B5" s="1" t="s">
        <v>9</v>
      </c>
      <c r="C5" s="1" t="s">
        <v>18</v>
      </c>
      <c r="D5" s="1" t="s">
        <v>18</v>
      </c>
      <c r="E5" s="1" t="s">
        <v>9</v>
      </c>
      <c r="F5" s="1" t="s">
        <v>9</v>
      </c>
    </row>
    <row r="6" spans="1:26">
      <c r="B6" s="1" t="s">
        <v>20</v>
      </c>
      <c r="C6" s="1">
        <v>0</v>
      </c>
      <c r="D6" s="1" t="s">
        <v>18</v>
      </c>
      <c r="E6" s="1" t="s">
        <v>9</v>
      </c>
      <c r="F6" s="1" t="s">
        <v>9</v>
      </c>
    </row>
    <row r="7" spans="1:26">
      <c r="B7" s="1" t="s">
        <v>21</v>
      </c>
      <c r="C7" s="1">
        <v>0</v>
      </c>
      <c r="D7" s="1" t="s">
        <v>18</v>
      </c>
      <c r="E7" s="1" t="s">
        <v>9</v>
      </c>
      <c r="F7" s="1" t="s">
        <v>9</v>
      </c>
    </row>
    <row r="8" spans="1:26">
      <c r="B8" s="1" t="s">
        <v>22</v>
      </c>
      <c r="C8" s="1">
        <v>0</v>
      </c>
      <c r="D8" s="1" t="s">
        <v>18</v>
      </c>
      <c r="E8" s="1" t="s">
        <v>9</v>
      </c>
      <c r="F8" s="1" t="s">
        <v>9</v>
      </c>
    </row>
    <row r="9" spans="1:26">
      <c r="A9" s="1" t="s">
        <v>24</v>
      </c>
      <c r="B9" s="1" t="s">
        <v>25</v>
      </c>
      <c r="C9" s="1" t="s">
        <v>24</v>
      </c>
      <c r="D9" s="1" t="s">
        <v>24</v>
      </c>
      <c r="E9" s="1" t="s">
        <v>25</v>
      </c>
      <c r="F9" s="1" t="s">
        <v>9</v>
      </c>
    </row>
    <row r="10" spans="1:26">
      <c r="A10" s="7" t="s">
        <v>26</v>
      </c>
      <c r="B10" s="7" t="s">
        <v>27</v>
      </c>
      <c r="C10" s="7" t="s">
        <v>26</v>
      </c>
      <c r="D10" s="7" t="s">
        <v>26</v>
      </c>
      <c r="E10" s="7" t="s">
        <v>27</v>
      </c>
      <c r="F10" s="1" t="s">
        <v>9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1" t="s">
        <v>29</v>
      </c>
      <c r="B11" s="1" t="s">
        <v>30</v>
      </c>
      <c r="C11" s="1" t="s">
        <v>29</v>
      </c>
      <c r="D11" s="1" t="s">
        <v>29</v>
      </c>
      <c r="E11" s="1" t="s">
        <v>30</v>
      </c>
      <c r="F11" s="1" t="s">
        <v>30</v>
      </c>
    </row>
    <row r="12" spans="1:26">
      <c r="A12" s="1" t="s">
        <v>32</v>
      </c>
      <c r="B12" s="1" t="s">
        <v>33</v>
      </c>
      <c r="C12" s="1" t="s">
        <v>32</v>
      </c>
      <c r="D12" s="1" t="s">
        <v>32</v>
      </c>
      <c r="E12" s="1" t="s">
        <v>33</v>
      </c>
      <c r="F12" s="1" t="s">
        <v>33</v>
      </c>
    </row>
    <row r="13" spans="1:26">
      <c r="A13" s="1" t="s">
        <v>34</v>
      </c>
      <c r="B13" s="1" t="s">
        <v>35</v>
      </c>
      <c r="C13" s="1" t="s">
        <v>34</v>
      </c>
      <c r="D13" s="1" t="s">
        <v>34</v>
      </c>
      <c r="E13" s="1" t="s">
        <v>35</v>
      </c>
      <c r="F13" s="1" t="s">
        <v>36</v>
      </c>
    </row>
    <row r="14" spans="1:26">
      <c r="B14" s="1" t="s">
        <v>37</v>
      </c>
      <c r="C14" s="1">
        <v>0</v>
      </c>
      <c r="D14" s="1" t="s">
        <v>34</v>
      </c>
      <c r="E14" s="1" t="s">
        <v>37</v>
      </c>
      <c r="F14" s="1" t="s">
        <v>36</v>
      </c>
    </row>
    <row r="15" spans="1:26">
      <c r="A15" s="1" t="s">
        <v>39</v>
      </c>
      <c r="B15" s="1" t="s">
        <v>40</v>
      </c>
      <c r="C15" s="1" t="s">
        <v>39</v>
      </c>
      <c r="D15" s="1" t="s">
        <v>39</v>
      </c>
      <c r="E15" s="1" t="s">
        <v>40</v>
      </c>
      <c r="F15" s="1" t="s">
        <v>43</v>
      </c>
      <c r="G15" s="1" t="s">
        <v>43</v>
      </c>
    </row>
    <row r="16" spans="1:26">
      <c r="B16" s="1" t="s">
        <v>46</v>
      </c>
      <c r="C16" s="1">
        <v>0</v>
      </c>
      <c r="D16" s="1" t="s">
        <v>39</v>
      </c>
      <c r="E16" s="1" t="s">
        <v>46</v>
      </c>
      <c r="F16" s="1" t="s">
        <v>43</v>
      </c>
      <c r="G16" s="1" t="s">
        <v>43</v>
      </c>
    </row>
    <row r="17" spans="1:26">
      <c r="B17" s="1" t="s">
        <v>49</v>
      </c>
      <c r="C17" s="1">
        <v>0</v>
      </c>
      <c r="D17" s="1" t="s">
        <v>39</v>
      </c>
      <c r="E17" s="1" t="s">
        <v>49</v>
      </c>
      <c r="F17" s="1" t="s">
        <v>43</v>
      </c>
      <c r="G17" s="1" t="s">
        <v>43</v>
      </c>
    </row>
    <row r="18" spans="1:26">
      <c r="B18" s="1" t="s">
        <v>51</v>
      </c>
      <c r="C18" s="1">
        <v>0</v>
      </c>
      <c r="D18" s="1" t="s">
        <v>39</v>
      </c>
      <c r="E18" s="1" t="s">
        <v>51</v>
      </c>
      <c r="F18" s="1" t="s">
        <v>43</v>
      </c>
      <c r="G18" s="1" t="s">
        <v>43</v>
      </c>
    </row>
    <row r="19" spans="1:26">
      <c r="B19" s="1" t="s">
        <v>54</v>
      </c>
      <c r="C19" s="1">
        <v>0</v>
      </c>
      <c r="D19" s="1" t="s">
        <v>39</v>
      </c>
      <c r="E19" s="1" t="s">
        <v>54</v>
      </c>
      <c r="F19" s="1" t="s">
        <v>43</v>
      </c>
      <c r="G19" s="1" t="s">
        <v>43</v>
      </c>
    </row>
    <row r="20" spans="1:26">
      <c r="A20" s="1" t="s">
        <v>61</v>
      </c>
      <c r="B20" s="1" t="s">
        <v>63</v>
      </c>
      <c r="C20" s="1" t="s">
        <v>61</v>
      </c>
      <c r="D20" s="1" t="s">
        <v>61</v>
      </c>
      <c r="E20" s="1" t="s">
        <v>63</v>
      </c>
      <c r="F20" s="1" t="s">
        <v>43</v>
      </c>
      <c r="G20" s="1" t="s">
        <v>43</v>
      </c>
    </row>
    <row r="21" spans="1:26" ht="15.75" customHeight="1">
      <c r="B21" s="1" t="s">
        <v>72</v>
      </c>
      <c r="C21" s="1">
        <v>0</v>
      </c>
      <c r="D21" s="1" t="s">
        <v>61</v>
      </c>
      <c r="E21" s="1" t="s">
        <v>72</v>
      </c>
      <c r="F21" s="1" t="s">
        <v>43</v>
      </c>
      <c r="G21" s="1" t="s">
        <v>43</v>
      </c>
    </row>
    <row r="22" spans="1:26" ht="15.75" customHeight="1">
      <c r="B22" s="1" t="s">
        <v>73</v>
      </c>
      <c r="C22" s="1">
        <v>0</v>
      </c>
      <c r="D22" s="1" t="s">
        <v>61</v>
      </c>
      <c r="E22" s="1" t="s">
        <v>73</v>
      </c>
      <c r="F22" s="1" t="s">
        <v>43</v>
      </c>
      <c r="G22" s="1" t="s">
        <v>43</v>
      </c>
    </row>
    <row r="23" spans="1:26" ht="15.75" customHeight="1">
      <c r="B23" s="1" t="s">
        <v>74</v>
      </c>
      <c r="C23" s="1">
        <v>0</v>
      </c>
      <c r="D23" s="1" t="s">
        <v>61</v>
      </c>
      <c r="E23" s="1" t="s">
        <v>74</v>
      </c>
      <c r="F23" s="1" t="s">
        <v>43</v>
      </c>
      <c r="G23" s="1" t="s">
        <v>43</v>
      </c>
    </row>
    <row r="24" spans="1:26" ht="15.75" customHeight="1">
      <c r="A24" s="7" t="s">
        <v>77</v>
      </c>
      <c r="B24" s="7" t="s">
        <v>78</v>
      </c>
      <c r="C24" s="7" t="s">
        <v>77</v>
      </c>
      <c r="D24" s="7" t="s">
        <v>77</v>
      </c>
      <c r="E24" s="7" t="s">
        <v>78</v>
      </c>
      <c r="F24" s="1" t="s">
        <v>43</v>
      </c>
      <c r="G24" s="1" t="s">
        <v>43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 t="s">
        <v>86</v>
      </c>
      <c r="B25" s="7" t="s">
        <v>87</v>
      </c>
      <c r="C25" s="7" t="s">
        <v>86</v>
      </c>
      <c r="D25" s="7" t="s">
        <v>86</v>
      </c>
      <c r="E25" s="7" t="s">
        <v>87</v>
      </c>
      <c r="F25" s="1" t="s">
        <v>43</v>
      </c>
      <c r="G25" s="1" t="s">
        <v>43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1" t="s">
        <v>88</v>
      </c>
      <c r="B26" s="1" t="s">
        <v>89</v>
      </c>
      <c r="C26" s="1" t="s">
        <v>88</v>
      </c>
      <c r="D26" s="1" t="s">
        <v>88</v>
      </c>
      <c r="E26" s="1" t="s">
        <v>89</v>
      </c>
      <c r="F26" s="1" t="s">
        <v>89</v>
      </c>
      <c r="G26" s="1" t="s">
        <v>89</v>
      </c>
    </row>
    <row r="27" spans="1:26" ht="15.75" customHeight="1">
      <c r="B27" s="1" t="s">
        <v>91</v>
      </c>
      <c r="C27" s="1">
        <v>0</v>
      </c>
      <c r="D27" s="1" t="s">
        <v>88</v>
      </c>
      <c r="E27" s="1" t="s">
        <v>91</v>
      </c>
      <c r="F27" s="1" t="s">
        <v>89</v>
      </c>
      <c r="G27" s="1" t="s">
        <v>89</v>
      </c>
    </row>
    <row r="28" spans="1:26" ht="15.75" customHeight="1">
      <c r="B28" s="1" t="s">
        <v>98</v>
      </c>
      <c r="C28" s="1">
        <v>0</v>
      </c>
      <c r="D28" s="1" t="s">
        <v>88</v>
      </c>
      <c r="E28" s="1" t="s">
        <v>98</v>
      </c>
      <c r="F28" s="1" t="s">
        <v>89</v>
      </c>
      <c r="G28" s="1" t="s">
        <v>89</v>
      </c>
    </row>
    <row r="29" spans="1:26" ht="15.75" customHeight="1">
      <c r="B29" s="1" t="s">
        <v>104</v>
      </c>
      <c r="C29" s="1">
        <v>0</v>
      </c>
      <c r="D29" s="1" t="s">
        <v>88</v>
      </c>
      <c r="E29" s="1" t="s">
        <v>104</v>
      </c>
      <c r="F29" s="1" t="s">
        <v>89</v>
      </c>
      <c r="G29" s="1" t="s">
        <v>89</v>
      </c>
    </row>
    <row r="30" spans="1:26" ht="15.75" customHeight="1">
      <c r="A30" s="1" t="s">
        <v>111</v>
      </c>
      <c r="B30" s="1" t="s">
        <v>112</v>
      </c>
      <c r="C30" s="1" t="s">
        <v>111</v>
      </c>
      <c r="D30" s="1" t="s">
        <v>111</v>
      </c>
      <c r="E30" s="1" t="s">
        <v>112</v>
      </c>
      <c r="F30" s="1" t="s">
        <v>89</v>
      </c>
      <c r="G30" s="1" t="s">
        <v>89</v>
      </c>
    </row>
    <row r="31" spans="1:26" ht="15.75" customHeight="1">
      <c r="B31" s="1" t="s">
        <v>114</v>
      </c>
      <c r="C31" s="1">
        <v>0</v>
      </c>
      <c r="D31" s="1" t="s">
        <v>111</v>
      </c>
      <c r="E31" s="1" t="s">
        <v>114</v>
      </c>
      <c r="F31" s="1" t="s">
        <v>89</v>
      </c>
      <c r="G31" s="1" t="s">
        <v>89</v>
      </c>
    </row>
    <row r="32" spans="1:26" ht="15.75" customHeight="1">
      <c r="B32" s="1" t="s">
        <v>116</v>
      </c>
      <c r="C32" s="1">
        <v>0</v>
      </c>
      <c r="D32" s="1" t="s">
        <v>111</v>
      </c>
      <c r="E32" s="1" t="s">
        <v>116</v>
      </c>
      <c r="F32" s="1" t="s">
        <v>89</v>
      </c>
      <c r="G32" s="1" t="s">
        <v>89</v>
      </c>
    </row>
    <row r="33" spans="1:26" ht="15.75" customHeight="1">
      <c r="A33" s="1" t="s">
        <v>117</v>
      </c>
      <c r="B33" s="1" t="s">
        <v>119</v>
      </c>
      <c r="C33" s="1" t="s">
        <v>117</v>
      </c>
      <c r="D33" s="1" t="s">
        <v>117</v>
      </c>
      <c r="E33" s="1" t="s">
        <v>119</v>
      </c>
      <c r="F33" s="1" t="s">
        <v>119</v>
      </c>
    </row>
    <row r="34" spans="1:26" ht="15.75" customHeight="1">
      <c r="B34" s="1" t="s">
        <v>123</v>
      </c>
      <c r="C34" s="1">
        <v>0</v>
      </c>
      <c r="D34" s="1" t="s">
        <v>117</v>
      </c>
      <c r="E34" s="1" t="s">
        <v>123</v>
      </c>
      <c r="F34" s="1" t="s">
        <v>119</v>
      </c>
    </row>
    <row r="35" spans="1:26" ht="15.75" customHeight="1">
      <c r="B35" s="1" t="s">
        <v>125</v>
      </c>
      <c r="C35" s="1">
        <v>0</v>
      </c>
      <c r="D35" s="1" t="s">
        <v>117</v>
      </c>
      <c r="E35" s="1" t="s">
        <v>125</v>
      </c>
      <c r="F35" s="1" t="s">
        <v>119</v>
      </c>
    </row>
    <row r="36" spans="1:26" ht="15.75" customHeight="1">
      <c r="A36" s="1" t="s">
        <v>127</v>
      </c>
      <c r="B36" s="1" t="s">
        <v>128</v>
      </c>
      <c r="C36" s="1" t="s">
        <v>127</v>
      </c>
      <c r="D36" s="1" t="s">
        <v>127</v>
      </c>
      <c r="E36" s="1" t="s">
        <v>128</v>
      </c>
      <c r="F36" s="1" t="s">
        <v>119</v>
      </c>
    </row>
    <row r="37" spans="1:26" ht="15.75" customHeight="1">
      <c r="A37" s="7" t="s">
        <v>131</v>
      </c>
      <c r="B37" s="7" t="s">
        <v>125</v>
      </c>
      <c r="C37" s="7" t="s">
        <v>131</v>
      </c>
      <c r="D37" s="7" t="s">
        <v>131</v>
      </c>
      <c r="E37" s="7" t="s">
        <v>125</v>
      </c>
      <c r="F37" s="1" t="s">
        <v>119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1" t="s">
        <v>140</v>
      </c>
      <c r="B38" s="1" t="s">
        <v>141</v>
      </c>
      <c r="C38" s="1" t="s">
        <v>140</v>
      </c>
      <c r="D38" s="1" t="s">
        <v>140</v>
      </c>
      <c r="E38" s="1" t="s">
        <v>141</v>
      </c>
      <c r="F38" s="1" t="s">
        <v>142</v>
      </c>
    </row>
    <row r="39" spans="1:26" ht="15.75" customHeight="1">
      <c r="B39" s="1" t="s">
        <v>143</v>
      </c>
      <c r="C39" s="1">
        <v>0</v>
      </c>
      <c r="D39" s="1" t="s">
        <v>140</v>
      </c>
      <c r="E39" s="1" t="s">
        <v>143</v>
      </c>
      <c r="F39" s="1" t="s">
        <v>142</v>
      </c>
    </row>
    <row r="40" spans="1:26" ht="15.75" customHeight="1">
      <c r="A40" s="1" t="s">
        <v>144</v>
      </c>
      <c r="B40" s="1" t="s">
        <v>145</v>
      </c>
      <c r="C40" s="1" t="s">
        <v>144</v>
      </c>
      <c r="D40" s="1" t="s">
        <v>144</v>
      </c>
      <c r="E40" s="1" t="s">
        <v>145</v>
      </c>
      <c r="F40" s="1" t="s">
        <v>146</v>
      </c>
      <c r="G40" s="1" t="s">
        <v>146</v>
      </c>
    </row>
    <row r="41" spans="1:26" ht="15.75" customHeight="1">
      <c r="B41" s="1" t="s">
        <v>146</v>
      </c>
      <c r="C41" s="1">
        <v>0</v>
      </c>
      <c r="D41" s="1" t="s">
        <v>144</v>
      </c>
      <c r="E41" s="1" t="s">
        <v>146</v>
      </c>
      <c r="F41" s="1" t="s">
        <v>146</v>
      </c>
      <c r="G41" s="1" t="s">
        <v>146</v>
      </c>
    </row>
    <row r="42" spans="1:26" ht="15.75" customHeight="1">
      <c r="A42" s="1" t="s">
        <v>149</v>
      </c>
      <c r="B42" s="1" t="s">
        <v>150</v>
      </c>
      <c r="C42" s="1" t="s">
        <v>149</v>
      </c>
      <c r="D42" s="1" t="s">
        <v>149</v>
      </c>
      <c r="E42" s="1" t="s">
        <v>150</v>
      </c>
      <c r="F42" s="1" t="s">
        <v>146</v>
      </c>
      <c r="G42" s="1" t="s">
        <v>146</v>
      </c>
    </row>
    <row r="43" spans="1:26" ht="15.75" customHeight="1">
      <c r="B43" s="1" t="s">
        <v>151</v>
      </c>
      <c r="C43" s="1">
        <v>0</v>
      </c>
      <c r="D43" s="1" t="s">
        <v>149</v>
      </c>
      <c r="E43" s="1" t="s">
        <v>151</v>
      </c>
      <c r="F43" s="1" t="s">
        <v>146</v>
      </c>
      <c r="G43" s="1" t="s">
        <v>146</v>
      </c>
    </row>
    <row r="44" spans="1:26" ht="15.75" customHeight="1">
      <c r="A44" s="7" t="s">
        <v>153</v>
      </c>
      <c r="B44" s="7" t="s">
        <v>155</v>
      </c>
      <c r="C44" s="7" t="s">
        <v>153</v>
      </c>
      <c r="D44" s="7" t="s">
        <v>153</v>
      </c>
      <c r="E44" s="7" t="s">
        <v>155</v>
      </c>
      <c r="F44" s="1" t="s">
        <v>146</v>
      </c>
      <c r="G44" s="1" t="s">
        <v>146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1" t="s">
        <v>163</v>
      </c>
      <c r="B45" s="1" t="s">
        <v>165</v>
      </c>
      <c r="C45" s="1" t="s">
        <v>163</v>
      </c>
      <c r="D45" s="1" t="s">
        <v>163</v>
      </c>
      <c r="E45" s="1" t="s">
        <v>165</v>
      </c>
      <c r="F45" s="1" t="s">
        <v>166</v>
      </c>
    </row>
    <row r="46" spans="1:26" ht="15.75" customHeight="1">
      <c r="A46" s="1" t="s">
        <v>167</v>
      </c>
      <c r="B46" s="1" t="s">
        <v>168</v>
      </c>
      <c r="C46" s="1" t="s">
        <v>167</v>
      </c>
      <c r="D46" s="1" t="s">
        <v>167</v>
      </c>
      <c r="E46" s="1" t="s">
        <v>168</v>
      </c>
      <c r="F46" s="1" t="s">
        <v>169</v>
      </c>
    </row>
    <row r="47" spans="1:26" ht="15.75" customHeight="1">
      <c r="B47" s="1" t="s">
        <v>169</v>
      </c>
      <c r="C47" s="1">
        <v>0</v>
      </c>
      <c r="D47" s="1" t="s">
        <v>167</v>
      </c>
      <c r="E47" s="1" t="s">
        <v>169</v>
      </c>
      <c r="F47" s="1" t="s">
        <v>169</v>
      </c>
    </row>
    <row r="48" spans="1:26" ht="15.75" customHeight="1">
      <c r="B48" s="1" t="s">
        <v>172</v>
      </c>
      <c r="C48" s="1">
        <v>0</v>
      </c>
      <c r="D48" s="1" t="s">
        <v>167</v>
      </c>
      <c r="E48" s="1" t="s">
        <v>172</v>
      </c>
      <c r="F48" s="1" t="s">
        <v>169</v>
      </c>
    </row>
    <row r="49" spans="1:26" ht="15.75" customHeight="1">
      <c r="B49" s="1" t="s">
        <v>175</v>
      </c>
      <c r="C49" s="1">
        <v>0</v>
      </c>
      <c r="D49" s="1" t="s">
        <v>167</v>
      </c>
      <c r="E49" s="1" t="s">
        <v>175</v>
      </c>
      <c r="F49" s="1" t="s">
        <v>169</v>
      </c>
    </row>
    <row r="50" spans="1:26" ht="15.75" customHeight="1">
      <c r="A50" s="1" t="s">
        <v>179</v>
      </c>
      <c r="B50" s="1" t="s">
        <v>180</v>
      </c>
      <c r="C50" s="1" t="s">
        <v>179</v>
      </c>
      <c r="D50" s="1" t="s">
        <v>179</v>
      </c>
      <c r="E50" s="1" t="s">
        <v>180</v>
      </c>
      <c r="F50" s="1" t="s">
        <v>169</v>
      </c>
    </row>
    <row r="51" spans="1:26" ht="15.75" customHeight="1">
      <c r="A51" s="7" t="s">
        <v>181</v>
      </c>
      <c r="B51" s="7" t="s">
        <v>182</v>
      </c>
      <c r="C51" s="7" t="s">
        <v>181</v>
      </c>
      <c r="D51" s="7" t="s">
        <v>181</v>
      </c>
      <c r="E51" s="7" t="s">
        <v>182</v>
      </c>
      <c r="F51" s="7" t="s">
        <v>184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1" t="s">
        <v>188</v>
      </c>
      <c r="B52" s="1" t="s">
        <v>190</v>
      </c>
      <c r="C52" s="1" t="s">
        <v>188</v>
      </c>
      <c r="D52" s="1" t="s">
        <v>188</v>
      </c>
      <c r="E52" s="1" t="s">
        <v>190</v>
      </c>
      <c r="F52" s="1" t="s">
        <v>191</v>
      </c>
    </row>
    <row r="53" spans="1:26" ht="15.75" customHeight="1">
      <c r="A53" s="1" t="s">
        <v>192</v>
      </c>
      <c r="B53" s="1" t="s">
        <v>193</v>
      </c>
      <c r="C53" s="1" t="s">
        <v>192</v>
      </c>
      <c r="D53" s="1" t="s">
        <v>192</v>
      </c>
      <c r="E53" s="1" t="s">
        <v>193</v>
      </c>
      <c r="F53" s="1" t="s">
        <v>197</v>
      </c>
    </row>
    <row r="54" spans="1:26" ht="15.75" customHeight="1">
      <c r="A54" s="1" t="s">
        <v>199</v>
      </c>
      <c r="B54" s="1" t="s">
        <v>200</v>
      </c>
      <c r="C54" s="1" t="s">
        <v>199</v>
      </c>
      <c r="D54" s="1" t="s">
        <v>199</v>
      </c>
      <c r="E54" s="1" t="s">
        <v>200</v>
      </c>
      <c r="F54" s="1" t="s">
        <v>201</v>
      </c>
    </row>
    <row r="55" spans="1:26" ht="15.75" customHeight="1">
      <c r="B55" s="1" t="s">
        <v>202</v>
      </c>
      <c r="C55" s="1">
        <v>0</v>
      </c>
      <c r="D55" s="1" t="s">
        <v>199</v>
      </c>
      <c r="E55" s="1" t="s">
        <v>202</v>
      </c>
      <c r="F55" s="1" t="s">
        <v>201</v>
      </c>
    </row>
    <row r="56" spans="1:26" ht="15.75" customHeight="1">
      <c r="A56" s="1" t="s">
        <v>203</v>
      </c>
      <c r="B56" s="1" t="s">
        <v>204</v>
      </c>
      <c r="C56" s="1" t="s">
        <v>203</v>
      </c>
      <c r="D56" s="1" t="s">
        <v>203</v>
      </c>
      <c r="E56" s="1" t="s">
        <v>204</v>
      </c>
      <c r="F56" s="1" t="s">
        <v>207</v>
      </c>
    </row>
    <row r="57" spans="1:26" ht="15.75" customHeight="1">
      <c r="B57" s="1" t="s">
        <v>210</v>
      </c>
      <c r="C57" s="1">
        <v>0</v>
      </c>
      <c r="D57" s="1" t="s">
        <v>203</v>
      </c>
      <c r="E57" s="1" t="s">
        <v>210</v>
      </c>
      <c r="F57" s="1" t="s">
        <v>207</v>
      </c>
    </row>
    <row r="58" spans="1:26" ht="15.75" customHeight="1">
      <c r="B58" s="1" t="s">
        <v>213</v>
      </c>
      <c r="C58" s="1">
        <v>0</v>
      </c>
      <c r="D58" s="1" t="s">
        <v>203</v>
      </c>
      <c r="E58" s="1" t="s">
        <v>213</v>
      </c>
      <c r="F58" s="1" t="s">
        <v>207</v>
      </c>
    </row>
    <row r="59" spans="1:26" ht="15.75" customHeight="1">
      <c r="A59" s="1" t="s">
        <v>215</v>
      </c>
      <c r="B59" s="1" t="s">
        <v>216</v>
      </c>
      <c r="C59" s="1" t="s">
        <v>215</v>
      </c>
      <c r="D59" s="1" t="s">
        <v>215</v>
      </c>
      <c r="E59" s="1" t="s">
        <v>216</v>
      </c>
      <c r="F59" s="1" t="s">
        <v>216</v>
      </c>
    </row>
    <row r="60" spans="1:26" ht="15.75" customHeight="1">
      <c r="A60" s="1" t="s">
        <v>219</v>
      </c>
      <c r="B60" s="1" t="s">
        <v>220</v>
      </c>
      <c r="C60" s="1" t="s">
        <v>219</v>
      </c>
      <c r="D60" s="1" t="s">
        <v>219</v>
      </c>
      <c r="E60" s="1" t="s">
        <v>220</v>
      </c>
      <c r="F60" s="1" t="s">
        <v>220</v>
      </c>
    </row>
    <row r="61" spans="1:26" ht="15.75" customHeight="1">
      <c r="A61" s="1" t="s">
        <v>222</v>
      </c>
      <c r="B61" s="1" t="s">
        <v>223</v>
      </c>
      <c r="C61" s="1" t="s">
        <v>222</v>
      </c>
      <c r="D61" s="1" t="s">
        <v>222</v>
      </c>
      <c r="E61" s="1" t="s">
        <v>223</v>
      </c>
      <c r="F61" s="1" t="s">
        <v>223</v>
      </c>
    </row>
    <row r="62" spans="1:26" ht="15.75" customHeight="1">
      <c r="A62" s="1" t="s">
        <v>226</v>
      </c>
      <c r="B62" s="1" t="s">
        <v>227</v>
      </c>
      <c r="C62" s="1" t="s">
        <v>226</v>
      </c>
      <c r="D62" s="1" t="s">
        <v>226</v>
      </c>
      <c r="E62" s="1" t="s">
        <v>227</v>
      </c>
      <c r="F62" s="1" t="s">
        <v>229</v>
      </c>
    </row>
    <row r="63" spans="1:26" ht="15.75" customHeight="1">
      <c r="B63" s="1" t="s">
        <v>231</v>
      </c>
      <c r="C63" s="1">
        <v>0</v>
      </c>
      <c r="D63" s="1" t="s">
        <v>226</v>
      </c>
      <c r="E63" s="1" t="s">
        <v>231</v>
      </c>
      <c r="F63" s="1" t="s">
        <v>229</v>
      </c>
    </row>
    <row r="64" spans="1:26" ht="15.75" customHeight="1">
      <c r="A64" s="1" t="s">
        <v>236</v>
      </c>
      <c r="B64" s="1" t="s">
        <v>237</v>
      </c>
      <c r="C64" s="1" t="s">
        <v>236</v>
      </c>
      <c r="D64" s="1" t="s">
        <v>236</v>
      </c>
      <c r="E64" s="1" t="s">
        <v>237</v>
      </c>
      <c r="F64" s="1" t="s">
        <v>239</v>
      </c>
    </row>
    <row r="65" spans="1:6" ht="15.75" customHeight="1">
      <c r="B65" s="1" t="s">
        <v>240</v>
      </c>
      <c r="C65" s="1">
        <v>0</v>
      </c>
      <c r="D65" s="1" t="s">
        <v>236</v>
      </c>
      <c r="E65" s="1" t="s">
        <v>240</v>
      </c>
      <c r="F65" s="1" t="s">
        <v>239</v>
      </c>
    </row>
    <row r="66" spans="1:6" ht="15.75" customHeight="1">
      <c r="B66" s="1" t="s">
        <v>241</v>
      </c>
      <c r="C66" s="1">
        <v>0</v>
      </c>
      <c r="D66" s="1" t="s">
        <v>236</v>
      </c>
      <c r="E66" s="1" t="s">
        <v>241</v>
      </c>
      <c r="F66" s="1" t="s">
        <v>239</v>
      </c>
    </row>
    <row r="67" spans="1:6" ht="15.75" customHeight="1">
      <c r="B67" s="1" t="s">
        <v>244</v>
      </c>
      <c r="C67" s="1">
        <v>0</v>
      </c>
      <c r="D67" s="1" t="s">
        <v>236</v>
      </c>
      <c r="E67" s="1" t="s">
        <v>244</v>
      </c>
      <c r="F67" s="1" t="s">
        <v>239</v>
      </c>
    </row>
    <row r="68" spans="1:6" ht="15.75" customHeight="1">
      <c r="A68" s="1" t="s">
        <v>247</v>
      </c>
      <c r="B68" s="1" t="s">
        <v>249</v>
      </c>
      <c r="C68" s="1" t="s">
        <v>247</v>
      </c>
      <c r="D68" s="1" t="s">
        <v>247</v>
      </c>
      <c r="E68" s="1" t="s">
        <v>249</v>
      </c>
      <c r="F68" s="1" t="s">
        <v>239</v>
      </c>
    </row>
    <row r="69" spans="1:6" ht="15.75" customHeight="1">
      <c r="A69" s="1" t="s">
        <v>252</v>
      </c>
      <c r="B69" s="1" t="s">
        <v>253</v>
      </c>
      <c r="C69" s="1" t="s">
        <v>252</v>
      </c>
      <c r="D69" s="1" t="s">
        <v>252</v>
      </c>
      <c r="E69" s="1" t="s">
        <v>253</v>
      </c>
      <c r="F69" s="1" t="s">
        <v>239</v>
      </c>
    </row>
    <row r="70" spans="1:6" ht="15.75" customHeight="1">
      <c r="B70" s="1" t="s">
        <v>254</v>
      </c>
      <c r="C70" s="1">
        <v>0</v>
      </c>
      <c r="D70" s="1" t="s">
        <v>252</v>
      </c>
      <c r="E70" s="1" t="s">
        <v>254</v>
      </c>
      <c r="F70" s="1" t="s">
        <v>239</v>
      </c>
    </row>
    <row r="71" spans="1:6" ht="15.75" customHeight="1">
      <c r="B71" s="1" t="s">
        <v>259</v>
      </c>
      <c r="C71" s="1">
        <v>0</v>
      </c>
      <c r="D71" s="1" t="s">
        <v>252</v>
      </c>
      <c r="E71" s="1" t="s">
        <v>259</v>
      </c>
      <c r="F71" s="1" t="s">
        <v>239</v>
      </c>
    </row>
    <row r="72" spans="1:6" ht="15.75" customHeight="1">
      <c r="B72" s="1" t="s">
        <v>262</v>
      </c>
      <c r="C72" s="1">
        <v>0</v>
      </c>
      <c r="D72" s="1" t="s">
        <v>252</v>
      </c>
      <c r="E72" s="1" t="s">
        <v>262</v>
      </c>
      <c r="F72" s="1" t="s">
        <v>239</v>
      </c>
    </row>
    <row r="73" spans="1:6" ht="15.75" customHeight="1">
      <c r="B73" s="1" t="s">
        <v>265</v>
      </c>
      <c r="C73" s="1">
        <v>0</v>
      </c>
      <c r="D73" s="1" t="s">
        <v>252</v>
      </c>
      <c r="E73" s="1" t="s">
        <v>265</v>
      </c>
      <c r="F73" s="1" t="s">
        <v>239</v>
      </c>
    </row>
    <row r="74" spans="1:6" ht="15.75" customHeight="1">
      <c r="A74" s="1" t="s">
        <v>266</v>
      </c>
      <c r="B74" s="1" t="s">
        <v>267</v>
      </c>
      <c r="C74" s="1" t="s">
        <v>266</v>
      </c>
      <c r="D74" s="1" t="s">
        <v>266</v>
      </c>
      <c r="E74" s="1" t="s">
        <v>267</v>
      </c>
      <c r="F74" s="1" t="s">
        <v>268</v>
      </c>
    </row>
    <row r="75" spans="1:6" ht="15.75" customHeight="1">
      <c r="B75" s="1" t="s">
        <v>271</v>
      </c>
      <c r="C75" s="1">
        <v>0</v>
      </c>
      <c r="D75" s="1" t="s">
        <v>266</v>
      </c>
      <c r="E75" s="1" t="s">
        <v>271</v>
      </c>
      <c r="F75" s="1" t="s">
        <v>268</v>
      </c>
    </row>
    <row r="76" spans="1:6" ht="15.75" customHeight="1">
      <c r="B76" s="1" t="s">
        <v>274</v>
      </c>
      <c r="C76" s="1">
        <v>0</v>
      </c>
      <c r="D76" s="1" t="s">
        <v>266</v>
      </c>
      <c r="E76" s="1" t="s">
        <v>274</v>
      </c>
      <c r="F76" s="1" t="s">
        <v>268</v>
      </c>
    </row>
    <row r="77" spans="1:6" ht="15.75" customHeight="1">
      <c r="B77" s="1" t="s">
        <v>280</v>
      </c>
      <c r="C77" s="1">
        <v>0</v>
      </c>
      <c r="D77" s="1" t="s">
        <v>266</v>
      </c>
      <c r="E77" s="1" t="s">
        <v>280</v>
      </c>
      <c r="F77" s="1" t="s">
        <v>268</v>
      </c>
    </row>
    <row r="78" spans="1:6" ht="15.75" customHeight="1">
      <c r="A78" s="1" t="s">
        <v>282</v>
      </c>
      <c r="B78" s="1" t="s">
        <v>283</v>
      </c>
      <c r="C78" s="1" t="s">
        <v>282</v>
      </c>
      <c r="D78" s="1" t="s">
        <v>282</v>
      </c>
      <c r="E78" s="1" t="s">
        <v>283</v>
      </c>
      <c r="F78" s="1" t="s">
        <v>268</v>
      </c>
    </row>
    <row r="79" spans="1:6" ht="15.75" customHeight="1">
      <c r="A79" s="1" t="s">
        <v>284</v>
      </c>
      <c r="B79" s="1" t="s">
        <v>286</v>
      </c>
      <c r="C79" s="1" t="s">
        <v>284</v>
      </c>
      <c r="D79" s="1" t="s">
        <v>284</v>
      </c>
      <c r="E79" s="1" t="s">
        <v>286</v>
      </c>
      <c r="F79" s="1" t="s">
        <v>268</v>
      </c>
    </row>
    <row r="80" spans="1:6" ht="15.75" customHeight="1">
      <c r="B80" s="1" t="s">
        <v>289</v>
      </c>
      <c r="C80" s="1">
        <v>0</v>
      </c>
      <c r="D80" s="1" t="s">
        <v>284</v>
      </c>
      <c r="E80" s="1" t="s">
        <v>289</v>
      </c>
      <c r="F80" s="1" t="s">
        <v>268</v>
      </c>
    </row>
    <row r="81" spans="1:7" ht="15.75" customHeight="1">
      <c r="B81" s="1" t="s">
        <v>292</v>
      </c>
      <c r="C81" s="1">
        <v>0</v>
      </c>
      <c r="D81" s="1" t="s">
        <v>284</v>
      </c>
      <c r="E81" s="1" t="s">
        <v>292</v>
      </c>
      <c r="F81" s="1" t="s">
        <v>268</v>
      </c>
    </row>
    <row r="82" spans="1:7" ht="15.75" customHeight="1">
      <c r="A82" s="1" t="s">
        <v>298</v>
      </c>
      <c r="B82" s="1" t="s">
        <v>299</v>
      </c>
      <c r="C82" s="1" t="s">
        <v>298</v>
      </c>
      <c r="D82" s="1" t="s">
        <v>298</v>
      </c>
      <c r="E82" s="1" t="s">
        <v>299</v>
      </c>
      <c r="F82" s="1" t="s">
        <v>299</v>
      </c>
    </row>
    <row r="83" spans="1:7" ht="15.75" customHeight="1">
      <c r="A83" s="1" t="s">
        <v>300</v>
      </c>
      <c r="B83" s="1" t="s">
        <v>301</v>
      </c>
      <c r="C83" s="1" t="s">
        <v>300</v>
      </c>
      <c r="D83" s="1" t="s">
        <v>300</v>
      </c>
      <c r="E83" s="1" t="s">
        <v>301</v>
      </c>
      <c r="F83" s="1" t="s">
        <v>302</v>
      </c>
    </row>
    <row r="84" spans="1:7" ht="15.75" customHeight="1">
      <c r="A84" s="1" t="s">
        <v>304</v>
      </c>
      <c r="B84" s="1" t="s">
        <v>306</v>
      </c>
      <c r="C84" s="1" t="s">
        <v>304</v>
      </c>
      <c r="D84" s="1" t="s">
        <v>304</v>
      </c>
      <c r="E84" s="1" t="s">
        <v>306</v>
      </c>
      <c r="F84" s="1" t="s">
        <v>307</v>
      </c>
    </row>
    <row r="85" spans="1:7" ht="15.75" customHeight="1">
      <c r="B85" s="1" t="s">
        <v>308</v>
      </c>
      <c r="C85" s="1">
        <v>0</v>
      </c>
      <c r="D85" s="1" t="s">
        <v>304</v>
      </c>
      <c r="E85" s="1" t="s">
        <v>308</v>
      </c>
      <c r="F85" s="1" t="s">
        <v>307</v>
      </c>
    </row>
    <row r="86" spans="1:7" ht="15.75" customHeight="1">
      <c r="A86" s="1" t="s">
        <v>314</v>
      </c>
      <c r="B86" s="1" t="s">
        <v>315</v>
      </c>
      <c r="C86" s="1" t="s">
        <v>314</v>
      </c>
      <c r="D86" s="1" t="s">
        <v>314</v>
      </c>
      <c r="E86" s="1" t="s">
        <v>315</v>
      </c>
      <c r="F86" s="1" t="s">
        <v>315</v>
      </c>
    </row>
    <row r="87" spans="1:7" ht="15.75" customHeight="1">
      <c r="A87" s="1" t="s">
        <v>318</v>
      </c>
      <c r="B87" s="1" t="s">
        <v>319</v>
      </c>
      <c r="C87" s="1" t="s">
        <v>318</v>
      </c>
      <c r="D87" s="1" t="s">
        <v>318</v>
      </c>
      <c r="E87" s="1" t="s">
        <v>319</v>
      </c>
      <c r="F87" s="1" t="s">
        <v>319</v>
      </c>
    </row>
    <row r="88" spans="1:7" ht="15.75" customHeight="1">
      <c r="A88" s="1" t="s">
        <v>320</v>
      </c>
      <c r="B88" s="1" t="s">
        <v>321</v>
      </c>
      <c r="C88" s="1" t="s">
        <v>320</v>
      </c>
      <c r="D88" s="1" t="s">
        <v>320</v>
      </c>
      <c r="E88" s="1" t="s">
        <v>321</v>
      </c>
      <c r="F88" s="1" t="s">
        <v>321</v>
      </c>
    </row>
    <row r="89" spans="1:7" ht="15.75" customHeight="1">
      <c r="A89" s="1" t="s">
        <v>324</v>
      </c>
      <c r="B89" s="1" t="s">
        <v>325</v>
      </c>
      <c r="C89" s="1" t="s">
        <v>324</v>
      </c>
      <c r="D89" s="1" t="s">
        <v>324</v>
      </c>
      <c r="E89" s="1" t="s">
        <v>325</v>
      </c>
      <c r="F89" s="1" t="s">
        <v>325</v>
      </c>
    </row>
    <row r="90" spans="1:7" ht="15.75" customHeight="1">
      <c r="A90" s="1" t="s">
        <v>326</v>
      </c>
      <c r="B90" s="1" t="s">
        <v>327</v>
      </c>
      <c r="C90" s="1" t="s">
        <v>326</v>
      </c>
      <c r="D90" s="1" t="s">
        <v>326</v>
      </c>
      <c r="E90" s="1" t="s">
        <v>327</v>
      </c>
      <c r="F90" s="1" t="s">
        <v>327</v>
      </c>
    </row>
    <row r="91" spans="1:7" ht="15.75" customHeight="1">
      <c r="A91" s="1" t="s">
        <v>332</v>
      </c>
      <c r="B91" s="1" t="s">
        <v>333</v>
      </c>
      <c r="C91" s="1" t="s">
        <v>332</v>
      </c>
      <c r="D91" s="1" t="s">
        <v>332</v>
      </c>
      <c r="E91" s="1" t="s">
        <v>333</v>
      </c>
      <c r="F91" s="1" t="s">
        <v>335</v>
      </c>
      <c r="G91" s="1" t="s">
        <v>337</v>
      </c>
    </row>
    <row r="92" spans="1:7" ht="15.75" customHeight="1">
      <c r="B92" s="1" t="s">
        <v>339</v>
      </c>
      <c r="C92" s="1">
        <v>0</v>
      </c>
      <c r="D92" s="1" t="s">
        <v>332</v>
      </c>
      <c r="E92" s="1" t="s">
        <v>339</v>
      </c>
      <c r="F92" s="1" t="s">
        <v>335</v>
      </c>
      <c r="G92" s="1" t="s">
        <v>337</v>
      </c>
    </row>
    <row r="93" spans="1:7" ht="15.75" customHeight="1">
      <c r="B93" s="1" t="s">
        <v>342</v>
      </c>
      <c r="C93" s="1">
        <v>0</v>
      </c>
      <c r="D93" s="1" t="s">
        <v>332</v>
      </c>
      <c r="E93" s="1" t="s">
        <v>342</v>
      </c>
      <c r="F93" s="1" t="s">
        <v>335</v>
      </c>
      <c r="G93" s="1" t="s">
        <v>337</v>
      </c>
    </row>
    <row r="94" spans="1:7" ht="15.75" customHeight="1">
      <c r="A94" s="1" t="s">
        <v>347</v>
      </c>
      <c r="B94" s="1" t="s">
        <v>349</v>
      </c>
      <c r="C94" s="1" t="s">
        <v>347</v>
      </c>
      <c r="D94" s="1" t="s">
        <v>347</v>
      </c>
      <c r="E94" s="1" t="s">
        <v>349</v>
      </c>
      <c r="F94" s="1" t="s">
        <v>335</v>
      </c>
      <c r="G94" s="1" t="s">
        <v>337</v>
      </c>
    </row>
    <row r="95" spans="1:7" ht="15.75" customHeight="1">
      <c r="A95" s="1" t="s">
        <v>353</v>
      </c>
      <c r="B95" s="1" t="s">
        <v>354</v>
      </c>
      <c r="C95" s="1" t="s">
        <v>353</v>
      </c>
      <c r="D95" s="1" t="s">
        <v>353</v>
      </c>
      <c r="E95" s="1" t="s">
        <v>354</v>
      </c>
      <c r="F95" s="1" t="s">
        <v>356</v>
      </c>
      <c r="G95" s="1" t="s">
        <v>337</v>
      </c>
    </row>
    <row r="96" spans="1:7" ht="15.75" customHeight="1">
      <c r="B96" s="1" t="s">
        <v>357</v>
      </c>
      <c r="C96" s="1">
        <v>0</v>
      </c>
      <c r="D96" s="1" t="s">
        <v>353</v>
      </c>
      <c r="E96" s="1" t="s">
        <v>357</v>
      </c>
      <c r="F96" s="1" t="s">
        <v>356</v>
      </c>
      <c r="G96" s="1" t="s">
        <v>337</v>
      </c>
    </row>
    <row r="97" spans="1:26" ht="15.75" customHeight="1">
      <c r="B97" s="1" t="s">
        <v>360</v>
      </c>
      <c r="C97" s="1">
        <v>0</v>
      </c>
      <c r="D97" s="1" t="s">
        <v>353</v>
      </c>
      <c r="E97" s="1" t="s">
        <v>360</v>
      </c>
      <c r="F97" s="1" t="s">
        <v>356</v>
      </c>
      <c r="G97" s="1" t="s">
        <v>337</v>
      </c>
    </row>
    <row r="98" spans="1:26" ht="15.75" customHeight="1">
      <c r="A98" s="1" t="s">
        <v>369</v>
      </c>
      <c r="B98" s="1" t="s">
        <v>370</v>
      </c>
      <c r="C98" s="1" t="s">
        <v>369</v>
      </c>
      <c r="D98" s="1" t="s">
        <v>369</v>
      </c>
      <c r="E98" s="1" t="s">
        <v>370</v>
      </c>
      <c r="F98" s="1" t="s">
        <v>356</v>
      </c>
      <c r="G98" s="1" t="s">
        <v>337</v>
      </c>
    </row>
    <row r="99" spans="1:26" ht="15.75" customHeight="1">
      <c r="A99" s="7" t="s">
        <v>372</v>
      </c>
      <c r="B99" s="7" t="s">
        <v>373</v>
      </c>
      <c r="C99" s="7" t="s">
        <v>372</v>
      </c>
      <c r="D99" s="7" t="s">
        <v>372</v>
      </c>
      <c r="E99" s="7" t="s">
        <v>373</v>
      </c>
      <c r="F99" s="1" t="s">
        <v>356</v>
      </c>
      <c r="G99" s="1" t="s">
        <v>337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1" t="s">
        <v>380</v>
      </c>
      <c r="B100" s="1" t="s">
        <v>382</v>
      </c>
      <c r="C100" s="1" t="s">
        <v>380</v>
      </c>
      <c r="D100" s="1" t="s">
        <v>380</v>
      </c>
      <c r="E100" s="1" t="s">
        <v>382</v>
      </c>
      <c r="F100" s="1" t="s">
        <v>384</v>
      </c>
    </row>
    <row r="101" spans="1:26" ht="15.75" customHeight="1">
      <c r="A101" s="1" t="s">
        <v>387</v>
      </c>
      <c r="B101" s="1" t="s">
        <v>388</v>
      </c>
      <c r="C101" s="1" t="s">
        <v>387</v>
      </c>
      <c r="D101" s="1" t="s">
        <v>387</v>
      </c>
      <c r="E101" s="1" t="s">
        <v>388</v>
      </c>
      <c r="F101" s="1" t="s">
        <v>388</v>
      </c>
    </row>
    <row r="102" spans="1:26" ht="15.75" customHeight="1">
      <c r="A102" s="1" t="s">
        <v>391</v>
      </c>
      <c r="B102" s="1" t="s">
        <v>392</v>
      </c>
      <c r="C102" s="1" t="s">
        <v>391</v>
      </c>
      <c r="D102" s="1" t="s">
        <v>391</v>
      </c>
      <c r="E102" s="1" t="s">
        <v>392</v>
      </c>
      <c r="F102" s="1" t="s">
        <v>388</v>
      </c>
    </row>
    <row r="103" spans="1:26" ht="15.75" customHeight="1">
      <c r="A103" s="1" t="s">
        <v>395</v>
      </c>
      <c r="B103" s="1" t="s">
        <v>396</v>
      </c>
      <c r="C103" s="1" t="s">
        <v>395</v>
      </c>
      <c r="D103" s="1" t="s">
        <v>395</v>
      </c>
      <c r="E103" s="1" t="s">
        <v>396</v>
      </c>
      <c r="F103" s="1" t="s">
        <v>396</v>
      </c>
    </row>
    <row r="104" spans="1:26" ht="15.75" customHeight="1">
      <c r="A104" s="1" t="s">
        <v>400</v>
      </c>
      <c r="B104" s="1" t="s">
        <v>401</v>
      </c>
      <c r="C104" s="1" t="s">
        <v>400</v>
      </c>
      <c r="D104" s="1" t="s">
        <v>400</v>
      </c>
      <c r="E104" s="1" t="s">
        <v>401</v>
      </c>
      <c r="F104" s="1" t="s">
        <v>401</v>
      </c>
    </row>
    <row r="105" spans="1:26" ht="15.75" customHeight="1">
      <c r="A105" s="1" t="s">
        <v>402</v>
      </c>
      <c r="B105" s="1" t="s">
        <v>403</v>
      </c>
      <c r="C105" s="1" t="s">
        <v>402</v>
      </c>
      <c r="D105" s="1" t="s">
        <v>402</v>
      </c>
      <c r="E105" s="1" t="s">
        <v>403</v>
      </c>
      <c r="F105" s="1" t="s">
        <v>403</v>
      </c>
    </row>
    <row r="106" spans="1:26" ht="15.75" customHeight="1">
      <c r="B106" s="1" t="s">
        <v>404</v>
      </c>
      <c r="C106" s="1">
        <v>0</v>
      </c>
      <c r="D106" s="1" t="s">
        <v>402</v>
      </c>
      <c r="E106" s="1" t="s">
        <v>404</v>
      </c>
      <c r="F106" s="1" t="s">
        <v>403</v>
      </c>
    </row>
    <row r="107" spans="1:26" ht="15.75" customHeight="1">
      <c r="A107" s="1" t="s">
        <v>407</v>
      </c>
      <c r="B107" s="1" t="s">
        <v>408</v>
      </c>
      <c r="C107" s="1" t="s">
        <v>407</v>
      </c>
      <c r="D107" s="1" t="s">
        <v>407</v>
      </c>
      <c r="E107" s="1" t="s">
        <v>408</v>
      </c>
      <c r="F107" s="1" t="s">
        <v>408</v>
      </c>
    </row>
    <row r="108" spans="1:26" ht="15.75" customHeight="1">
      <c r="B108" s="1" t="s">
        <v>414</v>
      </c>
      <c r="C108" s="1">
        <v>0</v>
      </c>
      <c r="D108" s="1" t="s">
        <v>407</v>
      </c>
      <c r="E108" s="1" t="s">
        <v>414</v>
      </c>
      <c r="F108" s="1" t="s">
        <v>408</v>
      </c>
    </row>
    <row r="109" spans="1:26" ht="15.75" customHeight="1">
      <c r="B109" s="1" t="s">
        <v>417</v>
      </c>
      <c r="C109" s="1">
        <v>0</v>
      </c>
      <c r="D109" s="1" t="s">
        <v>407</v>
      </c>
      <c r="E109" s="1" t="s">
        <v>417</v>
      </c>
      <c r="F109" s="1" t="s">
        <v>408</v>
      </c>
    </row>
    <row r="110" spans="1:26" ht="15.75" customHeight="1">
      <c r="B110" s="1" t="s">
        <v>418</v>
      </c>
      <c r="C110" s="1">
        <v>0</v>
      </c>
      <c r="D110" s="1" t="s">
        <v>407</v>
      </c>
      <c r="E110" s="1" t="s">
        <v>418</v>
      </c>
      <c r="F110" s="1" t="s">
        <v>408</v>
      </c>
    </row>
    <row r="111" spans="1:26" ht="15.75" customHeight="1">
      <c r="A111" s="1" t="s">
        <v>424</v>
      </c>
      <c r="B111" s="1" t="s">
        <v>425</v>
      </c>
      <c r="C111" s="1" t="s">
        <v>424</v>
      </c>
      <c r="D111" s="1" t="s">
        <v>424</v>
      </c>
      <c r="E111" s="1" t="s">
        <v>425</v>
      </c>
      <c r="F111" s="1" t="s">
        <v>408</v>
      </c>
    </row>
    <row r="112" spans="1:26" ht="15.75" customHeight="1">
      <c r="B112" s="1" t="s">
        <v>429</v>
      </c>
      <c r="C112" s="1">
        <v>0</v>
      </c>
      <c r="D112" s="1" t="s">
        <v>424</v>
      </c>
      <c r="E112" s="1" t="s">
        <v>429</v>
      </c>
      <c r="F112" s="1" t="s">
        <v>408</v>
      </c>
    </row>
    <row r="113" spans="1:26" ht="15.75" customHeight="1">
      <c r="B113" s="1" t="s">
        <v>430</v>
      </c>
      <c r="C113" s="1">
        <v>0</v>
      </c>
      <c r="D113" s="1" t="s">
        <v>424</v>
      </c>
      <c r="E113" s="1" t="s">
        <v>430</v>
      </c>
      <c r="F113" s="1" t="s">
        <v>408</v>
      </c>
    </row>
    <row r="114" spans="1:26" ht="15.75" customHeight="1">
      <c r="B114" s="1" t="s">
        <v>431</v>
      </c>
      <c r="C114" s="1">
        <v>0</v>
      </c>
      <c r="D114" s="1" t="s">
        <v>424</v>
      </c>
      <c r="E114" s="1" t="s">
        <v>431</v>
      </c>
      <c r="F114" s="1" t="s">
        <v>408</v>
      </c>
    </row>
    <row r="115" spans="1:26" ht="15.75" customHeight="1">
      <c r="A115" s="7" t="s">
        <v>434</v>
      </c>
      <c r="B115" s="7" t="s">
        <v>436</v>
      </c>
      <c r="C115" s="7" t="s">
        <v>434</v>
      </c>
      <c r="D115" s="7" t="s">
        <v>434</v>
      </c>
      <c r="E115" s="7" t="s">
        <v>436</v>
      </c>
      <c r="F115" s="1" t="s">
        <v>408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1" t="s">
        <v>441</v>
      </c>
      <c r="B116" s="1" t="s">
        <v>442</v>
      </c>
      <c r="C116" s="1" t="s">
        <v>441</v>
      </c>
      <c r="D116" s="1" t="s">
        <v>441</v>
      </c>
      <c r="E116" s="1" t="s">
        <v>442</v>
      </c>
      <c r="F116" s="1" t="s">
        <v>443</v>
      </c>
    </row>
    <row r="117" spans="1:26" ht="15.75" customHeight="1">
      <c r="A117" s="1" t="s">
        <v>444</v>
      </c>
      <c r="B117" s="1" t="s">
        <v>445</v>
      </c>
      <c r="C117" s="1" t="s">
        <v>444</v>
      </c>
      <c r="D117" s="1" t="s">
        <v>444</v>
      </c>
      <c r="E117" s="1" t="s">
        <v>445</v>
      </c>
      <c r="F117" s="7" t="s">
        <v>447</v>
      </c>
      <c r="G117" s="7"/>
    </row>
    <row r="118" spans="1:26" ht="15.75" customHeight="1">
      <c r="B118" s="1" t="s">
        <v>449</v>
      </c>
      <c r="C118" s="1">
        <v>0</v>
      </c>
      <c r="D118" s="1" t="s">
        <v>444</v>
      </c>
      <c r="E118" s="1" t="s">
        <v>449</v>
      </c>
      <c r="F118" s="7" t="s">
        <v>447</v>
      </c>
      <c r="G118" s="7"/>
    </row>
    <row r="119" spans="1:26" ht="15.75" customHeight="1">
      <c r="A119" s="1" t="s">
        <v>453</v>
      </c>
      <c r="B119" s="1" t="s">
        <v>454</v>
      </c>
      <c r="C119" s="1" t="s">
        <v>453</v>
      </c>
      <c r="D119" s="1" t="s">
        <v>453</v>
      </c>
      <c r="E119" s="1" t="s">
        <v>454</v>
      </c>
      <c r="F119" s="7" t="s">
        <v>447</v>
      </c>
      <c r="G119" s="7"/>
    </row>
    <row r="120" spans="1:26" ht="15.75" customHeight="1">
      <c r="B120" s="1" t="s">
        <v>455</v>
      </c>
      <c r="C120" s="1">
        <v>0</v>
      </c>
      <c r="D120" s="1" t="s">
        <v>453</v>
      </c>
      <c r="E120" s="1" t="s">
        <v>455</v>
      </c>
      <c r="F120" s="7" t="s">
        <v>447</v>
      </c>
      <c r="G120" s="7"/>
    </row>
    <row r="121" spans="1:26" ht="15.75" customHeight="1">
      <c r="B121" s="1" t="s">
        <v>456</v>
      </c>
      <c r="C121" s="1">
        <v>0</v>
      </c>
      <c r="D121" s="1" t="s">
        <v>453</v>
      </c>
      <c r="E121" s="1" t="s">
        <v>456</v>
      </c>
      <c r="F121" s="7" t="s">
        <v>447</v>
      </c>
      <c r="G121" s="7"/>
    </row>
    <row r="122" spans="1:26" ht="15.75" customHeight="1">
      <c r="B122" s="1" t="s">
        <v>463</v>
      </c>
      <c r="C122" s="1">
        <v>0</v>
      </c>
      <c r="D122" s="1" t="s">
        <v>453</v>
      </c>
      <c r="E122" s="1" t="s">
        <v>463</v>
      </c>
      <c r="F122" s="7" t="s">
        <v>447</v>
      </c>
      <c r="G122" s="7"/>
    </row>
    <row r="123" spans="1:26" ht="15.75" customHeight="1">
      <c r="A123" s="7" t="s">
        <v>467</v>
      </c>
      <c r="B123" s="7" t="s">
        <v>445</v>
      </c>
      <c r="C123" s="7" t="s">
        <v>467</v>
      </c>
      <c r="D123" s="7" t="s">
        <v>467</v>
      </c>
      <c r="E123" s="7" t="s">
        <v>445</v>
      </c>
      <c r="F123" s="7" t="s">
        <v>447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1" t="s">
        <v>471</v>
      </c>
      <c r="B124" s="1" t="s">
        <v>473</v>
      </c>
      <c r="C124" s="1" t="s">
        <v>471</v>
      </c>
      <c r="D124" s="1" t="s">
        <v>471</v>
      </c>
      <c r="E124" s="1" t="s">
        <v>473</v>
      </c>
      <c r="F124" s="1" t="s">
        <v>476</v>
      </c>
    </row>
    <row r="125" spans="1:26" ht="15.75" customHeight="1">
      <c r="A125" s="1" t="s">
        <v>477</v>
      </c>
      <c r="B125" s="1" t="s">
        <v>479</v>
      </c>
      <c r="C125" s="1" t="s">
        <v>477</v>
      </c>
      <c r="D125" s="1" t="s">
        <v>477</v>
      </c>
      <c r="E125" s="1" t="s">
        <v>479</v>
      </c>
      <c r="F125" s="1" t="s">
        <v>479</v>
      </c>
    </row>
    <row r="126" spans="1:26" ht="15.75" customHeight="1">
      <c r="B126" s="1" t="s">
        <v>482</v>
      </c>
      <c r="C126" s="1">
        <v>0</v>
      </c>
      <c r="D126" s="1" t="s">
        <v>477</v>
      </c>
      <c r="E126" s="1" t="s">
        <v>482</v>
      </c>
      <c r="F126" s="1" t="s">
        <v>479</v>
      </c>
    </row>
    <row r="127" spans="1:26" ht="15.75" customHeight="1">
      <c r="A127" s="1" t="s">
        <v>484</v>
      </c>
      <c r="B127" s="1" t="s">
        <v>485</v>
      </c>
      <c r="C127" s="1" t="s">
        <v>484</v>
      </c>
      <c r="D127" s="1" t="s">
        <v>484</v>
      </c>
      <c r="E127" s="1" t="s">
        <v>485</v>
      </c>
      <c r="F127" s="1" t="s">
        <v>489</v>
      </c>
    </row>
    <row r="128" spans="1:26" ht="15.75" customHeight="1">
      <c r="A128" s="1" t="s">
        <v>491</v>
      </c>
      <c r="B128" s="1" t="s">
        <v>492</v>
      </c>
      <c r="C128" s="1" t="s">
        <v>491</v>
      </c>
      <c r="D128" s="1" t="s">
        <v>491</v>
      </c>
      <c r="E128" s="1" t="s">
        <v>492</v>
      </c>
      <c r="F128" s="1" t="s">
        <v>495</v>
      </c>
    </row>
    <row r="129" spans="1:6" ht="15.75" customHeight="1">
      <c r="A129" s="1" t="s">
        <v>497</v>
      </c>
      <c r="B129" s="1" t="s">
        <v>498</v>
      </c>
      <c r="C129" s="1" t="s">
        <v>497</v>
      </c>
      <c r="D129" s="1" t="s">
        <v>497</v>
      </c>
      <c r="E129" s="1" t="s">
        <v>498</v>
      </c>
      <c r="F129" s="1" t="s">
        <v>499</v>
      </c>
    </row>
    <row r="130" spans="1:6" ht="15.75" customHeight="1">
      <c r="A130" s="1" t="s">
        <v>502</v>
      </c>
      <c r="B130" s="1" t="s">
        <v>503</v>
      </c>
      <c r="C130" s="1" t="s">
        <v>502</v>
      </c>
      <c r="D130" s="1" t="s">
        <v>502</v>
      </c>
      <c r="E130" s="1" t="s">
        <v>503</v>
      </c>
      <c r="F130" s="1" t="s">
        <v>504</v>
      </c>
    </row>
    <row r="131" spans="1:6" ht="15.75" customHeight="1">
      <c r="A131" s="1" t="s">
        <v>505</v>
      </c>
      <c r="B131" s="1" t="s">
        <v>506</v>
      </c>
      <c r="C131" s="1" t="s">
        <v>505</v>
      </c>
      <c r="D131" s="1" t="s">
        <v>505</v>
      </c>
      <c r="E131" s="1" t="s">
        <v>506</v>
      </c>
      <c r="F131" s="1" t="s">
        <v>510</v>
      </c>
    </row>
    <row r="132" spans="1:6" ht="15.75" customHeight="1">
      <c r="B132" s="1" t="s">
        <v>510</v>
      </c>
      <c r="C132" s="1">
        <v>0</v>
      </c>
      <c r="D132" s="1" t="s">
        <v>505</v>
      </c>
      <c r="E132" s="1" t="s">
        <v>510</v>
      </c>
      <c r="F132" s="1" t="s">
        <v>510</v>
      </c>
    </row>
    <row r="133" spans="1:6" ht="15.75" customHeight="1">
      <c r="B133" s="1" t="s">
        <v>518</v>
      </c>
      <c r="C133" s="1">
        <v>0</v>
      </c>
      <c r="D133" s="1" t="s">
        <v>505</v>
      </c>
      <c r="E133" s="1" t="s">
        <v>518</v>
      </c>
      <c r="F133" s="1" t="s">
        <v>510</v>
      </c>
    </row>
    <row r="134" spans="1:6" ht="15.75" customHeight="1">
      <c r="A134" s="1" t="s">
        <v>521</v>
      </c>
      <c r="B134" s="1" t="s">
        <v>522</v>
      </c>
      <c r="C134" s="1" t="s">
        <v>521</v>
      </c>
      <c r="D134" s="1" t="s">
        <v>521</v>
      </c>
      <c r="E134" s="1" t="s">
        <v>522</v>
      </c>
      <c r="F134" s="1" t="s">
        <v>522</v>
      </c>
    </row>
    <row r="135" spans="1:6" ht="15.75" customHeight="1">
      <c r="A135" s="1" t="s">
        <v>523</v>
      </c>
      <c r="B135" s="1" t="s">
        <v>524</v>
      </c>
      <c r="C135" s="1" t="s">
        <v>523</v>
      </c>
      <c r="D135" s="1" t="s">
        <v>523</v>
      </c>
      <c r="E135" s="1" t="s">
        <v>524</v>
      </c>
      <c r="F135" s="1" t="s">
        <v>528</v>
      </c>
    </row>
    <row r="136" spans="1:6" ht="15.75" customHeight="1">
      <c r="B136" s="1" t="s">
        <v>529</v>
      </c>
      <c r="C136" s="1">
        <v>0</v>
      </c>
      <c r="D136" s="1" t="s">
        <v>523</v>
      </c>
      <c r="E136" s="1" t="s">
        <v>529</v>
      </c>
      <c r="F136" s="1" t="s">
        <v>528</v>
      </c>
    </row>
    <row r="137" spans="1:6" ht="15.75" customHeight="1">
      <c r="B137" s="1" t="s">
        <v>536</v>
      </c>
      <c r="C137" s="1">
        <v>0</v>
      </c>
      <c r="D137" s="1" t="s">
        <v>523</v>
      </c>
      <c r="E137" s="1" t="s">
        <v>536</v>
      </c>
      <c r="F137" s="1" t="s">
        <v>528</v>
      </c>
    </row>
    <row r="138" spans="1:6" ht="15.75" customHeight="1">
      <c r="A138" s="1" t="s">
        <v>538</v>
      </c>
      <c r="B138" s="1" t="s">
        <v>539</v>
      </c>
      <c r="C138" s="1" t="s">
        <v>538</v>
      </c>
      <c r="D138" s="1" t="s">
        <v>538</v>
      </c>
      <c r="E138" s="1" t="s">
        <v>539</v>
      </c>
      <c r="F138" s="1" t="s">
        <v>540</v>
      </c>
    </row>
    <row r="139" spans="1:6" ht="15.75" customHeight="1">
      <c r="A139" s="1" t="s">
        <v>541</v>
      </c>
      <c r="B139" s="1" t="s">
        <v>542</v>
      </c>
      <c r="C139" s="1" t="s">
        <v>541</v>
      </c>
      <c r="D139" s="1" t="s">
        <v>541</v>
      </c>
      <c r="E139" s="1" t="s">
        <v>542</v>
      </c>
      <c r="F139" s="1" t="s">
        <v>546</v>
      </c>
    </row>
    <row r="140" spans="1:6" ht="15.75" customHeight="1">
      <c r="B140" s="1" t="s">
        <v>547</v>
      </c>
      <c r="C140" s="1">
        <v>0</v>
      </c>
      <c r="D140" s="1" t="s">
        <v>541</v>
      </c>
      <c r="E140" s="1" t="s">
        <v>547</v>
      </c>
      <c r="F140" s="1" t="s">
        <v>546</v>
      </c>
    </row>
    <row r="141" spans="1:6" ht="15.75" customHeight="1">
      <c r="B141" s="1" t="s">
        <v>552</v>
      </c>
      <c r="C141" s="1">
        <v>0</v>
      </c>
      <c r="D141" s="1" t="s">
        <v>541</v>
      </c>
      <c r="E141" s="1" t="s">
        <v>552</v>
      </c>
      <c r="F141" s="1" t="s">
        <v>546</v>
      </c>
    </row>
    <row r="142" spans="1:6" ht="15.75" customHeight="1">
      <c r="B142" s="1" t="s">
        <v>556</v>
      </c>
      <c r="C142" s="1">
        <v>0</v>
      </c>
      <c r="D142" s="1" t="s">
        <v>541</v>
      </c>
      <c r="E142" s="1" t="s">
        <v>556</v>
      </c>
      <c r="F142" s="1" t="s">
        <v>546</v>
      </c>
    </row>
    <row r="143" spans="1:6" ht="15.75" customHeight="1">
      <c r="B143" s="1" t="s">
        <v>557</v>
      </c>
      <c r="C143" s="1">
        <v>0</v>
      </c>
      <c r="D143" s="1" t="s">
        <v>541</v>
      </c>
      <c r="E143" s="1" t="s">
        <v>557</v>
      </c>
      <c r="F143" s="1" t="s">
        <v>546</v>
      </c>
    </row>
    <row r="144" spans="1:6" ht="15.75" customHeight="1">
      <c r="B144" s="1" t="s">
        <v>561</v>
      </c>
      <c r="C144" s="1">
        <v>0</v>
      </c>
      <c r="D144" s="1" t="s">
        <v>541</v>
      </c>
      <c r="E144" s="1" t="s">
        <v>561</v>
      </c>
      <c r="F144" s="1" t="s">
        <v>546</v>
      </c>
    </row>
    <row r="145" spans="1:26" ht="15.75" customHeight="1">
      <c r="B145" s="1" t="s">
        <v>564</v>
      </c>
      <c r="C145" s="1">
        <v>0</v>
      </c>
      <c r="D145" s="1" t="s">
        <v>541</v>
      </c>
      <c r="E145" s="1" t="s">
        <v>564</v>
      </c>
      <c r="F145" s="1" t="s">
        <v>546</v>
      </c>
    </row>
    <row r="146" spans="1:26" ht="15.75" customHeight="1">
      <c r="A146" s="1" t="s">
        <v>567</v>
      </c>
      <c r="B146" s="1" t="s">
        <v>568</v>
      </c>
      <c r="C146" s="1" t="s">
        <v>567</v>
      </c>
      <c r="D146" s="1" t="s">
        <v>567</v>
      </c>
      <c r="E146" s="1" t="s">
        <v>568</v>
      </c>
      <c r="F146" s="1" t="s">
        <v>546</v>
      </c>
    </row>
    <row r="147" spans="1:26" ht="15.75" customHeight="1">
      <c r="A147" s="1" t="s">
        <v>571</v>
      </c>
      <c r="B147" s="1" t="s">
        <v>577</v>
      </c>
      <c r="C147" s="1" t="s">
        <v>571</v>
      </c>
      <c r="D147" s="1" t="s">
        <v>571</v>
      </c>
      <c r="E147" s="1" t="s">
        <v>577</v>
      </c>
      <c r="F147" s="1" t="s">
        <v>546</v>
      </c>
    </row>
    <row r="148" spans="1:26" ht="15.75" customHeight="1">
      <c r="B148" s="1" t="s">
        <v>581</v>
      </c>
      <c r="C148" s="1">
        <v>0</v>
      </c>
      <c r="D148" s="1" t="s">
        <v>571</v>
      </c>
      <c r="E148" s="1" t="s">
        <v>581</v>
      </c>
      <c r="F148" s="1" t="s">
        <v>546</v>
      </c>
    </row>
    <row r="149" spans="1:26" ht="15.75" customHeight="1">
      <c r="B149" s="1" t="s">
        <v>582</v>
      </c>
      <c r="C149" s="1">
        <v>0</v>
      </c>
      <c r="D149" s="1" t="s">
        <v>571</v>
      </c>
      <c r="E149" s="1" t="s">
        <v>582</v>
      </c>
      <c r="F149" s="1" t="s">
        <v>546</v>
      </c>
    </row>
    <row r="150" spans="1:26" ht="15.75" customHeight="1">
      <c r="B150" s="1" t="s">
        <v>585</v>
      </c>
      <c r="C150" s="1">
        <v>0</v>
      </c>
      <c r="D150" s="1" t="s">
        <v>571</v>
      </c>
      <c r="E150" s="1" t="s">
        <v>585</v>
      </c>
      <c r="F150" s="1" t="s">
        <v>546</v>
      </c>
    </row>
    <row r="151" spans="1:26" ht="15.75" customHeight="1">
      <c r="B151" s="1" t="s">
        <v>588</v>
      </c>
      <c r="C151" s="1">
        <v>0</v>
      </c>
      <c r="D151" s="1" t="s">
        <v>571</v>
      </c>
      <c r="E151" s="1" t="s">
        <v>588</v>
      </c>
      <c r="F151" s="1" t="s">
        <v>546</v>
      </c>
    </row>
    <row r="152" spans="1:26" ht="15.75" customHeight="1">
      <c r="B152" s="1" t="s">
        <v>590</v>
      </c>
      <c r="C152" s="1">
        <v>0</v>
      </c>
      <c r="D152" s="1" t="s">
        <v>571</v>
      </c>
      <c r="E152" s="1" t="s">
        <v>590</v>
      </c>
      <c r="F152" s="1" t="s">
        <v>546</v>
      </c>
    </row>
    <row r="153" spans="1:26" ht="15.75" customHeight="1">
      <c r="B153" s="1" t="s">
        <v>594</v>
      </c>
      <c r="C153" s="1">
        <v>0</v>
      </c>
      <c r="D153" s="1" t="s">
        <v>571</v>
      </c>
      <c r="E153" s="1" t="s">
        <v>594</v>
      </c>
      <c r="F153" s="1" t="s">
        <v>546</v>
      </c>
    </row>
    <row r="154" spans="1:26" ht="15.75" customHeight="1">
      <c r="B154" s="1" t="s">
        <v>598</v>
      </c>
      <c r="C154" s="1">
        <v>0</v>
      </c>
      <c r="D154" s="1" t="s">
        <v>571</v>
      </c>
      <c r="E154" s="1" t="s">
        <v>598</v>
      </c>
      <c r="F154" s="1" t="s">
        <v>546</v>
      </c>
    </row>
    <row r="155" spans="1:26" ht="15.75" customHeight="1">
      <c r="A155" s="1" t="s">
        <v>600</v>
      </c>
      <c r="B155" s="1" t="s">
        <v>601</v>
      </c>
      <c r="C155" s="1" t="s">
        <v>600</v>
      </c>
      <c r="D155" s="1" t="s">
        <v>600</v>
      </c>
      <c r="E155" s="1" t="s">
        <v>601</v>
      </c>
      <c r="F155" s="1" t="s">
        <v>602</v>
      </c>
    </row>
    <row r="156" spans="1:26" ht="15.75" customHeight="1">
      <c r="A156" s="1" t="s">
        <v>603</v>
      </c>
      <c r="B156" s="1" t="s">
        <v>604</v>
      </c>
      <c r="C156" s="1" t="s">
        <v>603</v>
      </c>
      <c r="D156" s="1" t="s">
        <v>603</v>
      </c>
      <c r="E156" s="1" t="s">
        <v>604</v>
      </c>
      <c r="F156" s="1" t="s">
        <v>607</v>
      </c>
    </row>
    <row r="157" spans="1:26" ht="15.75" customHeight="1">
      <c r="B157" s="1" t="s">
        <v>609</v>
      </c>
      <c r="C157" s="1">
        <v>0</v>
      </c>
      <c r="D157" s="1" t="s">
        <v>603</v>
      </c>
      <c r="E157" s="1" t="s">
        <v>609</v>
      </c>
      <c r="F157" s="1" t="s">
        <v>607</v>
      </c>
    </row>
    <row r="158" spans="1:26" ht="15.75" customHeight="1">
      <c r="B158" s="1" t="s">
        <v>613</v>
      </c>
      <c r="C158" s="1">
        <v>0</v>
      </c>
      <c r="D158" s="1" t="s">
        <v>603</v>
      </c>
      <c r="E158" s="1" t="s">
        <v>613</v>
      </c>
      <c r="F158" s="1" t="s">
        <v>607</v>
      </c>
    </row>
    <row r="159" spans="1:26" ht="15.75" customHeight="1">
      <c r="A159" s="1" t="s">
        <v>615</v>
      </c>
      <c r="B159" s="1" t="s">
        <v>616</v>
      </c>
      <c r="C159" s="1" t="s">
        <v>615</v>
      </c>
      <c r="D159" s="1" t="s">
        <v>615</v>
      </c>
      <c r="E159" s="1" t="s">
        <v>616</v>
      </c>
      <c r="F159" s="1" t="s">
        <v>607</v>
      </c>
    </row>
    <row r="160" spans="1:26" ht="15.75" customHeight="1">
      <c r="A160" s="7" t="s">
        <v>617</v>
      </c>
      <c r="B160" s="7" t="s">
        <v>618</v>
      </c>
      <c r="C160" s="7" t="s">
        <v>617</v>
      </c>
      <c r="D160" s="7" t="s">
        <v>617</v>
      </c>
      <c r="E160" s="7" t="s">
        <v>618</v>
      </c>
      <c r="F160" s="7" t="s">
        <v>607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 t="s">
        <v>626</v>
      </c>
      <c r="B161" s="7" t="s">
        <v>627</v>
      </c>
      <c r="C161" s="7" t="s">
        <v>626</v>
      </c>
      <c r="D161" s="7" t="s">
        <v>626</v>
      </c>
      <c r="E161" s="7" t="s">
        <v>627</v>
      </c>
      <c r="F161" s="7" t="s">
        <v>607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1" t="s">
        <v>631</v>
      </c>
      <c r="B162" s="1" t="s">
        <v>632</v>
      </c>
      <c r="C162" s="1" t="s">
        <v>631</v>
      </c>
      <c r="D162" s="1" t="s">
        <v>631</v>
      </c>
      <c r="E162" s="1" t="s">
        <v>632</v>
      </c>
      <c r="F162" s="1" t="s">
        <v>633</v>
      </c>
    </row>
    <row r="163" spans="1:26" ht="15.75" customHeight="1">
      <c r="B163" s="1" t="s">
        <v>636</v>
      </c>
      <c r="C163" s="1">
        <v>0</v>
      </c>
      <c r="D163" s="1" t="s">
        <v>631</v>
      </c>
      <c r="E163" s="1" t="s">
        <v>636</v>
      </c>
      <c r="F163" s="1" t="s">
        <v>633</v>
      </c>
    </row>
    <row r="164" spans="1:26" ht="15.75" customHeight="1">
      <c r="A164" s="1" t="s">
        <v>641</v>
      </c>
      <c r="B164" s="1" t="s">
        <v>642</v>
      </c>
      <c r="C164" s="1" t="s">
        <v>641</v>
      </c>
      <c r="D164" s="1" t="s">
        <v>641</v>
      </c>
      <c r="E164" s="1" t="s">
        <v>642</v>
      </c>
      <c r="F164" s="1" t="s">
        <v>643</v>
      </c>
    </row>
    <row r="165" spans="1:26" ht="15.75" customHeight="1">
      <c r="B165" s="1" t="s">
        <v>644</v>
      </c>
      <c r="C165" s="1">
        <v>0</v>
      </c>
      <c r="D165" s="1" t="s">
        <v>641</v>
      </c>
      <c r="E165" s="1" t="s">
        <v>644</v>
      </c>
      <c r="F165" s="1" t="s">
        <v>643</v>
      </c>
    </row>
    <row r="166" spans="1:26" ht="15.75" customHeight="1">
      <c r="A166" s="1" t="s">
        <v>647</v>
      </c>
      <c r="B166" s="1" t="s">
        <v>648</v>
      </c>
      <c r="C166" s="1" t="s">
        <v>647</v>
      </c>
      <c r="D166" s="1" t="s">
        <v>647</v>
      </c>
      <c r="E166" s="1" t="s">
        <v>648</v>
      </c>
      <c r="F166" s="1" t="s">
        <v>651</v>
      </c>
    </row>
    <row r="167" spans="1:26" ht="15.75" customHeight="1">
      <c r="A167" s="1" t="s">
        <v>654</v>
      </c>
      <c r="B167" s="1" t="s">
        <v>655</v>
      </c>
      <c r="C167" s="1" t="s">
        <v>654</v>
      </c>
      <c r="D167" s="1" t="s">
        <v>654</v>
      </c>
      <c r="E167" s="1" t="s">
        <v>655</v>
      </c>
      <c r="F167" s="1" t="s">
        <v>655</v>
      </c>
    </row>
    <row r="168" spans="1:26" ht="15.75" customHeight="1">
      <c r="B168" s="1" t="s">
        <v>659</v>
      </c>
      <c r="C168" s="1">
        <v>0</v>
      </c>
      <c r="D168" s="1" t="s">
        <v>654</v>
      </c>
      <c r="E168" s="1" t="s">
        <v>659</v>
      </c>
      <c r="F168" s="1" t="s">
        <v>655</v>
      </c>
    </row>
    <row r="169" spans="1:26" ht="15.75" customHeight="1">
      <c r="A169" s="1" t="s">
        <v>660</v>
      </c>
      <c r="B169" s="1" t="s">
        <v>661</v>
      </c>
      <c r="C169" s="1" t="s">
        <v>660</v>
      </c>
      <c r="D169" s="1" t="s">
        <v>660</v>
      </c>
      <c r="E169" s="1" t="s">
        <v>661</v>
      </c>
      <c r="F169" s="1" t="s">
        <v>661</v>
      </c>
    </row>
    <row r="170" spans="1:26" ht="15.75" customHeight="1">
      <c r="B170" s="1" t="s">
        <v>665</v>
      </c>
      <c r="C170" s="1">
        <v>0</v>
      </c>
      <c r="D170" s="1" t="s">
        <v>660</v>
      </c>
      <c r="E170" s="1" t="s">
        <v>665</v>
      </c>
      <c r="F170" s="1" t="s">
        <v>661</v>
      </c>
    </row>
    <row r="171" spans="1:26" ht="15.75" customHeight="1">
      <c r="A171" s="1" t="s">
        <v>670</v>
      </c>
      <c r="B171" s="1" t="s">
        <v>671</v>
      </c>
      <c r="C171" s="1" t="s">
        <v>670</v>
      </c>
      <c r="D171" s="1" t="s">
        <v>670</v>
      </c>
      <c r="E171" s="1" t="s">
        <v>671</v>
      </c>
      <c r="F171" s="1" t="s">
        <v>671</v>
      </c>
    </row>
    <row r="172" spans="1:26" ht="15.75" customHeight="1">
      <c r="A172" s="1" t="s">
        <v>673</v>
      </c>
      <c r="B172" s="1" t="s">
        <v>675</v>
      </c>
      <c r="C172" s="1" t="s">
        <v>673</v>
      </c>
      <c r="D172" s="1" t="s">
        <v>673</v>
      </c>
      <c r="E172" s="1" t="s">
        <v>675</v>
      </c>
      <c r="F172" s="1" t="s">
        <v>675</v>
      </c>
    </row>
    <row r="173" spans="1:26" ht="15.75" customHeight="1">
      <c r="A173" s="1" t="s">
        <v>676</v>
      </c>
      <c r="B173" s="1" t="s">
        <v>677</v>
      </c>
      <c r="C173" s="1" t="s">
        <v>676</v>
      </c>
      <c r="D173" s="1" t="s">
        <v>676</v>
      </c>
      <c r="E173" s="1" t="s">
        <v>677</v>
      </c>
      <c r="F173" s="1" t="s">
        <v>678</v>
      </c>
    </row>
    <row r="174" spans="1:26" ht="15.75" customHeight="1">
      <c r="B174" s="1" t="s">
        <v>681</v>
      </c>
      <c r="C174" s="1">
        <v>0</v>
      </c>
      <c r="D174" s="1" t="s">
        <v>676</v>
      </c>
      <c r="E174" s="1" t="s">
        <v>681</v>
      </c>
      <c r="F174" s="1" t="s">
        <v>678</v>
      </c>
    </row>
    <row r="175" spans="1:26" ht="15.75" customHeight="1">
      <c r="A175" s="7" t="s">
        <v>685</v>
      </c>
      <c r="B175" s="7" t="s">
        <v>686</v>
      </c>
      <c r="C175" s="7" t="s">
        <v>685</v>
      </c>
      <c r="D175" s="7" t="s">
        <v>685</v>
      </c>
      <c r="E175" s="7" t="s">
        <v>686</v>
      </c>
      <c r="F175" s="1" t="s">
        <v>678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1" t="s">
        <v>692</v>
      </c>
      <c r="B176" s="1" t="s">
        <v>694</v>
      </c>
      <c r="C176" s="1" t="s">
        <v>692</v>
      </c>
      <c r="D176" s="1" t="s">
        <v>692</v>
      </c>
      <c r="E176" s="1" t="s">
        <v>694</v>
      </c>
      <c r="F176" s="1" t="s">
        <v>697</v>
      </c>
    </row>
    <row r="177" spans="1:26" ht="15.75" customHeight="1">
      <c r="A177" s="7" t="s">
        <v>700</v>
      </c>
      <c r="B177" s="7" t="s">
        <v>701</v>
      </c>
      <c r="C177" s="7" t="s">
        <v>700</v>
      </c>
      <c r="D177" s="7" t="s">
        <v>700</v>
      </c>
      <c r="E177" s="7" t="s">
        <v>701</v>
      </c>
      <c r="F177" s="7" t="s">
        <v>705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1" t="s">
        <v>711</v>
      </c>
      <c r="B178" s="1" t="s">
        <v>712</v>
      </c>
      <c r="C178" s="1" t="s">
        <v>711</v>
      </c>
      <c r="D178" s="1" t="s">
        <v>711</v>
      </c>
      <c r="E178" s="1" t="s">
        <v>712</v>
      </c>
      <c r="F178" s="1" t="s">
        <v>713</v>
      </c>
    </row>
    <row r="179" spans="1:26" ht="15.75" customHeight="1">
      <c r="B179" s="1" t="s">
        <v>717</v>
      </c>
      <c r="C179" s="1">
        <v>0</v>
      </c>
      <c r="D179" s="1" t="s">
        <v>711</v>
      </c>
      <c r="E179" s="1" t="s">
        <v>717</v>
      </c>
      <c r="F179" s="1" t="s">
        <v>713</v>
      </c>
    </row>
    <row r="180" spans="1:26" ht="15.75" customHeight="1">
      <c r="A180" s="1" t="s">
        <v>719</v>
      </c>
      <c r="B180" s="1" t="s">
        <v>721</v>
      </c>
      <c r="C180" s="1" t="s">
        <v>719</v>
      </c>
      <c r="D180" s="1" t="s">
        <v>719</v>
      </c>
      <c r="E180" s="1" t="s">
        <v>721</v>
      </c>
      <c r="F180" s="1" t="s">
        <v>724</v>
      </c>
    </row>
    <row r="181" spans="1:26" ht="15.75" customHeight="1">
      <c r="B181" s="1" t="s">
        <v>725</v>
      </c>
      <c r="C181" s="1">
        <v>0</v>
      </c>
      <c r="D181" s="1" t="s">
        <v>719</v>
      </c>
      <c r="E181" s="1" t="s">
        <v>725</v>
      </c>
      <c r="F181" s="1" t="s">
        <v>724</v>
      </c>
    </row>
    <row r="182" spans="1:26" ht="15.75" customHeight="1">
      <c r="A182" s="1" t="s">
        <v>730</v>
      </c>
      <c r="B182" s="1" t="s">
        <v>731</v>
      </c>
      <c r="C182" s="1" t="s">
        <v>730</v>
      </c>
      <c r="D182" s="1" t="s">
        <v>730</v>
      </c>
      <c r="E182" s="1" t="s">
        <v>731</v>
      </c>
      <c r="F182" s="1" t="s">
        <v>732</v>
      </c>
    </row>
    <row r="183" spans="1:26" ht="15.75" customHeight="1">
      <c r="A183" s="1" t="s">
        <v>735</v>
      </c>
      <c r="B183" s="1" t="s">
        <v>737</v>
      </c>
      <c r="C183" s="1" t="s">
        <v>735</v>
      </c>
      <c r="D183" s="1" t="s">
        <v>735</v>
      </c>
      <c r="E183" s="1" t="s">
        <v>737</v>
      </c>
      <c r="F183" s="1" t="s">
        <v>738</v>
      </c>
    </row>
    <row r="184" spans="1:26" ht="15.75" customHeight="1">
      <c r="A184" s="1" t="s">
        <v>741</v>
      </c>
      <c r="B184" s="1" t="s">
        <v>742</v>
      </c>
      <c r="C184" s="1" t="s">
        <v>741</v>
      </c>
      <c r="D184" s="1" t="s">
        <v>741</v>
      </c>
      <c r="E184" s="1" t="s">
        <v>742</v>
      </c>
      <c r="F184" s="1" t="s">
        <v>745</v>
      </c>
    </row>
    <row r="185" spans="1:26" ht="15.75" customHeight="1">
      <c r="B185" s="1" t="s">
        <v>747</v>
      </c>
      <c r="C185" s="1">
        <v>0</v>
      </c>
      <c r="D185" s="1" t="s">
        <v>741</v>
      </c>
      <c r="E185" s="1" t="s">
        <v>747</v>
      </c>
      <c r="F185" s="1" t="s">
        <v>745</v>
      </c>
    </row>
    <row r="186" spans="1:26" ht="15.75" customHeight="1">
      <c r="A186" s="1" t="s">
        <v>749</v>
      </c>
      <c r="B186" s="1" t="s">
        <v>750</v>
      </c>
      <c r="C186" s="1" t="s">
        <v>749</v>
      </c>
      <c r="D186" s="1" t="s">
        <v>749</v>
      </c>
      <c r="E186" s="1" t="s">
        <v>750</v>
      </c>
      <c r="F186" s="1" t="s">
        <v>751</v>
      </c>
    </row>
    <row r="187" spans="1:26" ht="15.75" customHeight="1">
      <c r="B187" s="1" t="s">
        <v>753</v>
      </c>
      <c r="C187" s="1">
        <v>0</v>
      </c>
      <c r="D187" s="1" t="s">
        <v>749</v>
      </c>
      <c r="E187" s="1" t="s">
        <v>753</v>
      </c>
      <c r="F187" s="1" t="s">
        <v>751</v>
      </c>
    </row>
    <row r="188" spans="1:26" ht="15.75" customHeight="1">
      <c r="B188" s="1" t="s">
        <v>756</v>
      </c>
      <c r="C188" s="1">
        <v>0</v>
      </c>
      <c r="D188" s="1" t="s">
        <v>749</v>
      </c>
      <c r="E188" s="1" t="s">
        <v>756</v>
      </c>
      <c r="F188" s="1" t="s">
        <v>751</v>
      </c>
    </row>
    <row r="189" spans="1:26" ht="15.75" customHeight="1">
      <c r="A189" s="1" t="s">
        <v>761</v>
      </c>
      <c r="B189" s="1" t="s">
        <v>762</v>
      </c>
      <c r="C189" s="1" t="s">
        <v>761</v>
      </c>
      <c r="D189" s="1" t="s">
        <v>761</v>
      </c>
      <c r="E189" s="1" t="s">
        <v>762</v>
      </c>
      <c r="F189" s="1" t="s">
        <v>764</v>
      </c>
    </row>
    <row r="190" spans="1:26" ht="15.75" customHeight="1">
      <c r="B190" s="1" t="s">
        <v>765</v>
      </c>
      <c r="C190" s="1">
        <v>0</v>
      </c>
      <c r="D190" s="1" t="s">
        <v>761</v>
      </c>
      <c r="E190" s="1" t="s">
        <v>765</v>
      </c>
      <c r="F190" s="1" t="s">
        <v>764</v>
      </c>
    </row>
    <row r="191" spans="1:26" ht="15.75" customHeight="1">
      <c r="A191" s="1" t="s">
        <v>766</v>
      </c>
      <c r="B191" s="1" t="s">
        <v>767</v>
      </c>
      <c r="C191" s="1" t="s">
        <v>766</v>
      </c>
      <c r="D191" s="1" t="s">
        <v>766</v>
      </c>
      <c r="E191" s="1" t="s">
        <v>767</v>
      </c>
      <c r="F191" s="1" t="s">
        <v>772</v>
      </c>
    </row>
    <row r="192" spans="1:26" ht="15.75" customHeight="1">
      <c r="B192" s="1" t="s">
        <v>775</v>
      </c>
      <c r="C192" s="1">
        <v>0</v>
      </c>
      <c r="D192" s="1" t="s">
        <v>766</v>
      </c>
      <c r="E192" s="1" t="s">
        <v>775</v>
      </c>
      <c r="F192" s="1" t="s">
        <v>772</v>
      </c>
    </row>
    <row r="193" spans="1:7" ht="15.75" customHeight="1">
      <c r="A193" s="1" t="s">
        <v>777</v>
      </c>
      <c r="B193" s="1" t="s">
        <v>778</v>
      </c>
      <c r="C193" s="1" t="s">
        <v>777</v>
      </c>
      <c r="D193" s="1" t="s">
        <v>777</v>
      </c>
      <c r="E193" s="1" t="s">
        <v>778</v>
      </c>
      <c r="F193" s="1" t="s">
        <v>780</v>
      </c>
    </row>
    <row r="194" spans="1:7" ht="15.75" customHeight="1">
      <c r="B194" s="1" t="s">
        <v>781</v>
      </c>
      <c r="C194" s="1">
        <v>0</v>
      </c>
      <c r="D194" s="1" t="s">
        <v>777</v>
      </c>
      <c r="E194" s="1" t="s">
        <v>781</v>
      </c>
      <c r="F194" s="1" t="s">
        <v>780</v>
      </c>
    </row>
    <row r="195" spans="1:7" ht="15.75" customHeight="1">
      <c r="A195" s="1" t="s">
        <v>783</v>
      </c>
      <c r="B195" s="1" t="s">
        <v>785</v>
      </c>
      <c r="C195" s="1" t="s">
        <v>783</v>
      </c>
      <c r="D195" s="1" t="s">
        <v>783</v>
      </c>
      <c r="E195" s="1" t="s">
        <v>785</v>
      </c>
      <c r="F195" s="1" t="s">
        <v>785</v>
      </c>
    </row>
    <row r="196" spans="1:7" ht="15.75" customHeight="1">
      <c r="A196" s="1" t="s">
        <v>791</v>
      </c>
      <c r="B196" s="1" t="s">
        <v>793</v>
      </c>
      <c r="C196" s="1" t="s">
        <v>791</v>
      </c>
      <c r="D196" s="1" t="s">
        <v>791</v>
      </c>
      <c r="E196" s="1" t="s">
        <v>793</v>
      </c>
      <c r="F196" s="1" t="s">
        <v>796</v>
      </c>
    </row>
    <row r="197" spans="1:7" ht="15.75" customHeight="1">
      <c r="B197" s="1" t="s">
        <v>797</v>
      </c>
      <c r="C197" s="1">
        <v>0</v>
      </c>
      <c r="D197" s="1" t="s">
        <v>791</v>
      </c>
      <c r="E197" s="1" t="s">
        <v>797</v>
      </c>
      <c r="F197" s="1" t="s">
        <v>796</v>
      </c>
    </row>
    <row r="198" spans="1:7" ht="15.75" customHeight="1">
      <c r="A198" s="1" t="s">
        <v>799</v>
      </c>
      <c r="B198" s="1" t="s">
        <v>800</v>
      </c>
      <c r="C198" s="1" t="s">
        <v>799</v>
      </c>
      <c r="D198" s="1" t="s">
        <v>799</v>
      </c>
      <c r="E198" s="1" t="s">
        <v>800</v>
      </c>
      <c r="F198" s="1" t="s">
        <v>801</v>
      </c>
    </row>
    <row r="199" spans="1:7" ht="15.75" customHeight="1">
      <c r="B199" s="1" t="s">
        <v>806</v>
      </c>
      <c r="C199" s="1">
        <v>0</v>
      </c>
      <c r="D199" s="1" t="s">
        <v>799</v>
      </c>
      <c r="E199" s="1" t="s">
        <v>806</v>
      </c>
      <c r="F199" s="1" t="s">
        <v>801</v>
      </c>
    </row>
    <row r="200" spans="1:7" ht="15.75" customHeight="1">
      <c r="A200" s="1" t="s">
        <v>812</v>
      </c>
      <c r="B200" s="1" t="s">
        <v>814</v>
      </c>
      <c r="C200" s="1" t="s">
        <v>812</v>
      </c>
      <c r="D200" s="1" t="s">
        <v>812</v>
      </c>
      <c r="E200" s="1" t="s">
        <v>814</v>
      </c>
      <c r="F200" s="1" t="s">
        <v>815</v>
      </c>
    </row>
    <row r="201" spans="1:7" ht="15.75" customHeight="1">
      <c r="A201" s="1" t="s">
        <v>817</v>
      </c>
      <c r="B201" s="1" t="s">
        <v>818</v>
      </c>
      <c r="C201" s="1" t="s">
        <v>817</v>
      </c>
      <c r="D201" s="1" t="s">
        <v>817</v>
      </c>
      <c r="E201" s="1" t="s">
        <v>818</v>
      </c>
      <c r="F201" s="1" t="s">
        <v>819</v>
      </c>
    </row>
    <row r="202" spans="1:7" ht="15.75" customHeight="1">
      <c r="A202" s="1" t="s">
        <v>820</v>
      </c>
      <c r="B202" s="1" t="s">
        <v>818</v>
      </c>
      <c r="C202" s="1" t="s">
        <v>820</v>
      </c>
      <c r="D202" s="1" t="s">
        <v>820</v>
      </c>
      <c r="E202" s="1" t="s">
        <v>818</v>
      </c>
      <c r="F202" s="1" t="s">
        <v>819</v>
      </c>
    </row>
    <row r="203" spans="1:7" ht="15.75" customHeight="1">
      <c r="B203" s="1" t="s">
        <v>824</v>
      </c>
      <c r="C203" s="1">
        <v>0</v>
      </c>
      <c r="D203" s="1" t="s">
        <v>820</v>
      </c>
      <c r="E203" s="1" t="s">
        <v>824</v>
      </c>
      <c r="F203" s="1" t="s">
        <v>819</v>
      </c>
    </row>
    <row r="204" spans="1:7" ht="15.75" customHeight="1">
      <c r="B204" s="1" t="s">
        <v>829</v>
      </c>
      <c r="C204" s="1">
        <v>0</v>
      </c>
      <c r="D204" s="1" t="s">
        <v>820</v>
      </c>
      <c r="E204" s="1" t="s">
        <v>829</v>
      </c>
      <c r="F204" s="1" t="s">
        <v>819</v>
      </c>
    </row>
    <row r="205" spans="1:7" ht="15.75" customHeight="1">
      <c r="A205" s="1" t="s">
        <v>831</v>
      </c>
      <c r="B205" s="1" t="s">
        <v>832</v>
      </c>
      <c r="C205" s="1" t="s">
        <v>831</v>
      </c>
      <c r="D205" s="1" t="s">
        <v>831</v>
      </c>
      <c r="E205" s="1" t="s">
        <v>832</v>
      </c>
      <c r="F205" s="1" t="s">
        <v>833</v>
      </c>
      <c r="G205" s="1" t="s">
        <v>833</v>
      </c>
    </row>
    <row r="206" spans="1:7" ht="15.75" customHeight="1">
      <c r="B206" s="1" t="s">
        <v>836</v>
      </c>
      <c r="C206" s="1">
        <v>0</v>
      </c>
      <c r="D206" s="1" t="s">
        <v>831</v>
      </c>
      <c r="E206" s="1" t="s">
        <v>836</v>
      </c>
      <c r="F206" s="1" t="s">
        <v>833</v>
      </c>
      <c r="G206" s="1" t="s">
        <v>833</v>
      </c>
    </row>
    <row r="207" spans="1:7" ht="15.75" customHeight="1">
      <c r="B207" s="1" t="s">
        <v>840</v>
      </c>
      <c r="C207" s="1">
        <v>0</v>
      </c>
      <c r="D207" s="1" t="s">
        <v>831</v>
      </c>
      <c r="E207" s="1" t="s">
        <v>840</v>
      </c>
      <c r="F207" s="1" t="s">
        <v>833</v>
      </c>
      <c r="G207" s="1" t="s">
        <v>833</v>
      </c>
    </row>
    <row r="208" spans="1:7" ht="15.75" customHeight="1">
      <c r="B208" s="1" t="s">
        <v>844</v>
      </c>
      <c r="C208" s="1">
        <v>0</v>
      </c>
      <c r="D208" s="1" t="s">
        <v>831</v>
      </c>
      <c r="E208" s="1" t="s">
        <v>844</v>
      </c>
      <c r="F208" s="1" t="s">
        <v>833</v>
      </c>
      <c r="G208" s="1" t="s">
        <v>833</v>
      </c>
    </row>
    <row r="209" spans="1:26" ht="15.75" customHeight="1">
      <c r="B209" s="1" t="s">
        <v>846</v>
      </c>
      <c r="C209" s="1">
        <v>0</v>
      </c>
      <c r="D209" s="1" t="s">
        <v>831</v>
      </c>
      <c r="E209" s="1" t="s">
        <v>846</v>
      </c>
      <c r="F209" s="1" t="s">
        <v>833</v>
      </c>
      <c r="G209" s="1" t="s">
        <v>833</v>
      </c>
    </row>
    <row r="210" spans="1:26" ht="15.75" customHeight="1">
      <c r="A210" s="1" t="s">
        <v>847</v>
      </c>
      <c r="B210" s="1" t="s">
        <v>848</v>
      </c>
      <c r="C210" s="1" t="s">
        <v>847</v>
      </c>
      <c r="D210" s="1" t="s">
        <v>847</v>
      </c>
      <c r="E210" s="1" t="s">
        <v>848</v>
      </c>
      <c r="F210" s="1" t="s">
        <v>833</v>
      </c>
      <c r="G210" s="1" t="s">
        <v>833</v>
      </c>
    </row>
    <row r="211" spans="1:26" ht="15.75" customHeight="1">
      <c r="A211" s="1" t="s">
        <v>852</v>
      </c>
      <c r="B211" s="1" t="s">
        <v>853</v>
      </c>
      <c r="C211" s="1" t="s">
        <v>852</v>
      </c>
      <c r="D211" s="1" t="s">
        <v>852</v>
      </c>
      <c r="E211" s="1" t="s">
        <v>853</v>
      </c>
      <c r="F211" s="1" t="s">
        <v>833</v>
      </c>
      <c r="G211" s="1" t="s">
        <v>833</v>
      </c>
    </row>
    <row r="212" spans="1:26" ht="15.75" customHeight="1">
      <c r="B212" s="1" t="s">
        <v>857</v>
      </c>
      <c r="C212" s="1">
        <v>0</v>
      </c>
      <c r="D212" s="1" t="s">
        <v>852</v>
      </c>
      <c r="E212" s="1" t="s">
        <v>857</v>
      </c>
      <c r="F212" s="1" t="s">
        <v>833</v>
      </c>
      <c r="G212" s="1" t="s">
        <v>833</v>
      </c>
    </row>
    <row r="213" spans="1:26" ht="15.75" customHeight="1">
      <c r="B213" s="1" t="s">
        <v>859</v>
      </c>
      <c r="C213" s="1">
        <v>0</v>
      </c>
      <c r="D213" s="1" t="s">
        <v>852</v>
      </c>
      <c r="E213" s="1" t="s">
        <v>859</v>
      </c>
      <c r="F213" s="1" t="s">
        <v>833</v>
      </c>
      <c r="G213" s="1" t="s">
        <v>833</v>
      </c>
    </row>
    <row r="214" spans="1:26" ht="15.75" customHeight="1">
      <c r="B214" s="1" t="s">
        <v>860</v>
      </c>
      <c r="C214" s="1">
        <v>0</v>
      </c>
      <c r="D214" s="1" t="s">
        <v>852</v>
      </c>
      <c r="E214" s="1" t="s">
        <v>860</v>
      </c>
      <c r="F214" s="1" t="s">
        <v>833</v>
      </c>
      <c r="G214" s="1" t="s">
        <v>833</v>
      </c>
    </row>
    <row r="215" spans="1:26" ht="15.75" customHeight="1">
      <c r="B215" s="1" t="s">
        <v>864</v>
      </c>
      <c r="C215" s="1">
        <v>0</v>
      </c>
      <c r="D215" s="1" t="s">
        <v>852</v>
      </c>
      <c r="E215" s="1" t="s">
        <v>864</v>
      </c>
      <c r="F215" s="1" t="s">
        <v>833</v>
      </c>
      <c r="G215" s="1" t="s">
        <v>833</v>
      </c>
    </row>
    <row r="216" spans="1:26" ht="15.75" customHeight="1">
      <c r="B216" s="1" t="s">
        <v>867</v>
      </c>
      <c r="C216" s="1">
        <v>0</v>
      </c>
      <c r="D216" s="1" t="s">
        <v>852</v>
      </c>
      <c r="E216" s="1" t="s">
        <v>867</v>
      </c>
      <c r="F216" s="1" t="s">
        <v>833</v>
      </c>
      <c r="G216" s="1" t="s">
        <v>833</v>
      </c>
    </row>
    <row r="217" spans="1:26" ht="15.75" customHeight="1">
      <c r="B217" s="1" t="s">
        <v>871</v>
      </c>
      <c r="C217" s="1">
        <v>0</v>
      </c>
      <c r="D217" s="1" t="s">
        <v>852</v>
      </c>
      <c r="E217" s="1" t="s">
        <v>871</v>
      </c>
      <c r="F217" s="1" t="s">
        <v>833</v>
      </c>
      <c r="G217" s="1" t="s">
        <v>833</v>
      </c>
    </row>
    <row r="218" spans="1:26" ht="15.75" customHeight="1">
      <c r="A218" s="1" t="s">
        <v>873</v>
      </c>
      <c r="B218" s="1" t="s">
        <v>874</v>
      </c>
      <c r="C218" s="1" t="s">
        <v>873</v>
      </c>
      <c r="D218" s="1" t="s">
        <v>873</v>
      </c>
      <c r="E218" s="1" t="s">
        <v>874</v>
      </c>
      <c r="F218" s="1" t="s">
        <v>875</v>
      </c>
    </row>
    <row r="219" spans="1:26" ht="15.75" customHeight="1">
      <c r="B219" s="1" t="s">
        <v>879</v>
      </c>
      <c r="C219" s="1">
        <v>0</v>
      </c>
      <c r="D219" s="1" t="s">
        <v>873</v>
      </c>
      <c r="E219" s="1" t="s">
        <v>879</v>
      </c>
      <c r="F219" s="1" t="s">
        <v>875</v>
      </c>
    </row>
    <row r="220" spans="1:26" ht="15.75" customHeight="1">
      <c r="B220" s="1" t="s">
        <v>882</v>
      </c>
      <c r="C220" s="1">
        <v>0</v>
      </c>
      <c r="D220" s="1" t="s">
        <v>873</v>
      </c>
      <c r="E220" s="1" t="s">
        <v>882</v>
      </c>
      <c r="F220" s="1" t="s">
        <v>875</v>
      </c>
    </row>
    <row r="221" spans="1:26" ht="15.75" customHeight="1">
      <c r="B221" s="1" t="s">
        <v>886</v>
      </c>
      <c r="C221" s="1">
        <v>0</v>
      </c>
      <c r="D221" s="1" t="s">
        <v>873</v>
      </c>
      <c r="E221" s="1" t="s">
        <v>886</v>
      </c>
      <c r="F221" s="1" t="s">
        <v>875</v>
      </c>
    </row>
    <row r="222" spans="1:26" ht="15.75" customHeight="1">
      <c r="A222" s="7" t="s">
        <v>889</v>
      </c>
      <c r="B222" s="7" t="s">
        <v>879</v>
      </c>
      <c r="C222" s="7" t="s">
        <v>889</v>
      </c>
      <c r="D222" s="7" t="s">
        <v>889</v>
      </c>
      <c r="E222" s="7" t="s">
        <v>879</v>
      </c>
      <c r="F222" s="1" t="s">
        <v>875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 t="s">
        <v>898</v>
      </c>
      <c r="B223" s="7" t="s">
        <v>900</v>
      </c>
      <c r="C223" s="7" t="s">
        <v>898</v>
      </c>
      <c r="D223" s="7" t="s">
        <v>898</v>
      </c>
      <c r="E223" s="7" t="s">
        <v>900</v>
      </c>
      <c r="F223" s="1" t="s">
        <v>875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1" t="s">
        <v>903</v>
      </c>
      <c r="B224" s="1" t="s">
        <v>904</v>
      </c>
      <c r="C224" s="1" t="s">
        <v>903</v>
      </c>
      <c r="D224" s="1" t="s">
        <v>903</v>
      </c>
      <c r="E224" s="1" t="s">
        <v>904</v>
      </c>
      <c r="F224" s="1" t="s">
        <v>908</v>
      </c>
    </row>
    <row r="225" spans="1:6" ht="15.75" customHeight="1">
      <c r="A225" s="1" t="s">
        <v>909</v>
      </c>
      <c r="B225" s="1" t="s">
        <v>911</v>
      </c>
      <c r="C225" s="1" t="s">
        <v>909</v>
      </c>
      <c r="D225" s="1" t="s">
        <v>909</v>
      </c>
      <c r="E225" s="1" t="s">
        <v>911</v>
      </c>
      <c r="F225" s="1" t="s">
        <v>914</v>
      </c>
    </row>
    <row r="226" spans="1:6" ht="15.75" customHeight="1">
      <c r="A226" s="1" t="s">
        <v>916</v>
      </c>
      <c r="B226" s="1" t="s">
        <v>917</v>
      </c>
      <c r="C226" s="1" t="s">
        <v>916</v>
      </c>
      <c r="D226" s="1" t="s">
        <v>916</v>
      </c>
      <c r="E226" s="1" t="s">
        <v>917</v>
      </c>
      <c r="F226" s="1" t="s">
        <v>919</v>
      </c>
    </row>
    <row r="227" spans="1:6" ht="15.75" customHeight="1">
      <c r="B227" s="1" t="s">
        <v>919</v>
      </c>
      <c r="C227" s="1">
        <v>0</v>
      </c>
      <c r="D227" s="1" t="s">
        <v>916</v>
      </c>
      <c r="E227" s="1" t="s">
        <v>919</v>
      </c>
      <c r="F227" s="1" t="s">
        <v>919</v>
      </c>
    </row>
    <row r="228" spans="1:6" ht="15.75" customHeight="1">
      <c r="A228" s="1" t="s">
        <v>920</v>
      </c>
      <c r="B228" s="1" t="s">
        <v>921</v>
      </c>
      <c r="C228" s="1" t="s">
        <v>920</v>
      </c>
      <c r="D228" s="1" t="s">
        <v>920</v>
      </c>
      <c r="E228" s="1" t="s">
        <v>921</v>
      </c>
      <c r="F228" s="1" t="s">
        <v>925</v>
      </c>
    </row>
    <row r="229" spans="1:6" ht="15.75" customHeight="1">
      <c r="B229" s="1" t="s">
        <v>926</v>
      </c>
      <c r="C229" s="1">
        <v>0</v>
      </c>
      <c r="D229" s="1" t="s">
        <v>920</v>
      </c>
      <c r="E229" s="1" t="s">
        <v>926</v>
      </c>
      <c r="F229" s="1" t="s">
        <v>925</v>
      </c>
    </row>
    <row r="230" spans="1:6" ht="15.75" customHeight="1">
      <c r="B230" s="1" t="s">
        <v>934</v>
      </c>
      <c r="C230" s="1">
        <v>0</v>
      </c>
      <c r="D230" s="1" t="s">
        <v>920</v>
      </c>
      <c r="E230" s="1" t="s">
        <v>934</v>
      </c>
      <c r="F230" s="1" t="s">
        <v>925</v>
      </c>
    </row>
    <row r="231" spans="1:6" ht="15.75" customHeight="1">
      <c r="A231" s="1" t="s">
        <v>936</v>
      </c>
      <c r="B231" s="1" t="s">
        <v>937</v>
      </c>
      <c r="C231" s="1" t="s">
        <v>936</v>
      </c>
      <c r="D231" s="1" t="s">
        <v>936</v>
      </c>
      <c r="E231" s="1" t="s">
        <v>937</v>
      </c>
      <c r="F231" s="1" t="s">
        <v>925</v>
      </c>
    </row>
    <row r="232" spans="1:6" ht="15.75" customHeight="1">
      <c r="A232" s="1" t="s">
        <v>938</v>
      </c>
      <c r="B232" s="1" t="s">
        <v>939</v>
      </c>
      <c r="C232" s="1" t="s">
        <v>938</v>
      </c>
      <c r="D232" s="1" t="s">
        <v>938</v>
      </c>
      <c r="E232" s="1" t="s">
        <v>939</v>
      </c>
      <c r="F232" s="1" t="s">
        <v>925</v>
      </c>
    </row>
    <row r="233" spans="1:6" ht="15.75" customHeight="1">
      <c r="B233" s="1" t="s">
        <v>943</v>
      </c>
      <c r="C233" s="1">
        <v>0</v>
      </c>
      <c r="D233" s="1" t="s">
        <v>938</v>
      </c>
      <c r="E233" s="1" t="s">
        <v>943</v>
      </c>
      <c r="F233" s="1" t="s">
        <v>925</v>
      </c>
    </row>
    <row r="234" spans="1:6" ht="15.75" customHeight="1">
      <c r="B234" s="1" t="s">
        <v>949</v>
      </c>
      <c r="C234" s="1">
        <v>0</v>
      </c>
      <c r="D234" s="1" t="s">
        <v>938</v>
      </c>
      <c r="E234" s="1" t="s">
        <v>949</v>
      </c>
      <c r="F234" s="1" t="s">
        <v>925</v>
      </c>
    </row>
    <row r="235" spans="1:6" ht="15.75" customHeight="1">
      <c r="B235" s="1" t="s">
        <v>952</v>
      </c>
      <c r="C235" s="1">
        <v>0</v>
      </c>
      <c r="D235" s="1" t="s">
        <v>938</v>
      </c>
      <c r="E235" s="1" t="s">
        <v>952</v>
      </c>
      <c r="F235" s="1" t="s">
        <v>925</v>
      </c>
    </row>
    <row r="236" spans="1:6" ht="15.75" customHeight="1">
      <c r="B236" s="1" t="s">
        <v>953</v>
      </c>
      <c r="C236" s="1">
        <v>0</v>
      </c>
      <c r="D236" s="1" t="s">
        <v>938</v>
      </c>
      <c r="E236" s="1" t="s">
        <v>953</v>
      </c>
      <c r="F236" s="1" t="s">
        <v>925</v>
      </c>
    </row>
    <row r="237" spans="1:6" ht="15.75" customHeight="1">
      <c r="B237" s="1" t="s">
        <v>960</v>
      </c>
      <c r="C237" s="1">
        <v>0</v>
      </c>
      <c r="D237" s="1" t="s">
        <v>938</v>
      </c>
      <c r="E237" s="1" t="s">
        <v>960</v>
      </c>
      <c r="F237" s="1" t="s">
        <v>925</v>
      </c>
    </row>
    <row r="238" spans="1:6" ht="15.75" customHeight="1">
      <c r="B238" s="1" t="s">
        <v>963</v>
      </c>
      <c r="C238" s="1">
        <v>0</v>
      </c>
      <c r="D238" s="1" t="s">
        <v>938</v>
      </c>
      <c r="E238" s="1" t="s">
        <v>963</v>
      </c>
      <c r="F238" s="1" t="s">
        <v>925</v>
      </c>
    </row>
    <row r="239" spans="1:6" ht="15.75" customHeight="1">
      <c r="B239" s="1" t="s">
        <v>965</v>
      </c>
      <c r="C239" s="1">
        <v>0</v>
      </c>
      <c r="D239" s="1" t="s">
        <v>938</v>
      </c>
      <c r="E239" s="1" t="s">
        <v>965</v>
      </c>
      <c r="F239" s="1" t="s">
        <v>925</v>
      </c>
    </row>
    <row r="240" spans="1:6" ht="15.75" customHeight="1">
      <c r="A240" s="1" t="s">
        <v>966</v>
      </c>
      <c r="B240" s="1" t="s">
        <v>967</v>
      </c>
      <c r="C240" s="1" t="s">
        <v>966</v>
      </c>
      <c r="D240" s="1" t="s">
        <v>966</v>
      </c>
      <c r="E240" s="1" t="s">
        <v>967</v>
      </c>
      <c r="F240" s="1" t="s">
        <v>925</v>
      </c>
    </row>
    <row r="241" spans="1:26" ht="15.75" customHeight="1">
      <c r="B241" s="1" t="s">
        <v>971</v>
      </c>
      <c r="C241" s="1">
        <v>0</v>
      </c>
      <c r="D241" s="1" t="s">
        <v>966</v>
      </c>
      <c r="E241" s="1" t="s">
        <v>971</v>
      </c>
      <c r="F241" s="1" t="s">
        <v>925</v>
      </c>
    </row>
    <row r="242" spans="1:26" ht="15.75" customHeight="1">
      <c r="B242" s="1" t="s">
        <v>974</v>
      </c>
      <c r="C242" s="1">
        <v>0</v>
      </c>
      <c r="D242" s="1" t="s">
        <v>966</v>
      </c>
      <c r="E242" s="1" t="s">
        <v>974</v>
      </c>
      <c r="F242" s="1" t="s">
        <v>925</v>
      </c>
    </row>
    <row r="243" spans="1:26" ht="15.75" customHeight="1">
      <c r="B243" s="1" t="s">
        <v>977</v>
      </c>
      <c r="C243" s="1">
        <v>0</v>
      </c>
      <c r="D243" s="1" t="s">
        <v>966</v>
      </c>
      <c r="E243" s="1" t="s">
        <v>977</v>
      </c>
      <c r="F243" s="1" t="s">
        <v>925</v>
      </c>
    </row>
    <row r="244" spans="1:26" ht="15.75" customHeight="1">
      <c r="B244" s="1" t="s">
        <v>980</v>
      </c>
      <c r="C244" s="1">
        <v>0</v>
      </c>
      <c r="D244" s="1" t="s">
        <v>966</v>
      </c>
      <c r="E244" s="1" t="s">
        <v>980</v>
      </c>
      <c r="F244" s="1" t="s">
        <v>925</v>
      </c>
    </row>
    <row r="245" spans="1:26" ht="15.75" customHeight="1">
      <c r="B245" s="1" t="s">
        <v>984</v>
      </c>
      <c r="C245" s="1">
        <v>0</v>
      </c>
      <c r="D245" s="1" t="s">
        <v>966</v>
      </c>
      <c r="E245" s="1" t="s">
        <v>984</v>
      </c>
      <c r="F245" s="1" t="s">
        <v>925</v>
      </c>
    </row>
    <row r="246" spans="1:26" ht="15.75" customHeight="1">
      <c r="B246" s="1" t="s">
        <v>987</v>
      </c>
      <c r="C246" s="1">
        <v>0</v>
      </c>
      <c r="D246" s="1" t="s">
        <v>966</v>
      </c>
      <c r="E246" s="1" t="s">
        <v>987</v>
      </c>
      <c r="F246" s="1" t="s">
        <v>925</v>
      </c>
    </row>
    <row r="247" spans="1:26" ht="15.75" customHeight="1">
      <c r="B247" s="1" t="s">
        <v>991</v>
      </c>
      <c r="C247" s="1">
        <v>0</v>
      </c>
      <c r="D247" s="1" t="s">
        <v>966</v>
      </c>
      <c r="E247" s="1" t="s">
        <v>991</v>
      </c>
      <c r="F247" s="1" t="s">
        <v>925</v>
      </c>
    </row>
    <row r="248" spans="1:26" ht="15.75" customHeight="1">
      <c r="B248" s="1" t="s">
        <v>993</v>
      </c>
      <c r="C248" s="1">
        <v>0</v>
      </c>
      <c r="D248" s="1" t="s">
        <v>966</v>
      </c>
      <c r="E248" s="1" t="s">
        <v>993</v>
      </c>
      <c r="F248" s="1" t="s">
        <v>925</v>
      </c>
    </row>
    <row r="249" spans="1:26" ht="15.75" customHeight="1">
      <c r="A249" s="1" t="s">
        <v>999</v>
      </c>
      <c r="B249" s="1" t="s">
        <v>1000</v>
      </c>
      <c r="C249" s="1" t="s">
        <v>999</v>
      </c>
      <c r="D249" s="1" t="s">
        <v>999</v>
      </c>
      <c r="E249" s="1" t="s">
        <v>1000</v>
      </c>
      <c r="F249" s="1" t="s">
        <v>1003</v>
      </c>
    </row>
    <row r="250" spans="1:26" ht="15.75" customHeight="1">
      <c r="B250" s="1" t="s">
        <v>1005</v>
      </c>
      <c r="C250" s="1">
        <v>0</v>
      </c>
      <c r="D250" s="1" t="s">
        <v>999</v>
      </c>
      <c r="E250" s="1" t="s">
        <v>1005</v>
      </c>
      <c r="F250" s="1" t="s">
        <v>1003</v>
      </c>
    </row>
    <row r="251" spans="1:26" ht="15.75" customHeight="1">
      <c r="A251" s="1" t="s">
        <v>1007</v>
      </c>
      <c r="B251" s="1" t="s">
        <v>1008</v>
      </c>
      <c r="C251" s="1" t="s">
        <v>1007</v>
      </c>
      <c r="D251" s="1" t="s">
        <v>1007</v>
      </c>
      <c r="E251" s="1" t="s">
        <v>1008</v>
      </c>
      <c r="F251" s="1" t="s">
        <v>1008</v>
      </c>
    </row>
    <row r="252" spans="1:26" ht="15.75" customHeight="1">
      <c r="A252" s="1" t="s">
        <v>1009</v>
      </c>
      <c r="B252" s="1" t="s">
        <v>1010</v>
      </c>
      <c r="C252" s="1" t="s">
        <v>1009</v>
      </c>
      <c r="D252" s="1" t="s">
        <v>1009</v>
      </c>
      <c r="E252" s="1" t="s">
        <v>1010</v>
      </c>
      <c r="F252" s="1" t="s">
        <v>1010</v>
      </c>
    </row>
    <row r="253" spans="1:26" ht="15.75" customHeight="1">
      <c r="A253" s="1" t="s">
        <v>1015</v>
      </c>
      <c r="B253" s="1" t="s">
        <v>1016</v>
      </c>
      <c r="C253" s="1" t="s">
        <v>1015</v>
      </c>
      <c r="D253" s="1" t="s">
        <v>1015</v>
      </c>
      <c r="E253" s="1" t="s">
        <v>1016</v>
      </c>
      <c r="F253" s="1" t="s">
        <v>1021</v>
      </c>
    </row>
    <row r="254" spans="1:26" ht="15.75" customHeight="1">
      <c r="A254" s="1" t="s">
        <v>1024</v>
      </c>
      <c r="B254" s="1" t="s">
        <v>1025</v>
      </c>
      <c r="C254" s="1" t="s">
        <v>1024</v>
      </c>
      <c r="D254" s="1" t="s">
        <v>1024</v>
      </c>
      <c r="E254" s="1" t="s">
        <v>1025</v>
      </c>
      <c r="F254" s="1" t="s">
        <v>1027</v>
      </c>
    </row>
    <row r="255" spans="1:26" ht="15.75" customHeight="1">
      <c r="A255" s="7" t="s">
        <v>1028</v>
      </c>
      <c r="B255" s="7" t="s">
        <v>1025</v>
      </c>
      <c r="C255" s="7" t="s">
        <v>1028</v>
      </c>
      <c r="D255" s="7" t="s">
        <v>1028</v>
      </c>
      <c r="E255" s="7" t="s">
        <v>1025</v>
      </c>
      <c r="F255" s="1" t="s">
        <v>1027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1" t="s">
        <v>1036</v>
      </c>
      <c r="B256" s="1" t="s">
        <v>1037</v>
      </c>
      <c r="C256" s="1" t="s">
        <v>1036</v>
      </c>
      <c r="D256" s="1" t="s">
        <v>1036</v>
      </c>
      <c r="E256" s="1" t="s">
        <v>1037</v>
      </c>
      <c r="F256" s="1" t="s">
        <v>1040</v>
      </c>
    </row>
    <row r="257" spans="1:6" ht="15.75" customHeight="1">
      <c r="A257" s="1" t="s">
        <v>1042</v>
      </c>
      <c r="B257" s="1" t="s">
        <v>1043</v>
      </c>
      <c r="C257" s="1" t="s">
        <v>1042</v>
      </c>
      <c r="D257" s="1" t="s">
        <v>1042</v>
      </c>
      <c r="E257" s="1" t="s">
        <v>1043</v>
      </c>
      <c r="F257" s="1" t="s">
        <v>1045</v>
      </c>
    </row>
    <row r="258" spans="1:6" ht="15.75" customHeight="1">
      <c r="A258" s="1" t="s">
        <v>1046</v>
      </c>
      <c r="B258" s="1" t="s">
        <v>1047</v>
      </c>
      <c r="C258" s="1" t="s">
        <v>1046</v>
      </c>
      <c r="D258" s="1" t="s">
        <v>1046</v>
      </c>
      <c r="E258" s="1" t="s">
        <v>1047</v>
      </c>
      <c r="F258" s="1" t="s">
        <v>1047</v>
      </c>
    </row>
    <row r="259" spans="1:6" ht="15.75" customHeight="1">
      <c r="A259" s="1" t="s">
        <v>1051</v>
      </c>
      <c r="B259" s="1" t="s">
        <v>1052</v>
      </c>
      <c r="C259" s="1" t="s">
        <v>1051</v>
      </c>
      <c r="D259" s="1" t="s">
        <v>1051</v>
      </c>
      <c r="E259" s="1" t="s">
        <v>1052</v>
      </c>
      <c r="F259" s="1" t="s">
        <v>1052</v>
      </c>
    </row>
    <row r="260" spans="1:6" ht="15.75" customHeight="1">
      <c r="A260" s="1" t="s">
        <v>1055</v>
      </c>
      <c r="B260" s="1" t="s">
        <v>1056</v>
      </c>
      <c r="C260" s="1" t="s">
        <v>1055</v>
      </c>
      <c r="D260" s="1" t="s">
        <v>1055</v>
      </c>
      <c r="E260" s="1" t="s">
        <v>1056</v>
      </c>
      <c r="F260" s="1" t="s">
        <v>1056</v>
      </c>
    </row>
    <row r="261" spans="1:6" ht="15.75" customHeight="1">
      <c r="A261" s="1" t="s">
        <v>1060</v>
      </c>
      <c r="B261" s="1" t="s">
        <v>1062</v>
      </c>
      <c r="C261" s="1" t="s">
        <v>1060</v>
      </c>
      <c r="D261" s="1" t="s">
        <v>1060</v>
      </c>
      <c r="E261" s="1" t="s">
        <v>1062</v>
      </c>
      <c r="F261" s="1" t="s">
        <v>1062</v>
      </c>
    </row>
    <row r="262" spans="1:6" ht="15.75" customHeight="1">
      <c r="B262" s="1" t="s">
        <v>1063</v>
      </c>
      <c r="C262" s="1">
        <v>0</v>
      </c>
      <c r="D262" s="1" t="s">
        <v>1060</v>
      </c>
      <c r="E262" s="1" t="s">
        <v>1063</v>
      </c>
      <c r="F262" s="1" t="s">
        <v>1062</v>
      </c>
    </row>
    <row r="263" spans="1:6" ht="15.75" customHeight="1">
      <c r="B263" s="1" t="s">
        <v>1067</v>
      </c>
      <c r="C263" s="1">
        <v>0</v>
      </c>
      <c r="D263" s="1" t="s">
        <v>1060</v>
      </c>
      <c r="E263" s="1" t="s">
        <v>1067</v>
      </c>
      <c r="F263" s="1" t="s">
        <v>1062</v>
      </c>
    </row>
    <row r="264" spans="1:6" ht="15.75" customHeight="1">
      <c r="B264" s="1" t="s">
        <v>1069</v>
      </c>
      <c r="C264" s="1">
        <v>0</v>
      </c>
      <c r="D264" s="1" t="s">
        <v>1060</v>
      </c>
      <c r="E264" s="1" t="s">
        <v>1069</v>
      </c>
      <c r="F264" s="1" t="s">
        <v>1062</v>
      </c>
    </row>
    <row r="265" spans="1:6" ht="15.75" customHeight="1">
      <c r="A265" s="1" t="s">
        <v>1072</v>
      </c>
      <c r="B265" s="1" t="s">
        <v>1073</v>
      </c>
      <c r="C265" s="1" t="s">
        <v>1072</v>
      </c>
      <c r="D265" s="1" t="s">
        <v>1072</v>
      </c>
      <c r="E265" s="1" t="s">
        <v>1073</v>
      </c>
      <c r="F265" s="1" t="s">
        <v>1062</v>
      </c>
    </row>
    <row r="266" spans="1:6" ht="15.75" customHeight="1">
      <c r="B266" s="1" t="s">
        <v>1077</v>
      </c>
      <c r="C266" s="1">
        <v>0</v>
      </c>
      <c r="D266" s="1" t="s">
        <v>1072</v>
      </c>
      <c r="E266" s="1" t="s">
        <v>1077</v>
      </c>
      <c r="F266" s="1" t="s">
        <v>1062</v>
      </c>
    </row>
    <row r="267" spans="1:6" ht="15.75" customHeight="1">
      <c r="B267" s="1" t="s">
        <v>1078</v>
      </c>
      <c r="C267" s="1">
        <v>0</v>
      </c>
      <c r="D267" s="1" t="s">
        <v>1072</v>
      </c>
      <c r="E267" s="1" t="s">
        <v>1078</v>
      </c>
      <c r="F267" s="1" t="s">
        <v>1062</v>
      </c>
    </row>
    <row r="268" spans="1:6" ht="15.75" customHeight="1">
      <c r="A268" s="1" t="s">
        <v>1082</v>
      </c>
      <c r="B268" s="1" t="s">
        <v>1083</v>
      </c>
      <c r="C268" s="1" t="s">
        <v>1082</v>
      </c>
      <c r="D268" s="1" t="s">
        <v>1082</v>
      </c>
      <c r="E268" s="1" t="s">
        <v>1083</v>
      </c>
      <c r="F268" s="1" t="s">
        <v>1083</v>
      </c>
    </row>
    <row r="269" spans="1:6" ht="15.75" customHeight="1">
      <c r="B269" s="1" t="s">
        <v>1086</v>
      </c>
      <c r="C269" s="1">
        <v>0</v>
      </c>
      <c r="D269" s="1" t="s">
        <v>1082</v>
      </c>
      <c r="E269" s="1" t="s">
        <v>1086</v>
      </c>
      <c r="F269" s="1" t="s">
        <v>1083</v>
      </c>
    </row>
    <row r="270" spans="1:6" ht="15.75" customHeight="1">
      <c r="A270" s="1" t="s">
        <v>1089</v>
      </c>
      <c r="B270" s="1" t="s">
        <v>1090</v>
      </c>
      <c r="C270" s="1" t="s">
        <v>1089</v>
      </c>
      <c r="D270" s="1" t="s">
        <v>1089</v>
      </c>
      <c r="E270" s="1" t="s">
        <v>1090</v>
      </c>
      <c r="F270" s="1" t="s">
        <v>1083</v>
      </c>
    </row>
    <row r="271" spans="1:6" ht="15.75" customHeight="1">
      <c r="B271" s="1" t="s">
        <v>1093</v>
      </c>
      <c r="C271" s="1">
        <v>0</v>
      </c>
      <c r="D271" s="1" t="s">
        <v>1089</v>
      </c>
      <c r="E271" s="1" t="s">
        <v>1093</v>
      </c>
      <c r="F271" s="1" t="s">
        <v>1083</v>
      </c>
    </row>
    <row r="272" spans="1:6" ht="15.75" customHeight="1">
      <c r="B272" s="1" t="s">
        <v>1097</v>
      </c>
      <c r="C272" s="1">
        <v>0</v>
      </c>
      <c r="D272" s="1" t="s">
        <v>1089</v>
      </c>
      <c r="E272" s="1" t="s">
        <v>1097</v>
      </c>
      <c r="F272" s="1" t="s">
        <v>1083</v>
      </c>
    </row>
    <row r="273" spans="1:26" ht="15.75" customHeight="1">
      <c r="A273" s="1" t="s">
        <v>1099</v>
      </c>
      <c r="B273" s="1" t="s">
        <v>1101</v>
      </c>
      <c r="C273" s="1" t="s">
        <v>1099</v>
      </c>
      <c r="D273" s="1" t="s">
        <v>1099</v>
      </c>
      <c r="E273" s="1" t="s">
        <v>1101</v>
      </c>
      <c r="F273" s="1" t="s">
        <v>1101</v>
      </c>
    </row>
    <row r="274" spans="1:26" ht="15.75" customHeight="1">
      <c r="A274" s="1" t="s">
        <v>1104</v>
      </c>
      <c r="B274" s="1" t="s">
        <v>1105</v>
      </c>
      <c r="C274" s="1" t="s">
        <v>1104</v>
      </c>
      <c r="D274" s="1" t="s">
        <v>1104</v>
      </c>
      <c r="E274" s="1" t="s">
        <v>1105</v>
      </c>
      <c r="F274" s="1" t="s">
        <v>1105</v>
      </c>
    </row>
    <row r="275" spans="1:26" ht="15.75" customHeight="1">
      <c r="A275" s="1" t="s">
        <v>1106</v>
      </c>
      <c r="B275" s="1" t="s">
        <v>1107</v>
      </c>
      <c r="C275" s="1" t="s">
        <v>1106</v>
      </c>
      <c r="D275" s="1" t="s">
        <v>1106</v>
      </c>
      <c r="E275" s="1" t="s">
        <v>1107</v>
      </c>
      <c r="F275" s="1" t="s">
        <v>1107</v>
      </c>
    </row>
    <row r="276" spans="1:26" ht="15.75" customHeight="1">
      <c r="A276" s="1" t="s">
        <v>1110</v>
      </c>
      <c r="B276" s="1" t="s">
        <v>1112</v>
      </c>
      <c r="C276" s="1" t="s">
        <v>1110</v>
      </c>
      <c r="D276" s="1" t="s">
        <v>1110</v>
      </c>
      <c r="E276" s="1" t="s">
        <v>1112</v>
      </c>
      <c r="F276" s="1" t="s">
        <v>1115</v>
      </c>
    </row>
    <row r="277" spans="1:26" ht="15.75" customHeight="1">
      <c r="A277" s="1" t="s">
        <v>1116</v>
      </c>
      <c r="B277" s="1" t="s">
        <v>1117</v>
      </c>
      <c r="C277" s="1" t="s">
        <v>1116</v>
      </c>
      <c r="D277" s="1" t="s">
        <v>1116</v>
      </c>
      <c r="E277" s="1" t="s">
        <v>1117</v>
      </c>
      <c r="F277" s="1" t="s">
        <v>1117</v>
      </c>
    </row>
    <row r="278" spans="1:26" ht="15.75" customHeight="1">
      <c r="A278" s="1" t="s">
        <v>1121</v>
      </c>
      <c r="B278" s="1" t="s">
        <v>1122</v>
      </c>
      <c r="C278" s="1" t="s">
        <v>1121</v>
      </c>
      <c r="D278" s="1" t="s">
        <v>1121</v>
      </c>
      <c r="E278" s="1" t="s">
        <v>1122</v>
      </c>
      <c r="F278" s="1" t="s">
        <v>1124</v>
      </c>
    </row>
    <row r="279" spans="1:26" ht="15.75" customHeight="1">
      <c r="B279" s="1" t="s">
        <v>1125</v>
      </c>
      <c r="C279" s="1">
        <v>0</v>
      </c>
      <c r="D279" s="1" t="s">
        <v>1121</v>
      </c>
      <c r="E279" s="1" t="s">
        <v>1125</v>
      </c>
      <c r="F279" s="1" t="s">
        <v>1124</v>
      </c>
    </row>
    <row r="280" spans="1:26" ht="15.75" customHeight="1">
      <c r="A280" s="1" t="s">
        <v>1126</v>
      </c>
      <c r="B280" s="1" t="s">
        <v>1127</v>
      </c>
      <c r="C280" s="1" t="s">
        <v>1126</v>
      </c>
      <c r="D280" s="1" t="s">
        <v>1126</v>
      </c>
      <c r="E280" s="1" t="s">
        <v>1127</v>
      </c>
      <c r="F280" s="1" t="s">
        <v>1124</v>
      </c>
    </row>
    <row r="281" spans="1:26" ht="15.75" customHeight="1">
      <c r="B281" s="1" t="s">
        <v>1131</v>
      </c>
      <c r="C281" s="1">
        <v>0</v>
      </c>
      <c r="D281" s="1" t="s">
        <v>1126</v>
      </c>
      <c r="E281" s="1" t="s">
        <v>1131</v>
      </c>
      <c r="F281" s="1" t="s">
        <v>1124</v>
      </c>
    </row>
    <row r="282" spans="1:26" ht="15.75" customHeight="1">
      <c r="A282" s="1" t="s">
        <v>1135</v>
      </c>
      <c r="B282" s="1" t="s">
        <v>1137</v>
      </c>
      <c r="C282" s="1" t="s">
        <v>1135</v>
      </c>
      <c r="D282" s="1" t="s">
        <v>1135</v>
      </c>
      <c r="E282" s="1" t="s">
        <v>1137</v>
      </c>
      <c r="F282" s="1" t="s">
        <v>1138</v>
      </c>
    </row>
    <row r="283" spans="1:26" ht="15.75" customHeight="1">
      <c r="A283" s="7" t="s">
        <v>1140</v>
      </c>
      <c r="B283" s="7" t="s">
        <v>1141</v>
      </c>
      <c r="C283" s="7" t="s">
        <v>1140</v>
      </c>
      <c r="D283" s="7" t="s">
        <v>1140</v>
      </c>
      <c r="E283" s="7" t="s">
        <v>1141</v>
      </c>
      <c r="F283" s="1" t="s">
        <v>1138</v>
      </c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1" t="s">
        <v>1145</v>
      </c>
      <c r="B284" s="1" t="s">
        <v>1150</v>
      </c>
      <c r="C284" s="1" t="s">
        <v>1145</v>
      </c>
      <c r="D284" s="1" t="s">
        <v>1145</v>
      </c>
      <c r="E284" s="1" t="s">
        <v>1150</v>
      </c>
      <c r="F284" s="1" t="s">
        <v>1151</v>
      </c>
    </row>
    <row r="285" spans="1:26" ht="15.75" customHeight="1">
      <c r="A285" s="1" t="s">
        <v>1153</v>
      </c>
      <c r="B285" s="1" t="s">
        <v>1154</v>
      </c>
      <c r="C285" s="1" t="s">
        <v>1153</v>
      </c>
      <c r="D285" s="1" t="s">
        <v>1153</v>
      </c>
      <c r="E285" s="1" t="s">
        <v>1154</v>
      </c>
      <c r="F285" s="1" t="s">
        <v>1151</v>
      </c>
    </row>
    <row r="286" spans="1:26" ht="15.75" customHeight="1">
      <c r="B286" s="1" t="s">
        <v>1155</v>
      </c>
      <c r="C286" s="1">
        <v>0</v>
      </c>
      <c r="D286" s="1" t="s">
        <v>1153</v>
      </c>
      <c r="E286" s="1" t="s">
        <v>1155</v>
      </c>
      <c r="F286" s="1" t="s">
        <v>1151</v>
      </c>
    </row>
    <row r="287" spans="1:26" ht="15.75" customHeight="1">
      <c r="A287" s="1" t="s">
        <v>1159</v>
      </c>
      <c r="B287" s="1" t="s">
        <v>1160</v>
      </c>
      <c r="C287" s="1" t="s">
        <v>1159</v>
      </c>
      <c r="D287" s="1" t="s">
        <v>1159</v>
      </c>
      <c r="E287" s="1" t="s">
        <v>1160</v>
      </c>
      <c r="F287" s="1" t="s">
        <v>1161</v>
      </c>
    </row>
    <row r="288" spans="1:26" ht="15.75" customHeight="1">
      <c r="A288" s="1" t="s">
        <v>1164</v>
      </c>
      <c r="B288" s="1" t="s">
        <v>1166</v>
      </c>
      <c r="C288" s="1" t="s">
        <v>1164</v>
      </c>
      <c r="D288" s="1" t="s">
        <v>1164</v>
      </c>
      <c r="E288" s="1" t="s">
        <v>1166</v>
      </c>
      <c r="F288" s="1" t="s">
        <v>1166</v>
      </c>
    </row>
    <row r="289" spans="1:7" ht="15.75" customHeight="1">
      <c r="A289" s="1" t="s">
        <v>1170</v>
      </c>
      <c r="B289" s="1" t="s">
        <v>1171</v>
      </c>
      <c r="C289" s="1" t="s">
        <v>1170</v>
      </c>
      <c r="D289" s="1" t="s">
        <v>1170</v>
      </c>
      <c r="E289" s="1" t="s">
        <v>1171</v>
      </c>
      <c r="F289" s="1" t="s">
        <v>1172</v>
      </c>
    </row>
    <row r="290" spans="1:7" ht="15.75" customHeight="1">
      <c r="A290" s="1" t="s">
        <v>1173</v>
      </c>
      <c r="B290" s="1" t="s">
        <v>1174</v>
      </c>
      <c r="C290" s="1" t="s">
        <v>1173</v>
      </c>
      <c r="D290" s="1" t="s">
        <v>1173</v>
      </c>
      <c r="E290" s="1" t="s">
        <v>1174</v>
      </c>
      <c r="F290" s="1" t="s">
        <v>1175</v>
      </c>
    </row>
    <row r="291" spans="1:7" ht="15.75" customHeight="1">
      <c r="A291" s="1" t="s">
        <v>1179</v>
      </c>
      <c r="B291" s="1" t="s">
        <v>1181</v>
      </c>
      <c r="C291" s="1" t="s">
        <v>1179</v>
      </c>
      <c r="D291" s="1" t="s">
        <v>1179</v>
      </c>
      <c r="E291" s="1" t="s">
        <v>1181</v>
      </c>
      <c r="F291" s="1" t="s">
        <v>1181</v>
      </c>
    </row>
    <row r="292" spans="1:7" ht="15.75" customHeight="1">
      <c r="A292" s="1" t="s">
        <v>1185</v>
      </c>
      <c r="B292" s="1" t="s">
        <v>1187</v>
      </c>
      <c r="C292" s="1" t="s">
        <v>1185</v>
      </c>
      <c r="D292" s="1" t="s">
        <v>1185</v>
      </c>
      <c r="E292" s="1" t="s">
        <v>1187</v>
      </c>
      <c r="F292" s="1" t="s">
        <v>1187</v>
      </c>
    </row>
    <row r="293" spans="1:7" ht="15.75" customHeight="1">
      <c r="A293" s="1" t="s">
        <v>1192</v>
      </c>
      <c r="B293" s="1" t="s">
        <v>1193</v>
      </c>
      <c r="C293" s="1" t="s">
        <v>1192</v>
      </c>
      <c r="D293" s="1" t="s">
        <v>1192</v>
      </c>
      <c r="E293" s="1" t="s">
        <v>1193</v>
      </c>
      <c r="F293" s="1" t="s">
        <v>1193</v>
      </c>
    </row>
    <row r="294" spans="1:7" ht="15.75" customHeight="1">
      <c r="B294" s="1" t="s">
        <v>1194</v>
      </c>
      <c r="C294" s="1">
        <v>0</v>
      </c>
      <c r="D294" s="1" t="s">
        <v>1192</v>
      </c>
      <c r="E294" s="1" t="s">
        <v>1194</v>
      </c>
      <c r="F294" s="1" t="s">
        <v>1193</v>
      </c>
    </row>
    <row r="295" spans="1:7" ht="15.75" customHeight="1">
      <c r="A295" s="1" t="s">
        <v>1195</v>
      </c>
      <c r="B295" s="1" t="s">
        <v>1197</v>
      </c>
      <c r="C295" s="1" t="s">
        <v>1195</v>
      </c>
      <c r="D295" s="1" t="s">
        <v>1195</v>
      </c>
      <c r="E295" s="1" t="s">
        <v>1197</v>
      </c>
      <c r="F295" s="1" t="s">
        <v>1193</v>
      </c>
    </row>
    <row r="296" spans="1:7" ht="15.75" customHeight="1">
      <c r="B296" s="1" t="s">
        <v>1198</v>
      </c>
      <c r="C296" s="1">
        <v>0</v>
      </c>
      <c r="D296" s="1" t="s">
        <v>1195</v>
      </c>
      <c r="E296" s="1" t="s">
        <v>1198</v>
      </c>
      <c r="F296" s="1" t="s">
        <v>1193</v>
      </c>
    </row>
    <row r="297" spans="1:7" ht="15.75" customHeight="1">
      <c r="A297" s="1" t="s">
        <v>1200</v>
      </c>
      <c r="B297" s="1" t="s">
        <v>1197</v>
      </c>
      <c r="C297" s="1" t="s">
        <v>1200</v>
      </c>
      <c r="D297" s="1" t="s">
        <v>1200</v>
      </c>
      <c r="E297" s="1" t="s">
        <v>1197</v>
      </c>
      <c r="F297" s="1" t="s">
        <v>1193</v>
      </c>
    </row>
    <row r="298" spans="1:7" ht="15.75" customHeight="1">
      <c r="B298" s="1" t="s">
        <v>1202</v>
      </c>
      <c r="C298" s="1">
        <v>0</v>
      </c>
      <c r="D298" s="1" t="s">
        <v>1200</v>
      </c>
      <c r="E298" s="1" t="s">
        <v>1202</v>
      </c>
      <c r="F298" s="1" t="s">
        <v>1193</v>
      </c>
    </row>
    <row r="299" spans="1:7" ht="15.75" customHeight="1">
      <c r="A299" s="1" t="s">
        <v>1204</v>
      </c>
      <c r="B299" s="1" t="s">
        <v>1205</v>
      </c>
      <c r="C299" s="1" t="s">
        <v>1204</v>
      </c>
      <c r="D299" s="1" t="s">
        <v>1204</v>
      </c>
      <c r="E299" s="1" t="s">
        <v>1205</v>
      </c>
      <c r="F299" s="1" t="s">
        <v>1205</v>
      </c>
      <c r="G299" s="1" t="s">
        <v>1205</v>
      </c>
    </row>
    <row r="300" spans="1:7" ht="15.75" customHeight="1">
      <c r="A300" s="1" t="s">
        <v>1206</v>
      </c>
      <c r="B300" s="1" t="s">
        <v>1207</v>
      </c>
      <c r="C300" s="1" t="s">
        <v>1206</v>
      </c>
      <c r="D300" s="1" t="s">
        <v>1206</v>
      </c>
      <c r="E300" s="1" t="s">
        <v>1207</v>
      </c>
      <c r="F300" s="1" t="s">
        <v>1207</v>
      </c>
    </row>
    <row r="301" spans="1:7" ht="15.75" customHeight="1">
      <c r="A301" s="1" t="s">
        <v>1211</v>
      </c>
      <c r="B301" s="1" t="s">
        <v>1212</v>
      </c>
      <c r="C301" s="1" t="s">
        <v>1211</v>
      </c>
      <c r="D301" s="1" t="s">
        <v>1211</v>
      </c>
      <c r="E301" s="1" t="s">
        <v>1212</v>
      </c>
      <c r="F301" s="1" t="s">
        <v>1212</v>
      </c>
    </row>
    <row r="302" spans="1:7" ht="15.75" customHeight="1">
      <c r="A302" s="1" t="s">
        <v>1216</v>
      </c>
      <c r="B302" s="1" t="s">
        <v>1218</v>
      </c>
      <c r="C302" s="1" t="s">
        <v>1216</v>
      </c>
      <c r="D302" s="1" t="s">
        <v>1216</v>
      </c>
      <c r="E302" s="1" t="s">
        <v>1218</v>
      </c>
      <c r="F302" s="1" t="s">
        <v>1219</v>
      </c>
    </row>
    <row r="303" spans="1:7" ht="15.75" customHeight="1">
      <c r="B303" s="1" t="s">
        <v>1221</v>
      </c>
      <c r="C303" s="1">
        <v>0</v>
      </c>
      <c r="D303" s="1" t="s">
        <v>1216</v>
      </c>
      <c r="E303" s="1" t="s">
        <v>1221</v>
      </c>
      <c r="F303" s="1" t="s">
        <v>1219</v>
      </c>
    </row>
    <row r="304" spans="1:7" ht="15.75" customHeight="1">
      <c r="A304" s="1" t="s">
        <v>1224</v>
      </c>
      <c r="B304" s="1" t="s">
        <v>1225</v>
      </c>
      <c r="C304" s="1" t="s">
        <v>1224</v>
      </c>
      <c r="D304" s="1" t="s">
        <v>1224</v>
      </c>
      <c r="E304" s="1" t="s">
        <v>1225</v>
      </c>
      <c r="F304" s="1" t="s">
        <v>1226</v>
      </c>
    </row>
    <row r="305" spans="1:6" ht="15.75" customHeight="1">
      <c r="B305" s="1" t="s">
        <v>1228</v>
      </c>
      <c r="C305" s="1">
        <v>0</v>
      </c>
      <c r="D305" s="1" t="s">
        <v>1224</v>
      </c>
      <c r="E305" s="1" t="s">
        <v>1228</v>
      </c>
      <c r="F305" s="1" t="s">
        <v>1226</v>
      </c>
    </row>
    <row r="306" spans="1:6" ht="15.75" customHeight="1">
      <c r="B306" s="1" t="s">
        <v>1231</v>
      </c>
      <c r="C306" s="1">
        <v>0</v>
      </c>
      <c r="D306" s="1" t="s">
        <v>1224</v>
      </c>
      <c r="E306" s="1" t="s">
        <v>1231</v>
      </c>
      <c r="F306" s="1" t="s">
        <v>1226</v>
      </c>
    </row>
    <row r="307" spans="1:6" ht="15.75" customHeight="1">
      <c r="A307" s="1" t="s">
        <v>1235</v>
      </c>
      <c r="B307" s="1" t="s">
        <v>1236</v>
      </c>
      <c r="C307" s="1" t="s">
        <v>1235</v>
      </c>
      <c r="D307" s="1" t="s">
        <v>1235</v>
      </c>
      <c r="E307" s="1" t="s">
        <v>1236</v>
      </c>
      <c r="F307" s="1" t="s">
        <v>1226</v>
      </c>
    </row>
    <row r="308" spans="1:6" ht="15.75" customHeight="1">
      <c r="B308" s="1" t="s">
        <v>1238</v>
      </c>
      <c r="C308" s="1">
        <v>0</v>
      </c>
      <c r="D308" s="1" t="s">
        <v>1235</v>
      </c>
      <c r="E308" s="1" t="s">
        <v>1238</v>
      </c>
      <c r="F308" s="1" t="s">
        <v>1226</v>
      </c>
    </row>
    <row r="309" spans="1:6" ht="15.75" customHeight="1">
      <c r="A309" s="1" t="s">
        <v>1239</v>
      </c>
      <c r="B309" s="1" t="s">
        <v>1240</v>
      </c>
      <c r="C309" s="1" t="s">
        <v>1239</v>
      </c>
      <c r="D309" s="1" t="s">
        <v>1239</v>
      </c>
      <c r="E309" s="1" t="s">
        <v>1240</v>
      </c>
      <c r="F309" s="1" t="s">
        <v>1246</v>
      </c>
    </row>
    <row r="310" spans="1:6" ht="15.75" customHeight="1">
      <c r="A310" s="1" t="s">
        <v>1249</v>
      </c>
      <c r="B310" s="1" t="s">
        <v>1250</v>
      </c>
      <c r="C310" s="1" t="s">
        <v>1249</v>
      </c>
      <c r="D310" s="1" t="s">
        <v>1249</v>
      </c>
      <c r="E310" s="1" t="s">
        <v>1250</v>
      </c>
      <c r="F310" s="1" t="s">
        <v>1252</v>
      </c>
    </row>
    <row r="311" spans="1:6" ht="15.75" customHeight="1">
      <c r="A311" s="1" t="s">
        <v>1254</v>
      </c>
      <c r="B311" s="1" t="s">
        <v>1256</v>
      </c>
      <c r="C311" s="1" t="s">
        <v>1254</v>
      </c>
      <c r="D311" s="1" t="s">
        <v>1254</v>
      </c>
      <c r="E311" s="1" t="s">
        <v>1256</v>
      </c>
      <c r="F311" s="1" t="s">
        <v>1257</v>
      </c>
    </row>
    <row r="312" spans="1:6" ht="15.75" customHeight="1">
      <c r="A312" s="1" t="s">
        <v>1258</v>
      </c>
      <c r="B312" s="1" t="s">
        <v>1259</v>
      </c>
      <c r="C312" s="1" t="s">
        <v>1258</v>
      </c>
      <c r="D312" s="1" t="s">
        <v>1258</v>
      </c>
      <c r="E312" s="1" t="s">
        <v>1259</v>
      </c>
      <c r="F312" s="1" t="s">
        <v>1260</v>
      </c>
    </row>
    <row r="313" spans="1:6" ht="15.75" customHeight="1">
      <c r="A313" s="1" t="s">
        <v>1261</v>
      </c>
      <c r="B313" s="1" t="s">
        <v>1262</v>
      </c>
      <c r="C313" s="1" t="s">
        <v>1261</v>
      </c>
      <c r="D313" s="1" t="s">
        <v>1261</v>
      </c>
      <c r="E313" s="1" t="s">
        <v>1262</v>
      </c>
      <c r="F313" s="1" t="s">
        <v>1263</v>
      </c>
    </row>
    <row r="314" spans="1:6" ht="15.75" customHeight="1">
      <c r="B314" s="1" t="s">
        <v>1267</v>
      </c>
      <c r="C314" s="1">
        <v>0</v>
      </c>
      <c r="D314" s="1" t="s">
        <v>1261</v>
      </c>
      <c r="E314" s="1" t="s">
        <v>1267</v>
      </c>
      <c r="F314" s="1" t="s">
        <v>1263</v>
      </c>
    </row>
    <row r="315" spans="1:6" ht="15.75" customHeight="1">
      <c r="A315" s="1" t="s">
        <v>1271</v>
      </c>
      <c r="B315" s="1" t="s">
        <v>1273</v>
      </c>
      <c r="C315" s="1" t="s">
        <v>1271</v>
      </c>
      <c r="D315" s="1" t="s">
        <v>1271</v>
      </c>
      <c r="E315" s="1" t="s">
        <v>1273</v>
      </c>
      <c r="F315" s="1" t="s">
        <v>1275</v>
      </c>
    </row>
    <row r="316" spans="1:6" ht="15.75" customHeight="1">
      <c r="A316" s="1" t="s">
        <v>1276</v>
      </c>
      <c r="B316" s="1" t="s">
        <v>1277</v>
      </c>
      <c r="C316" s="1" t="s">
        <v>1276</v>
      </c>
      <c r="D316" s="1" t="s">
        <v>1276</v>
      </c>
      <c r="E316" s="1" t="s">
        <v>1277</v>
      </c>
      <c r="F316" s="1" t="s">
        <v>1278</v>
      </c>
    </row>
    <row r="317" spans="1:6" ht="15.75" customHeight="1">
      <c r="B317" s="1" t="s">
        <v>1279</v>
      </c>
      <c r="C317" s="1">
        <v>0</v>
      </c>
      <c r="D317" s="1" t="s">
        <v>1276</v>
      </c>
      <c r="E317" s="1" t="s">
        <v>1279</v>
      </c>
      <c r="F317" s="1" t="s">
        <v>1278</v>
      </c>
    </row>
    <row r="318" spans="1:6" ht="15.75" customHeight="1">
      <c r="B318" s="1" t="s">
        <v>1281</v>
      </c>
      <c r="C318" s="1">
        <v>0</v>
      </c>
      <c r="D318" s="1" t="s">
        <v>1276</v>
      </c>
      <c r="E318" s="1" t="s">
        <v>1281</v>
      </c>
      <c r="F318" s="1" t="s">
        <v>1278</v>
      </c>
    </row>
    <row r="319" spans="1:6" ht="15.75" customHeight="1">
      <c r="A319" s="1" t="s">
        <v>1284</v>
      </c>
      <c r="B319" s="1" t="s">
        <v>1285</v>
      </c>
      <c r="C319" s="1" t="s">
        <v>1284</v>
      </c>
      <c r="D319" s="1" t="s">
        <v>1284</v>
      </c>
      <c r="E319" s="1" t="s">
        <v>1285</v>
      </c>
      <c r="F319" s="1" t="s">
        <v>1278</v>
      </c>
    </row>
    <row r="320" spans="1:6" ht="15.75" customHeight="1">
      <c r="A320" s="1" t="s">
        <v>1291</v>
      </c>
      <c r="B320" s="1" t="s">
        <v>1292</v>
      </c>
      <c r="C320" s="1" t="s">
        <v>1291</v>
      </c>
      <c r="D320" s="1" t="s">
        <v>1291</v>
      </c>
      <c r="E320" s="1" t="s">
        <v>1292</v>
      </c>
      <c r="F320" s="1" t="s">
        <v>1278</v>
      </c>
    </row>
    <row r="321" spans="1:26" ht="15.75" customHeight="1">
      <c r="B321" s="1" t="s">
        <v>1293</v>
      </c>
      <c r="C321" s="1">
        <v>0</v>
      </c>
      <c r="D321" s="1" t="s">
        <v>1291</v>
      </c>
      <c r="E321" s="1" t="s">
        <v>1293</v>
      </c>
      <c r="F321" s="1" t="s">
        <v>1278</v>
      </c>
    </row>
    <row r="322" spans="1:26" ht="15.75" customHeight="1">
      <c r="B322" s="1" t="s">
        <v>1294</v>
      </c>
      <c r="C322" s="1">
        <v>0</v>
      </c>
      <c r="D322" s="1" t="s">
        <v>1291</v>
      </c>
      <c r="E322" s="1" t="s">
        <v>1294</v>
      </c>
      <c r="F322" s="1" t="s">
        <v>1278</v>
      </c>
    </row>
    <row r="323" spans="1:26" ht="15.75" customHeight="1">
      <c r="A323" s="7" t="s">
        <v>1298</v>
      </c>
      <c r="B323" s="7" t="s">
        <v>1299</v>
      </c>
      <c r="C323" s="7" t="s">
        <v>1298</v>
      </c>
      <c r="D323" s="7" t="s">
        <v>1298</v>
      </c>
      <c r="E323" s="7" t="s">
        <v>1299</v>
      </c>
      <c r="F323" s="1" t="s">
        <v>1278</v>
      </c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1" t="s">
        <v>1306</v>
      </c>
      <c r="B324" s="1" t="s">
        <v>1307</v>
      </c>
      <c r="C324" s="1" t="s">
        <v>1306</v>
      </c>
      <c r="D324" s="1" t="s">
        <v>1306</v>
      </c>
      <c r="E324" s="1" t="s">
        <v>1307</v>
      </c>
      <c r="F324" s="1" t="s">
        <v>1308</v>
      </c>
    </row>
    <row r="325" spans="1:26" ht="15.75" customHeight="1">
      <c r="B325" s="1" t="s">
        <v>1310</v>
      </c>
      <c r="C325" s="1">
        <v>0</v>
      </c>
      <c r="D325" s="1" t="s">
        <v>1306</v>
      </c>
      <c r="E325" s="1" t="s">
        <v>1310</v>
      </c>
      <c r="F325" s="1" t="s">
        <v>1308</v>
      </c>
    </row>
    <row r="326" spans="1:26" ht="15.75" customHeight="1">
      <c r="A326" s="1" t="s">
        <v>1313</v>
      </c>
      <c r="B326" s="1" t="s">
        <v>1314</v>
      </c>
      <c r="C326" s="1" t="s">
        <v>1313</v>
      </c>
      <c r="D326" s="1" t="s">
        <v>1313</v>
      </c>
      <c r="E326" s="1" t="s">
        <v>1314</v>
      </c>
      <c r="F326" s="1" t="s">
        <v>1317</v>
      </c>
    </row>
    <row r="327" spans="1:26" ht="15.75" customHeight="1">
      <c r="B327" s="1" t="s">
        <v>1319</v>
      </c>
      <c r="C327" s="1">
        <v>0</v>
      </c>
      <c r="D327" s="1" t="s">
        <v>1313</v>
      </c>
      <c r="E327" s="1" t="s">
        <v>1319</v>
      </c>
      <c r="F327" s="1" t="s">
        <v>1317</v>
      </c>
    </row>
    <row r="328" spans="1:26" ht="15.75" customHeight="1">
      <c r="A328" s="1" t="s">
        <v>1320</v>
      </c>
      <c r="B328" s="1" t="s">
        <v>1321</v>
      </c>
      <c r="C328" s="1" t="s">
        <v>1320</v>
      </c>
      <c r="D328" s="1" t="s">
        <v>1320</v>
      </c>
      <c r="E328" s="1" t="s">
        <v>1321</v>
      </c>
      <c r="F328" s="1" t="s">
        <v>1322</v>
      </c>
    </row>
    <row r="329" spans="1:26" ht="15.75" customHeight="1">
      <c r="B329" s="1" t="s">
        <v>1323</v>
      </c>
      <c r="C329" s="1">
        <v>0</v>
      </c>
      <c r="D329" s="1" t="s">
        <v>1320</v>
      </c>
      <c r="E329" s="1" t="s">
        <v>1323</v>
      </c>
      <c r="F329" s="1" t="s">
        <v>1322</v>
      </c>
    </row>
    <row r="330" spans="1:26" ht="15.75" customHeight="1">
      <c r="A330" s="1" t="s">
        <v>1330</v>
      </c>
      <c r="B330" s="1" t="s">
        <v>1332</v>
      </c>
      <c r="C330" s="1" t="s">
        <v>1330</v>
      </c>
      <c r="D330" s="1" t="s">
        <v>1330</v>
      </c>
      <c r="E330" s="1" t="s">
        <v>1332</v>
      </c>
      <c r="F330" s="1" t="s">
        <v>1335</v>
      </c>
    </row>
    <row r="331" spans="1:26" ht="15.75" customHeight="1">
      <c r="A331" s="1" t="s">
        <v>1337</v>
      </c>
      <c r="B331" s="1" t="s">
        <v>1339</v>
      </c>
      <c r="C331" s="1" t="s">
        <v>1337</v>
      </c>
      <c r="D331" s="1" t="s">
        <v>1337</v>
      </c>
      <c r="E331" s="1" t="s">
        <v>1339</v>
      </c>
      <c r="F331" s="1" t="s">
        <v>1343</v>
      </c>
    </row>
    <row r="332" spans="1:26" ht="15.75" customHeight="1"/>
    <row r="333" spans="1:26" ht="15.75" customHeight="1"/>
    <row r="334" spans="1:26" ht="15.75" customHeight="1"/>
    <row r="335" spans="1:26" ht="15.75" customHeight="1"/>
    <row r="336" spans="1:2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645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14.42578125" defaultRowHeight="15" customHeight="1"/>
  <cols>
    <col min="1" max="1" width="4.140625" customWidth="1"/>
    <col min="2" max="2" width="28.5703125" customWidth="1"/>
    <col min="3" max="3" width="8.85546875" customWidth="1"/>
    <col min="4" max="4" width="16.7109375" customWidth="1"/>
    <col min="5" max="5" width="6.85546875" customWidth="1"/>
    <col min="6" max="8" width="13.7109375" customWidth="1"/>
    <col min="9" max="10" width="7.140625" customWidth="1"/>
    <col min="11" max="11" width="7" customWidth="1"/>
    <col min="12" max="12" width="6.7109375" customWidth="1"/>
    <col min="13" max="13" width="6.5703125" customWidth="1"/>
    <col min="14" max="14" width="6.7109375" customWidth="1"/>
    <col min="15" max="16" width="6.5703125" customWidth="1"/>
    <col min="17" max="17" width="6.7109375" customWidth="1"/>
    <col min="18" max="22" width="7.140625" customWidth="1"/>
    <col min="23" max="23" width="7" customWidth="1"/>
    <col min="24" max="24" width="7.7109375" customWidth="1"/>
    <col min="25" max="25" width="7.140625" customWidth="1"/>
    <col min="26" max="26" width="4.28515625" customWidth="1"/>
    <col min="27" max="27" width="6.140625" customWidth="1"/>
    <col min="28" max="28" width="6.5703125" customWidth="1"/>
    <col min="29" max="34" width="5.85546875" customWidth="1"/>
    <col min="35" max="35" width="5.7109375" customWidth="1"/>
    <col min="36" max="41" width="5.85546875" customWidth="1"/>
    <col min="42" max="43" width="6.42578125" customWidth="1"/>
    <col min="44" max="44" width="10.7109375" customWidth="1"/>
  </cols>
  <sheetData>
    <row r="1" spans="1:44" ht="21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9.5" customHeight="1">
      <c r="A2" s="5"/>
      <c r="B2" s="5"/>
      <c r="C2" s="5"/>
      <c r="D2" s="6"/>
      <c r="E2" s="6"/>
      <c r="F2" s="252" t="s">
        <v>23</v>
      </c>
      <c r="G2" s="253"/>
      <c r="H2" s="254"/>
      <c r="I2" s="255" t="s">
        <v>28</v>
      </c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4"/>
      <c r="Z2" s="2"/>
      <c r="AA2" s="255" t="s">
        <v>31</v>
      </c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3"/>
      <c r="AN2" s="253"/>
      <c r="AO2" s="253"/>
      <c r="AP2" s="253"/>
      <c r="AQ2" s="254"/>
      <c r="AR2" s="2"/>
    </row>
    <row r="3" spans="1:44" ht="52.5" customHeight="1">
      <c r="A3" s="8" t="s">
        <v>38</v>
      </c>
      <c r="B3" s="8" t="s">
        <v>41</v>
      </c>
      <c r="C3" s="8" t="s">
        <v>42</v>
      </c>
      <c r="D3" s="8" t="s">
        <v>44</v>
      </c>
      <c r="E3" s="8" t="s">
        <v>45</v>
      </c>
      <c r="F3" s="9" t="s">
        <v>47</v>
      </c>
      <c r="G3" s="9" t="s">
        <v>48</v>
      </c>
      <c r="H3" s="10" t="s">
        <v>50</v>
      </c>
      <c r="I3" s="11" t="s">
        <v>52</v>
      </c>
      <c r="J3" s="11" t="s">
        <v>53</v>
      </c>
      <c r="K3" s="12" t="s">
        <v>55</v>
      </c>
      <c r="L3" s="11" t="s">
        <v>56</v>
      </c>
      <c r="M3" s="12" t="s">
        <v>57</v>
      </c>
      <c r="N3" s="12" t="s">
        <v>58</v>
      </c>
      <c r="O3" s="11" t="s">
        <v>59</v>
      </c>
      <c r="P3" s="12" t="s">
        <v>60</v>
      </c>
      <c r="Q3" s="11" t="s">
        <v>62</v>
      </c>
      <c r="R3" s="11" t="s">
        <v>64</v>
      </c>
      <c r="S3" s="11" t="s">
        <v>65</v>
      </c>
      <c r="T3" s="12" t="s">
        <v>66</v>
      </c>
      <c r="U3" s="12" t="s">
        <v>67</v>
      </c>
      <c r="V3" s="12" t="s">
        <v>68</v>
      </c>
      <c r="W3" s="12" t="s">
        <v>69</v>
      </c>
      <c r="X3" s="12" t="s">
        <v>70</v>
      </c>
      <c r="Y3" s="12" t="s">
        <v>71</v>
      </c>
      <c r="Z3" s="13"/>
      <c r="AA3" s="11" t="s">
        <v>52</v>
      </c>
      <c r="AB3" s="11" t="s">
        <v>53</v>
      </c>
      <c r="AC3" s="12" t="s">
        <v>55</v>
      </c>
      <c r="AD3" s="11" t="s">
        <v>56</v>
      </c>
      <c r="AE3" s="12" t="s">
        <v>57</v>
      </c>
      <c r="AF3" s="12" t="s">
        <v>58</v>
      </c>
      <c r="AG3" s="11" t="s">
        <v>59</v>
      </c>
      <c r="AH3" s="12" t="s">
        <v>60</v>
      </c>
      <c r="AI3" s="11" t="s">
        <v>62</v>
      </c>
      <c r="AJ3" s="11" t="s">
        <v>64</v>
      </c>
      <c r="AK3" s="11" t="s">
        <v>65</v>
      </c>
      <c r="AL3" s="12" t="s">
        <v>66</v>
      </c>
      <c r="AM3" s="12" t="s">
        <v>67</v>
      </c>
      <c r="AN3" s="12" t="s">
        <v>68</v>
      </c>
      <c r="AO3" s="12" t="s">
        <v>69</v>
      </c>
      <c r="AP3" s="12" t="s">
        <v>70</v>
      </c>
      <c r="AQ3" s="12" t="s">
        <v>71</v>
      </c>
      <c r="AR3" s="2"/>
    </row>
    <row r="4" spans="1:44" ht="19.5" customHeight="1">
      <c r="A4" s="14" t="s">
        <v>75</v>
      </c>
      <c r="B4" s="16"/>
      <c r="C4" s="16"/>
      <c r="D4" s="16"/>
      <c r="E4" s="17"/>
      <c r="F4" s="18"/>
      <c r="G4" s="18"/>
      <c r="H4" s="18"/>
      <c r="I4" s="19"/>
      <c r="J4" s="20"/>
      <c r="K4" s="21"/>
      <c r="L4" s="20"/>
      <c r="M4" s="21"/>
      <c r="N4" s="21"/>
      <c r="O4" s="20"/>
      <c r="P4" s="21"/>
      <c r="Q4" s="20"/>
      <c r="R4" s="20"/>
      <c r="S4" s="20"/>
      <c r="T4" s="21"/>
      <c r="U4" s="21"/>
      <c r="V4" s="21"/>
      <c r="W4" s="21"/>
      <c r="X4" s="21"/>
      <c r="Y4" s="21"/>
      <c r="Z4" s="21"/>
      <c r="AA4" s="22"/>
      <c r="AB4" s="22"/>
      <c r="AC4" s="23"/>
      <c r="AD4" s="22"/>
      <c r="AE4" s="23"/>
      <c r="AF4" s="23"/>
      <c r="AG4" s="22"/>
      <c r="AH4" s="23"/>
      <c r="AI4" s="22"/>
      <c r="AJ4" s="22"/>
      <c r="AK4" s="22"/>
      <c r="AL4" s="23"/>
      <c r="AM4" s="23"/>
      <c r="AN4" s="23"/>
      <c r="AO4" s="23"/>
      <c r="AP4" s="23"/>
      <c r="AQ4" s="23"/>
      <c r="AR4" s="24"/>
    </row>
    <row r="5" spans="1:44" ht="19.5" customHeight="1">
      <c r="A5" s="26">
        <v>1</v>
      </c>
      <c r="B5" s="28" t="s">
        <v>93</v>
      </c>
      <c r="C5" s="26" t="s">
        <v>94</v>
      </c>
      <c r="D5" s="28" t="s">
        <v>96</v>
      </c>
      <c r="E5" s="30"/>
      <c r="F5" s="32">
        <v>120723.20884092709</v>
      </c>
      <c r="G5" s="32">
        <v>22293.405169011519</v>
      </c>
      <c r="H5" s="32">
        <v>143016.6140099387</v>
      </c>
      <c r="I5" s="33">
        <v>41.988846779392759</v>
      </c>
      <c r="J5" s="33">
        <v>41.988846779392759</v>
      </c>
      <c r="K5" s="34">
        <v>13.99628225979759</v>
      </c>
      <c r="L5" s="33">
        <v>22.39405161567614</v>
      </c>
      <c r="M5" s="34">
        <v>27.99256451959517</v>
      </c>
      <c r="N5" s="34">
        <v>16.7955387117571</v>
      </c>
      <c r="O5" s="33">
        <v>16.7955387117571</v>
      </c>
      <c r="P5" s="34">
        <v>33.591077423514207</v>
      </c>
      <c r="Q5" s="33">
        <v>27.99256451959517</v>
      </c>
      <c r="R5" s="33">
        <v>33.591077423514207</v>
      </c>
      <c r="S5" s="33">
        <v>19.594795163716618</v>
      </c>
      <c r="T5" s="34">
        <v>19.594795163716618</v>
      </c>
      <c r="U5" s="34">
        <v>8.3977693558785518</v>
      </c>
      <c r="V5" s="34">
        <v>13.99628225979759</v>
      </c>
      <c r="W5" s="34">
        <v>8.3977693558785518</v>
      </c>
      <c r="X5" s="34">
        <v>83.977693558785518</v>
      </c>
      <c r="Y5" s="34">
        <v>44.788103231352281</v>
      </c>
      <c r="Z5" s="34"/>
      <c r="AA5" s="33">
        <v>7.7538891056646833</v>
      </c>
      <c r="AB5" s="33">
        <v>7.7538891056646833</v>
      </c>
      <c r="AC5" s="34">
        <v>2.584629701888228</v>
      </c>
      <c r="AD5" s="33">
        <v>4.1354075230211649</v>
      </c>
      <c r="AE5" s="34">
        <v>5.1692594037764552</v>
      </c>
      <c r="AF5" s="34">
        <v>3.1015556422658741</v>
      </c>
      <c r="AG5" s="33">
        <v>3.1015556422658741</v>
      </c>
      <c r="AH5" s="34">
        <v>6.2031112845317473</v>
      </c>
      <c r="AI5" s="33">
        <v>5.1692594037764552</v>
      </c>
      <c r="AJ5" s="33">
        <v>6.2031112845317473</v>
      </c>
      <c r="AK5" s="33">
        <v>3.6184815826435188</v>
      </c>
      <c r="AL5" s="34">
        <v>3.6184815826435188</v>
      </c>
      <c r="AM5" s="34">
        <v>1.5507778211329371</v>
      </c>
      <c r="AN5" s="34">
        <v>2.584629701888228</v>
      </c>
      <c r="AO5" s="34">
        <v>1.5507778211329371</v>
      </c>
      <c r="AP5" s="34">
        <v>15.50777821132937</v>
      </c>
      <c r="AQ5" s="34">
        <v>8.2708150460423298</v>
      </c>
      <c r="AR5" s="37"/>
    </row>
    <row r="6" spans="1:44" ht="19.5" customHeight="1">
      <c r="A6" s="26">
        <v>2</v>
      </c>
      <c r="B6" s="28" t="s">
        <v>121</v>
      </c>
      <c r="C6" s="26" t="s">
        <v>94</v>
      </c>
      <c r="D6" s="28" t="s">
        <v>122</v>
      </c>
      <c r="E6" s="30"/>
      <c r="F6" s="32">
        <v>110505.4930492767</v>
      </c>
      <c r="G6" s="32">
        <v>24500</v>
      </c>
      <c r="H6" s="32">
        <v>135005.4930492767</v>
      </c>
      <c r="I6" s="33">
        <v>38.435013950310889</v>
      </c>
      <c r="J6" s="33">
        <v>38.435013950310889</v>
      </c>
      <c r="K6" s="34">
        <v>12.811671316770299</v>
      </c>
      <c r="L6" s="33">
        <v>20.498674106832471</v>
      </c>
      <c r="M6" s="34">
        <v>25.623342633540592</v>
      </c>
      <c r="N6" s="34">
        <v>15.37400558012436</v>
      </c>
      <c r="O6" s="33">
        <v>15.37400558012436</v>
      </c>
      <c r="P6" s="34">
        <v>30.748011160248719</v>
      </c>
      <c r="Q6" s="33">
        <v>25.623342633540592</v>
      </c>
      <c r="R6" s="33">
        <v>30.748011160248719</v>
      </c>
      <c r="S6" s="33">
        <v>17.936339843478411</v>
      </c>
      <c r="T6" s="34">
        <v>17.936339843478411</v>
      </c>
      <c r="U6" s="34">
        <v>7.6870027900621789</v>
      </c>
      <c r="V6" s="34">
        <v>12.811671316770299</v>
      </c>
      <c r="W6" s="34">
        <v>7.6870027900621789</v>
      </c>
      <c r="X6" s="34">
        <v>76.870027900621778</v>
      </c>
      <c r="Y6" s="34">
        <v>40.997348213664949</v>
      </c>
      <c r="Z6" s="34"/>
      <c r="AA6" s="33">
        <v>8.5213668189572473</v>
      </c>
      <c r="AB6" s="33">
        <v>8.5213668189572473</v>
      </c>
      <c r="AC6" s="34">
        <v>2.840455606319082</v>
      </c>
      <c r="AD6" s="33">
        <v>4.5447289701105316</v>
      </c>
      <c r="AE6" s="34">
        <v>5.680911212638164</v>
      </c>
      <c r="AF6" s="34">
        <v>3.4085467275828991</v>
      </c>
      <c r="AG6" s="33">
        <v>3.4085467275828991</v>
      </c>
      <c r="AH6" s="34">
        <v>6.8170934551657982</v>
      </c>
      <c r="AI6" s="33">
        <v>5.680911212638164</v>
      </c>
      <c r="AJ6" s="33">
        <v>6.8170934551657982</v>
      </c>
      <c r="AK6" s="33">
        <v>3.9766378488467149</v>
      </c>
      <c r="AL6" s="34">
        <v>3.9766378488467149</v>
      </c>
      <c r="AM6" s="34">
        <v>1.70427336379145</v>
      </c>
      <c r="AN6" s="34">
        <v>2.840455606319082</v>
      </c>
      <c r="AO6" s="34">
        <v>1.70427336379145</v>
      </c>
      <c r="AP6" s="34">
        <v>17.042733637914491</v>
      </c>
      <c r="AQ6" s="34">
        <v>9.0894579402210631</v>
      </c>
      <c r="AR6" s="39"/>
    </row>
    <row r="7" spans="1:44" ht="19.5" customHeight="1">
      <c r="A7" s="26">
        <v>3</v>
      </c>
      <c r="B7" s="41" t="s">
        <v>133</v>
      </c>
      <c r="C7" s="26" t="s">
        <v>94</v>
      </c>
      <c r="D7" s="28" t="s">
        <v>137</v>
      </c>
      <c r="E7" s="30"/>
      <c r="F7" s="32">
        <v>12052</v>
      </c>
      <c r="G7" s="32">
        <v>53800</v>
      </c>
      <c r="H7" s="32">
        <v>65852</v>
      </c>
      <c r="I7" s="33">
        <v>4.1918168531458262</v>
      </c>
      <c r="J7" s="33">
        <v>4.1918168531458262</v>
      </c>
      <c r="K7" s="34">
        <v>1.3972722843819421</v>
      </c>
      <c r="L7" s="33">
        <v>2.2356356550111069</v>
      </c>
      <c r="M7" s="34">
        <v>2.7945445687638841</v>
      </c>
      <c r="N7" s="34">
        <v>1.67672674125833</v>
      </c>
      <c r="O7" s="33">
        <v>1.67672674125833</v>
      </c>
      <c r="P7" s="34">
        <v>3.3534534825166609</v>
      </c>
      <c r="Q7" s="33">
        <v>2.7945445687638841</v>
      </c>
      <c r="R7" s="33">
        <v>3.3534534825166609</v>
      </c>
      <c r="S7" s="33">
        <v>1.956181198134719</v>
      </c>
      <c r="T7" s="34">
        <v>1.956181198134719</v>
      </c>
      <c r="U7" s="34">
        <v>0.83836337062916522</v>
      </c>
      <c r="V7" s="34">
        <v>1.3972722843819421</v>
      </c>
      <c r="W7" s="34">
        <v>0.83836337062916522</v>
      </c>
      <c r="X7" s="34">
        <v>8.3836337062916524</v>
      </c>
      <c r="Y7" s="34">
        <v>4.4712713100222139</v>
      </c>
      <c r="Z7" s="34"/>
      <c r="AA7" s="33">
        <v>18.712225912648979</v>
      </c>
      <c r="AB7" s="33">
        <v>18.712225912648979</v>
      </c>
      <c r="AC7" s="34">
        <v>6.2374086375496578</v>
      </c>
      <c r="AD7" s="33">
        <v>9.9798538200794535</v>
      </c>
      <c r="AE7" s="34">
        <v>12.474817275099319</v>
      </c>
      <c r="AF7" s="34">
        <v>7.4848903650595897</v>
      </c>
      <c r="AG7" s="33">
        <v>7.4848903650595897</v>
      </c>
      <c r="AH7" s="34">
        <v>14.969780730119179</v>
      </c>
      <c r="AI7" s="33">
        <v>12.474817275099319</v>
      </c>
      <c r="AJ7" s="33">
        <v>14.969780730119179</v>
      </c>
      <c r="AK7" s="33">
        <v>8.7323720925695216</v>
      </c>
      <c r="AL7" s="34">
        <v>8.7323720925695216</v>
      </c>
      <c r="AM7" s="34">
        <v>3.7424451825297949</v>
      </c>
      <c r="AN7" s="34">
        <v>6.2374086375496578</v>
      </c>
      <c r="AO7" s="34">
        <v>3.7424451825297949</v>
      </c>
      <c r="AP7" s="34">
        <v>37.42445182529795</v>
      </c>
      <c r="AQ7" s="34">
        <v>19.959707640158911</v>
      </c>
      <c r="AR7" s="39"/>
    </row>
    <row r="8" spans="1:44" ht="19.5" customHeight="1">
      <c r="A8" s="26">
        <v>4</v>
      </c>
      <c r="B8" s="41" t="s">
        <v>133</v>
      </c>
      <c r="C8" s="26" t="s">
        <v>94</v>
      </c>
      <c r="D8" s="28" t="s">
        <v>148</v>
      </c>
      <c r="E8" s="30"/>
      <c r="F8" s="32">
        <v>20904.451747346691</v>
      </c>
      <c r="G8" s="32">
        <v>48020</v>
      </c>
      <c r="H8" s="32">
        <v>68924.451747346699</v>
      </c>
      <c r="I8" s="33">
        <v>7.27079597911563</v>
      </c>
      <c r="J8" s="33">
        <v>7.27079597911563</v>
      </c>
      <c r="K8" s="34">
        <v>2.4235986597052102</v>
      </c>
      <c r="L8" s="33">
        <v>3.8777578555283361</v>
      </c>
      <c r="M8" s="34">
        <v>4.8471973194104194</v>
      </c>
      <c r="N8" s="34">
        <v>2.9083183916462518</v>
      </c>
      <c r="O8" s="33">
        <v>2.9083183916462518</v>
      </c>
      <c r="P8" s="34">
        <v>5.8166367832925054</v>
      </c>
      <c r="Q8" s="33">
        <v>4.8471973194104194</v>
      </c>
      <c r="R8" s="33">
        <v>5.8166367832925054</v>
      </c>
      <c r="S8" s="33">
        <v>3.393038123587294</v>
      </c>
      <c r="T8" s="34">
        <v>3.393038123587294</v>
      </c>
      <c r="U8" s="34">
        <v>1.4541591958231259</v>
      </c>
      <c r="V8" s="34">
        <v>2.4235986597052102</v>
      </c>
      <c r="W8" s="34">
        <v>1.4541591958231259</v>
      </c>
      <c r="X8" s="34">
        <v>14.54159195823126</v>
      </c>
      <c r="Y8" s="34">
        <v>7.7555157110566721</v>
      </c>
      <c r="Z8" s="34"/>
      <c r="AA8" s="33">
        <v>16.701878965156201</v>
      </c>
      <c r="AB8" s="33">
        <v>16.701878965156201</v>
      </c>
      <c r="AC8" s="34">
        <v>5.5672929883854003</v>
      </c>
      <c r="AD8" s="33">
        <v>8.9076687814166409</v>
      </c>
      <c r="AE8" s="34">
        <v>11.134585976770801</v>
      </c>
      <c r="AF8" s="34">
        <v>6.6807515860624811</v>
      </c>
      <c r="AG8" s="33">
        <v>6.6807515860624811</v>
      </c>
      <c r="AH8" s="34">
        <v>13.36150317212496</v>
      </c>
      <c r="AI8" s="33">
        <v>11.134585976770801</v>
      </c>
      <c r="AJ8" s="33">
        <v>13.36150317212496</v>
      </c>
      <c r="AK8" s="33">
        <v>7.7942101837395619</v>
      </c>
      <c r="AL8" s="34">
        <v>7.7942101837395619</v>
      </c>
      <c r="AM8" s="34">
        <v>3.340375793031241</v>
      </c>
      <c r="AN8" s="34">
        <v>5.5672929883854003</v>
      </c>
      <c r="AO8" s="34">
        <v>3.340375793031241</v>
      </c>
      <c r="AP8" s="34">
        <v>33.403757930312409</v>
      </c>
      <c r="AQ8" s="34">
        <v>17.815337562833282</v>
      </c>
      <c r="AR8" s="39"/>
    </row>
    <row r="9" spans="1:44" ht="19.5" customHeight="1">
      <c r="A9" s="26">
        <v>5</v>
      </c>
      <c r="B9" s="28" t="s">
        <v>158</v>
      </c>
      <c r="C9" s="26" t="s">
        <v>159</v>
      </c>
      <c r="D9" s="28" t="s">
        <v>161</v>
      </c>
      <c r="E9" s="30"/>
      <c r="F9" s="32">
        <v>120723.20884092709</v>
      </c>
      <c r="G9" s="32">
        <v>15200</v>
      </c>
      <c r="H9" s="32">
        <v>135923.20884092711</v>
      </c>
      <c r="I9" s="33">
        <v>41.988846779392759</v>
      </c>
      <c r="J9" s="33">
        <v>41.988846779392759</v>
      </c>
      <c r="K9" s="34">
        <v>13.99628225979759</v>
      </c>
      <c r="L9" s="33">
        <v>22.39405161567614</v>
      </c>
      <c r="M9" s="34">
        <v>27.99256451959517</v>
      </c>
      <c r="N9" s="47">
        <v>16.7955387117571</v>
      </c>
      <c r="O9" s="33">
        <v>16.7955387117571</v>
      </c>
      <c r="P9" s="34">
        <v>33.591077423514207</v>
      </c>
      <c r="Q9" s="33">
        <v>27.99256451959517</v>
      </c>
      <c r="R9" s="33">
        <v>33.591077423514207</v>
      </c>
      <c r="S9" s="33">
        <v>19.594795163716618</v>
      </c>
      <c r="T9" s="34">
        <v>19.594795163716618</v>
      </c>
      <c r="U9" s="34">
        <v>8.3977693558785518</v>
      </c>
      <c r="V9" s="34">
        <v>13.99628225979759</v>
      </c>
      <c r="W9" s="34">
        <v>8.3977693558785518</v>
      </c>
      <c r="X9" s="34">
        <v>83.977693558785518</v>
      </c>
      <c r="Y9" s="34">
        <v>44.788103231352281</v>
      </c>
      <c r="Z9" s="34"/>
      <c r="AA9" s="33">
        <v>5.2867255366591897</v>
      </c>
      <c r="AB9" s="33">
        <v>5.2867255366591897</v>
      </c>
      <c r="AC9" s="34">
        <v>1.7622418455530631</v>
      </c>
      <c r="AD9" s="33">
        <v>2.8195869528849009</v>
      </c>
      <c r="AE9" s="34">
        <v>3.5244836911061261</v>
      </c>
      <c r="AF9" s="34">
        <v>2.1146902146636761</v>
      </c>
      <c r="AG9" s="33">
        <v>2.1146902146636761</v>
      </c>
      <c r="AH9" s="34">
        <v>4.2293804293273523</v>
      </c>
      <c r="AI9" s="33">
        <v>3.5244836911061261</v>
      </c>
      <c r="AJ9" s="33">
        <v>4.2293804293273523</v>
      </c>
      <c r="AK9" s="33">
        <v>2.4671385837742892</v>
      </c>
      <c r="AL9" s="34">
        <v>2.4671385837742892</v>
      </c>
      <c r="AM9" s="34">
        <v>1.0573451073318381</v>
      </c>
      <c r="AN9" s="34">
        <v>1.7622418455530631</v>
      </c>
      <c r="AO9" s="34">
        <v>1.0573451073318381</v>
      </c>
      <c r="AP9" s="34">
        <v>10.573451073318379</v>
      </c>
      <c r="AQ9" s="34">
        <v>5.6391739057698027</v>
      </c>
      <c r="AR9" s="48"/>
    </row>
    <row r="10" spans="1:44" ht="19.5" customHeight="1">
      <c r="A10" s="49"/>
      <c r="B10" s="50" t="s">
        <v>183</v>
      </c>
      <c r="C10" s="49" t="s">
        <v>185</v>
      </c>
      <c r="D10" s="50" t="s">
        <v>186</v>
      </c>
      <c r="E10" s="51">
        <v>5</v>
      </c>
      <c r="F10" s="52">
        <v>384908.36247847759</v>
      </c>
      <c r="G10" s="52">
        <v>163813.4051690115</v>
      </c>
      <c r="H10" s="52">
        <v>548721.76764748921</v>
      </c>
      <c r="I10" s="53">
        <v>133.87532034135791</v>
      </c>
      <c r="J10" s="53">
        <v>133.87532034135791</v>
      </c>
      <c r="K10" s="54">
        <v>44.625106780452619</v>
      </c>
      <c r="L10" s="53">
        <v>71.400170848724201</v>
      </c>
      <c r="M10" s="54">
        <v>89.250213560905237</v>
      </c>
      <c r="N10" s="54">
        <v>53.550128136543151</v>
      </c>
      <c r="O10" s="53">
        <v>53.550128136543151</v>
      </c>
      <c r="P10" s="54">
        <v>107.1002562730863</v>
      </c>
      <c r="Q10" s="53">
        <v>89.250213560905237</v>
      </c>
      <c r="R10" s="53">
        <v>107.1002562730863</v>
      </c>
      <c r="S10" s="53">
        <v>62.475149492633683</v>
      </c>
      <c r="T10" s="54">
        <v>62.475149492633683</v>
      </c>
      <c r="U10" s="54">
        <v>26.775064068271579</v>
      </c>
      <c r="V10" s="54">
        <v>44.625106780452619</v>
      </c>
      <c r="W10" s="54">
        <v>26.775064068271579</v>
      </c>
      <c r="X10" s="54">
        <v>267.75064068271581</v>
      </c>
      <c r="Y10" s="54">
        <v>142.8003416974484</v>
      </c>
      <c r="Z10" s="54"/>
      <c r="AA10" s="53">
        <v>56.976086339086301</v>
      </c>
      <c r="AB10" s="53">
        <v>56.976086339086301</v>
      </c>
      <c r="AC10" s="54">
        <v>18.992028779695431</v>
      </c>
      <c r="AD10" s="53">
        <v>30.38724604751269</v>
      </c>
      <c r="AE10" s="54">
        <v>37.984057559390862</v>
      </c>
      <c r="AF10" s="54">
        <v>22.790434535634521</v>
      </c>
      <c r="AG10" s="53">
        <v>22.790434535634521</v>
      </c>
      <c r="AH10" s="54">
        <v>45.580869071269042</v>
      </c>
      <c r="AI10" s="53">
        <v>37.984057559390862</v>
      </c>
      <c r="AJ10" s="53">
        <v>45.580869071269042</v>
      </c>
      <c r="AK10" s="53">
        <v>26.588840291573611</v>
      </c>
      <c r="AL10" s="54">
        <v>26.588840291573611</v>
      </c>
      <c r="AM10" s="54">
        <v>11.395217267817261</v>
      </c>
      <c r="AN10" s="54">
        <v>18.992028779695431</v>
      </c>
      <c r="AO10" s="54">
        <v>11.395217267817261</v>
      </c>
      <c r="AP10" s="54">
        <v>113.9521726781726</v>
      </c>
      <c r="AQ10" s="54">
        <v>60.774492095025387</v>
      </c>
      <c r="AR10" s="39"/>
    </row>
    <row r="11" spans="1:44" ht="19.5" customHeight="1">
      <c r="A11" s="55">
        <f>A9+1</f>
        <v>6</v>
      </c>
      <c r="B11" s="56" t="s">
        <v>224</v>
      </c>
      <c r="C11" s="58" t="s">
        <v>132</v>
      </c>
      <c r="D11" s="28" t="s">
        <v>228</v>
      </c>
      <c r="E11" s="30"/>
      <c r="F11" s="32">
        <v>22101.098609855329</v>
      </c>
      <c r="G11" s="32">
        <v>55000</v>
      </c>
      <c r="H11" s="32">
        <v>77101.09860985534</v>
      </c>
      <c r="I11" s="33">
        <v>7.687002790062178</v>
      </c>
      <c r="J11" s="33">
        <v>7.687002790062178</v>
      </c>
      <c r="K11" s="34">
        <v>2.5623342633540589</v>
      </c>
      <c r="L11" s="33">
        <v>4.0997348213664946</v>
      </c>
      <c r="M11" s="34">
        <v>5.1246685267081187</v>
      </c>
      <c r="N11" s="34">
        <v>3.0748011160248709</v>
      </c>
      <c r="O11" s="33">
        <v>3.0748011160248709</v>
      </c>
      <c r="P11" s="34">
        <v>6.1496022320497428</v>
      </c>
      <c r="Q11" s="33">
        <v>5.1246685267081187</v>
      </c>
      <c r="R11" s="33">
        <v>6.1496022320497428</v>
      </c>
      <c r="S11" s="33">
        <v>3.587267968695683</v>
      </c>
      <c r="T11" s="34">
        <v>3.587267968695683</v>
      </c>
      <c r="U11" s="34">
        <v>1.5374005580124359</v>
      </c>
      <c r="V11" s="34">
        <v>2.5623342633540589</v>
      </c>
      <c r="W11" s="34">
        <v>1.5374005580124359</v>
      </c>
      <c r="X11" s="34">
        <v>15.37400558012436</v>
      </c>
      <c r="Y11" s="34">
        <v>8.1994696427329909</v>
      </c>
      <c r="Z11" s="34"/>
      <c r="AA11" s="33">
        <v>19.129598981332592</v>
      </c>
      <c r="AB11" s="33">
        <v>19.129598981332592</v>
      </c>
      <c r="AC11" s="34">
        <v>6.3765329937775306</v>
      </c>
      <c r="AD11" s="33">
        <v>10.202452790044051</v>
      </c>
      <c r="AE11" s="34">
        <v>12.753065987555059</v>
      </c>
      <c r="AF11" s="34">
        <v>7.6518395925330376</v>
      </c>
      <c r="AG11" s="33">
        <v>7.6518395925330376</v>
      </c>
      <c r="AH11" s="34">
        <v>15.30367918506608</v>
      </c>
      <c r="AI11" s="33">
        <v>12.753065987555059</v>
      </c>
      <c r="AJ11" s="33">
        <v>15.30367918506608</v>
      </c>
      <c r="AK11" s="33">
        <v>8.9271461912885428</v>
      </c>
      <c r="AL11" s="34">
        <v>8.9271461912885428</v>
      </c>
      <c r="AM11" s="34">
        <v>3.8259197962665188</v>
      </c>
      <c r="AN11" s="34">
        <v>6.3765329937775306</v>
      </c>
      <c r="AO11" s="34">
        <v>3.8259197962665188</v>
      </c>
      <c r="AP11" s="34">
        <v>38.259197962665183</v>
      </c>
      <c r="AQ11" s="34">
        <v>20.404905580088101</v>
      </c>
      <c r="AR11" s="59"/>
    </row>
    <row r="12" spans="1:44" ht="19.5" customHeight="1">
      <c r="A12" s="55">
        <f t="shared" ref="A12:A14" si="0">A11+1</f>
        <v>7</v>
      </c>
      <c r="B12" s="28" t="s">
        <v>256</v>
      </c>
      <c r="C12" s="26" t="s">
        <v>230</v>
      </c>
      <c r="D12" s="28" t="s">
        <v>258</v>
      </c>
      <c r="E12" s="30"/>
      <c r="F12" s="32">
        <v>130477</v>
      </c>
      <c r="G12" s="32">
        <v>11146.70258450576</v>
      </c>
      <c r="H12" s="32">
        <v>141623.70258450581</v>
      </c>
      <c r="I12" s="33">
        <v>45.381321568860599</v>
      </c>
      <c r="J12" s="33">
        <v>45.381321568860599</v>
      </c>
      <c r="K12" s="34">
        <v>15.127107189620199</v>
      </c>
      <c r="L12" s="33">
        <v>24.203371503392319</v>
      </c>
      <c r="M12" s="34">
        <v>30.254214379240391</v>
      </c>
      <c r="N12" s="34">
        <v>18.152528627544239</v>
      </c>
      <c r="O12" s="33">
        <v>18.152528627544239</v>
      </c>
      <c r="P12" s="34">
        <v>36.305057255088478</v>
      </c>
      <c r="Q12" s="33">
        <v>30.254214379240391</v>
      </c>
      <c r="R12" s="33">
        <v>36.305057255088478</v>
      </c>
      <c r="S12" s="33">
        <v>21.177950065468281</v>
      </c>
      <c r="T12" s="34">
        <v>21.177950065468281</v>
      </c>
      <c r="U12" s="34">
        <v>9.0762643137721195</v>
      </c>
      <c r="V12" s="34">
        <v>15.127107189620199</v>
      </c>
      <c r="W12" s="34">
        <v>9.0762643137721195</v>
      </c>
      <c r="X12" s="34">
        <v>90.762643137721199</v>
      </c>
      <c r="Y12" s="34">
        <v>48.406743006784637</v>
      </c>
      <c r="Z12" s="34"/>
      <c r="AA12" s="33">
        <v>3.8769445528323421</v>
      </c>
      <c r="AB12" s="33">
        <v>3.8769445528323421</v>
      </c>
      <c r="AC12" s="34">
        <v>1.292314850944114</v>
      </c>
      <c r="AD12" s="33">
        <v>2.067703761510582</v>
      </c>
      <c r="AE12" s="34">
        <v>2.584629701888228</v>
      </c>
      <c r="AF12" s="34">
        <v>1.5507778211329371</v>
      </c>
      <c r="AG12" s="33">
        <v>1.5507778211329371</v>
      </c>
      <c r="AH12" s="34">
        <v>3.1015556422658741</v>
      </c>
      <c r="AI12" s="33">
        <v>2.584629701888228</v>
      </c>
      <c r="AJ12" s="33">
        <v>3.1015556422658741</v>
      </c>
      <c r="AK12" s="33">
        <v>1.8092407913217601</v>
      </c>
      <c r="AL12" s="34">
        <v>1.8092407913217601</v>
      </c>
      <c r="AM12" s="34">
        <v>0.77538891056646841</v>
      </c>
      <c r="AN12" s="34">
        <v>1.292314850944114</v>
      </c>
      <c r="AO12" s="34">
        <v>0.77538891056646841</v>
      </c>
      <c r="AP12" s="34">
        <v>7.7538891056646833</v>
      </c>
      <c r="AQ12" s="34">
        <v>4.1354075230211649</v>
      </c>
      <c r="AR12" s="39"/>
    </row>
    <row r="13" spans="1:44" ht="19.5" customHeight="1">
      <c r="A13" s="55">
        <f t="shared" si="0"/>
        <v>8</v>
      </c>
      <c r="B13" s="28" t="s">
        <v>275</v>
      </c>
      <c r="C13" s="26" t="s">
        <v>230</v>
      </c>
      <c r="D13" s="28" t="s">
        <v>278</v>
      </c>
      <c r="E13" s="30"/>
      <c r="F13" s="32">
        <v>130977</v>
      </c>
      <c r="G13" s="32">
        <v>16720.05387675864</v>
      </c>
      <c r="H13" s="32">
        <v>147697.05387675861</v>
      </c>
      <c r="I13" s="33">
        <v>45.555227014145437</v>
      </c>
      <c r="J13" s="33">
        <v>45.555227014145437</v>
      </c>
      <c r="K13" s="34">
        <v>15.18507567138181</v>
      </c>
      <c r="L13" s="33">
        <v>24.296121074210902</v>
      </c>
      <c r="M13" s="34">
        <v>30.37015134276362</v>
      </c>
      <c r="N13" s="34">
        <v>18.22209080565818</v>
      </c>
      <c r="O13" s="33">
        <v>18.22209080565818</v>
      </c>
      <c r="P13" s="34">
        <v>36.444181611316353</v>
      </c>
      <c r="Q13" s="33">
        <v>30.37015134276362</v>
      </c>
      <c r="R13" s="33">
        <v>36.444181611316353</v>
      </c>
      <c r="S13" s="33">
        <v>21.259105939934539</v>
      </c>
      <c r="T13" s="34">
        <v>21.259105939934539</v>
      </c>
      <c r="U13" s="34">
        <v>9.1110454028290881</v>
      </c>
      <c r="V13" s="34">
        <v>15.18507567138181</v>
      </c>
      <c r="W13" s="34">
        <v>9.1110454028290881</v>
      </c>
      <c r="X13" s="34">
        <v>91.110454028290874</v>
      </c>
      <c r="Y13" s="34">
        <v>48.592242148421803</v>
      </c>
      <c r="Z13" s="34"/>
      <c r="AA13" s="33">
        <v>5.8154168292485124</v>
      </c>
      <c r="AB13" s="33">
        <v>5.8154168292485124</v>
      </c>
      <c r="AC13" s="34">
        <v>1.938472276416171</v>
      </c>
      <c r="AD13" s="33">
        <v>3.1015556422658741</v>
      </c>
      <c r="AE13" s="34">
        <v>3.8769445528323412</v>
      </c>
      <c r="AF13" s="34">
        <v>2.3261667316994048</v>
      </c>
      <c r="AG13" s="33">
        <v>2.3261667316994048</v>
      </c>
      <c r="AH13" s="34">
        <v>4.6523334633988096</v>
      </c>
      <c r="AI13" s="33">
        <v>3.8769445528323412</v>
      </c>
      <c r="AJ13" s="33">
        <v>4.6523334633988096</v>
      </c>
      <c r="AK13" s="33">
        <v>2.7138611869826388</v>
      </c>
      <c r="AL13" s="34">
        <v>2.7138611869826388</v>
      </c>
      <c r="AM13" s="34">
        <v>1.1630833658497031</v>
      </c>
      <c r="AN13" s="34">
        <v>1.938472276416171</v>
      </c>
      <c r="AO13" s="34">
        <v>1.1630833658497031</v>
      </c>
      <c r="AP13" s="34">
        <v>11.63083365849702</v>
      </c>
      <c r="AQ13" s="34">
        <v>6.2031112845317473</v>
      </c>
      <c r="AR13" s="39"/>
    </row>
    <row r="14" spans="1:44" ht="19.5" customHeight="1">
      <c r="A14" s="55">
        <f t="shared" si="0"/>
        <v>9</v>
      </c>
      <c r="B14" s="41" t="s">
        <v>133</v>
      </c>
      <c r="C14" s="26" t="s">
        <v>94</v>
      </c>
      <c r="D14" s="28" t="s">
        <v>293</v>
      </c>
      <c r="E14" s="60"/>
      <c r="F14" s="32">
        <v>10452.225873673349</v>
      </c>
      <c r="G14" s="32">
        <v>21856.279577462279</v>
      </c>
      <c r="H14" s="32">
        <v>32308.505451135621</v>
      </c>
      <c r="I14" s="33">
        <v>3.635397989557815</v>
      </c>
      <c r="J14" s="33">
        <v>3.635397989557815</v>
      </c>
      <c r="K14" s="34">
        <v>1.2117993298526051</v>
      </c>
      <c r="L14" s="33">
        <v>1.938878927764168</v>
      </c>
      <c r="M14" s="34">
        <v>2.4235986597052102</v>
      </c>
      <c r="N14" s="34">
        <v>1.4541591958231259</v>
      </c>
      <c r="O14" s="33">
        <v>1.4541591958231259</v>
      </c>
      <c r="P14" s="34">
        <v>2.9083183916462518</v>
      </c>
      <c r="Q14" s="33">
        <v>2.4235986597052102</v>
      </c>
      <c r="R14" s="33">
        <v>2.9083183916462518</v>
      </c>
      <c r="S14" s="33">
        <v>1.696519061793647</v>
      </c>
      <c r="T14" s="34">
        <v>1.696519061793647</v>
      </c>
      <c r="U14" s="34">
        <v>0.72707959791156307</v>
      </c>
      <c r="V14" s="34">
        <v>1.2117993298526051</v>
      </c>
      <c r="W14" s="34">
        <v>0.72707959791156307</v>
      </c>
      <c r="X14" s="34">
        <v>7.27079597911563</v>
      </c>
      <c r="Y14" s="34">
        <v>3.8777578555283361</v>
      </c>
      <c r="Z14" s="34"/>
      <c r="AA14" s="33">
        <v>7.6018520643771419</v>
      </c>
      <c r="AB14" s="33">
        <v>7.6018520643771419</v>
      </c>
      <c r="AC14" s="34">
        <v>2.5339506881257141</v>
      </c>
      <c r="AD14" s="33">
        <v>4.0543211010011424</v>
      </c>
      <c r="AE14" s="34">
        <v>5.0679013762514273</v>
      </c>
      <c r="AF14" s="34">
        <v>3.040740825750857</v>
      </c>
      <c r="AG14" s="33">
        <v>3.040740825750857</v>
      </c>
      <c r="AH14" s="34">
        <v>6.0814816515017132</v>
      </c>
      <c r="AI14" s="33">
        <v>5.0679013762514273</v>
      </c>
      <c r="AJ14" s="33">
        <v>6.0814816515017132</v>
      </c>
      <c r="AK14" s="33">
        <v>3.547530963375999</v>
      </c>
      <c r="AL14" s="34">
        <v>3.547530963375999</v>
      </c>
      <c r="AM14" s="34">
        <v>1.5203704128754281</v>
      </c>
      <c r="AN14" s="34">
        <v>2.5339506881257141</v>
      </c>
      <c r="AO14" s="34">
        <v>1.5203704128754281</v>
      </c>
      <c r="AP14" s="34">
        <v>15.20370412875428</v>
      </c>
      <c r="AQ14" s="34">
        <v>8.1086422020022848</v>
      </c>
      <c r="AR14" s="39"/>
    </row>
    <row r="15" spans="1:44" ht="19.5" customHeight="1">
      <c r="A15" s="49"/>
      <c r="B15" s="50" t="s">
        <v>316</v>
      </c>
      <c r="C15" s="49" t="s">
        <v>185</v>
      </c>
      <c r="D15" s="50" t="s">
        <v>317</v>
      </c>
      <c r="E15" s="51">
        <v>4</v>
      </c>
      <c r="F15" s="52">
        <v>294007.32448352868</v>
      </c>
      <c r="G15" s="52">
        <v>104723.0360387267</v>
      </c>
      <c r="H15" s="52">
        <v>398730.36052225542</v>
      </c>
      <c r="I15" s="53">
        <v>102.258949362626</v>
      </c>
      <c r="J15" s="53">
        <v>102.258949362626</v>
      </c>
      <c r="K15" s="54">
        <v>34.086316454208671</v>
      </c>
      <c r="L15" s="53">
        <v>54.538106326733882</v>
      </c>
      <c r="M15" s="54">
        <v>68.172632908417341</v>
      </c>
      <c r="N15" s="54">
        <v>40.903579745050408</v>
      </c>
      <c r="O15" s="53">
        <v>40.903579745050408</v>
      </c>
      <c r="P15" s="54">
        <v>81.80715949010083</v>
      </c>
      <c r="Q15" s="53">
        <v>68.172632908417341</v>
      </c>
      <c r="R15" s="53">
        <v>81.80715949010083</v>
      </c>
      <c r="S15" s="53">
        <v>47.720843035892152</v>
      </c>
      <c r="T15" s="54">
        <v>47.720843035892152</v>
      </c>
      <c r="U15" s="54">
        <v>20.451789872525211</v>
      </c>
      <c r="V15" s="54">
        <v>34.086316454208671</v>
      </c>
      <c r="W15" s="54">
        <v>20.451789872525211</v>
      </c>
      <c r="X15" s="54">
        <v>204.51789872525211</v>
      </c>
      <c r="Y15" s="54">
        <v>109.07621265346781</v>
      </c>
      <c r="Z15" s="54"/>
      <c r="AA15" s="53">
        <v>36.423812427790587</v>
      </c>
      <c r="AB15" s="53">
        <v>36.423812427790587</v>
      </c>
      <c r="AC15" s="54">
        <v>12.14127080926353</v>
      </c>
      <c r="AD15" s="53">
        <v>19.42603329482165</v>
      </c>
      <c r="AE15" s="54">
        <v>24.282541618527059</v>
      </c>
      <c r="AF15" s="54">
        <v>14.569524971116239</v>
      </c>
      <c r="AG15" s="53">
        <v>14.569524971116239</v>
      </c>
      <c r="AH15" s="54">
        <v>29.139049942232479</v>
      </c>
      <c r="AI15" s="53">
        <v>24.282541618527059</v>
      </c>
      <c r="AJ15" s="53">
        <v>29.139049942232479</v>
      </c>
      <c r="AK15" s="53">
        <v>16.99777913296894</v>
      </c>
      <c r="AL15" s="54">
        <v>16.99777913296894</v>
      </c>
      <c r="AM15" s="54">
        <v>7.2847624855581188</v>
      </c>
      <c r="AN15" s="54">
        <v>12.14127080926353</v>
      </c>
      <c r="AO15" s="54">
        <v>7.2847624855581188</v>
      </c>
      <c r="AP15" s="54">
        <v>72.847624855581188</v>
      </c>
      <c r="AQ15" s="54">
        <v>38.8520665896433</v>
      </c>
      <c r="AR15" s="39"/>
    </row>
    <row r="16" spans="1:44" ht="19.5" customHeight="1">
      <c r="A16" s="55">
        <f>A14+1</f>
        <v>10</v>
      </c>
      <c r="B16" s="41" t="s">
        <v>133</v>
      </c>
      <c r="C16" s="26" t="s">
        <v>94</v>
      </c>
      <c r="D16" s="28" t="s">
        <v>338</v>
      </c>
      <c r="E16" s="30"/>
      <c r="F16" s="32">
        <v>31356.677621020041</v>
      </c>
      <c r="G16" s="32">
        <v>31829.53336523633</v>
      </c>
      <c r="H16" s="32">
        <v>63186.210986256367</v>
      </c>
      <c r="I16" s="33">
        <v>10.90619396867344</v>
      </c>
      <c r="J16" s="33">
        <v>10.90619396867344</v>
      </c>
      <c r="K16" s="34">
        <v>3.6353979895578141</v>
      </c>
      <c r="L16" s="33">
        <v>5.8166367832925037</v>
      </c>
      <c r="M16" s="34">
        <v>7.2707959791156282</v>
      </c>
      <c r="N16" s="34">
        <v>4.3624775874693782</v>
      </c>
      <c r="O16" s="33">
        <v>4.3624775874693782</v>
      </c>
      <c r="P16" s="34">
        <v>8.7249551749387564</v>
      </c>
      <c r="Q16" s="33">
        <v>7.2707959791156282</v>
      </c>
      <c r="R16" s="33">
        <v>8.7249551749387564</v>
      </c>
      <c r="S16" s="33">
        <v>5.0895571853809409</v>
      </c>
      <c r="T16" s="34">
        <v>5.0895571853809409</v>
      </c>
      <c r="U16" s="34">
        <v>2.1812387937346891</v>
      </c>
      <c r="V16" s="34">
        <v>3.6353979895578141</v>
      </c>
      <c r="W16" s="34">
        <v>2.1812387937346891</v>
      </c>
      <c r="X16" s="34">
        <v>21.812387937346891</v>
      </c>
      <c r="Y16" s="34">
        <v>11.633273566585011</v>
      </c>
      <c r="Z16" s="34"/>
      <c r="AA16" s="33">
        <v>11.0706583461803</v>
      </c>
      <c r="AB16" s="33">
        <v>11.0706583461803</v>
      </c>
      <c r="AC16" s="34">
        <v>3.6902194487267672</v>
      </c>
      <c r="AD16" s="33">
        <v>5.9043511179628281</v>
      </c>
      <c r="AE16" s="34">
        <v>7.3804388974535344</v>
      </c>
      <c r="AF16" s="34">
        <v>4.4282633384721208</v>
      </c>
      <c r="AG16" s="33">
        <v>4.4282633384721208</v>
      </c>
      <c r="AH16" s="34">
        <v>8.8565266769442417</v>
      </c>
      <c r="AI16" s="33">
        <v>7.3804388974535344</v>
      </c>
      <c r="AJ16" s="33">
        <v>8.8565266769442417</v>
      </c>
      <c r="AK16" s="33">
        <v>5.1663072282174749</v>
      </c>
      <c r="AL16" s="34">
        <v>5.1663072282174749</v>
      </c>
      <c r="AM16" s="34">
        <v>2.21413166923606</v>
      </c>
      <c r="AN16" s="34">
        <v>3.6902194487267672</v>
      </c>
      <c r="AO16" s="34">
        <v>2.21413166923606</v>
      </c>
      <c r="AP16" s="34">
        <v>22.141316692360601</v>
      </c>
      <c r="AQ16" s="34">
        <v>11.80870223592566</v>
      </c>
      <c r="AR16" s="39"/>
    </row>
    <row r="17" spans="1:44" ht="19.5" customHeight="1">
      <c r="A17" s="55">
        <f>A16+1</f>
        <v>11</v>
      </c>
      <c r="B17" s="56" t="s">
        <v>361</v>
      </c>
      <c r="C17" s="58" t="s">
        <v>362</v>
      </c>
      <c r="D17" s="28" t="s">
        <v>363</v>
      </c>
      <c r="E17" s="30"/>
      <c r="F17" s="32">
        <v>66303.295829566006</v>
      </c>
      <c r="G17" s="32">
        <v>92046.792090911331</v>
      </c>
      <c r="H17" s="32">
        <v>158350.08792047729</v>
      </c>
      <c r="I17" s="33">
        <v>23.061008370186538</v>
      </c>
      <c r="J17" s="33">
        <v>23.061008370186538</v>
      </c>
      <c r="K17" s="34">
        <v>7.6870027900621789</v>
      </c>
      <c r="L17" s="33">
        <v>12.299204464099491</v>
      </c>
      <c r="M17" s="34">
        <v>15.37400558012436</v>
      </c>
      <c r="N17" s="34">
        <v>9.224403348074615</v>
      </c>
      <c r="O17" s="33">
        <v>9.224403348074615</v>
      </c>
      <c r="P17" s="34">
        <v>18.44880669614923</v>
      </c>
      <c r="Q17" s="33">
        <v>15.37400558012436</v>
      </c>
      <c r="R17" s="33">
        <v>18.44880669614923</v>
      </c>
      <c r="S17" s="33">
        <v>10.761803906087049</v>
      </c>
      <c r="T17" s="34">
        <v>10.761803906087049</v>
      </c>
      <c r="U17" s="34">
        <v>4.6122016740373084</v>
      </c>
      <c r="V17" s="34">
        <v>7.6870027900621789</v>
      </c>
      <c r="W17" s="34">
        <v>4.6122016740373084</v>
      </c>
      <c r="X17" s="34">
        <v>46.122016740373077</v>
      </c>
      <c r="Y17" s="34">
        <v>24.598408928198971</v>
      </c>
      <c r="Z17" s="34"/>
      <c r="AA17" s="33">
        <v>32.014876731222373</v>
      </c>
      <c r="AB17" s="33">
        <v>32.014876731222373</v>
      </c>
      <c r="AC17" s="34">
        <v>10.671625577074121</v>
      </c>
      <c r="AD17" s="33">
        <v>17.074600923318599</v>
      </c>
      <c r="AE17" s="34">
        <v>21.343251154148241</v>
      </c>
      <c r="AF17" s="34">
        <v>12.805950692488951</v>
      </c>
      <c r="AG17" s="33">
        <v>12.805950692488951</v>
      </c>
      <c r="AH17" s="34">
        <v>25.611901384977902</v>
      </c>
      <c r="AI17" s="33">
        <v>21.343251154148241</v>
      </c>
      <c r="AJ17" s="33">
        <v>25.611901384977902</v>
      </c>
      <c r="AK17" s="33">
        <v>14.94027580790377</v>
      </c>
      <c r="AL17" s="34">
        <v>14.94027580790377</v>
      </c>
      <c r="AM17" s="34">
        <v>6.4029753462444754</v>
      </c>
      <c r="AN17" s="34">
        <v>10.671625577074121</v>
      </c>
      <c r="AO17" s="34">
        <v>6.4029753462444754</v>
      </c>
      <c r="AP17" s="34">
        <v>64.029753462444745</v>
      </c>
      <c r="AQ17" s="34">
        <v>34.149201846637197</v>
      </c>
      <c r="AR17" s="59"/>
    </row>
    <row r="18" spans="1:44" ht="19.5" customHeight="1">
      <c r="A18" s="62"/>
      <c r="B18" s="63" t="s">
        <v>386</v>
      </c>
      <c r="C18" s="51" t="s">
        <v>389</v>
      </c>
      <c r="D18" s="50" t="s">
        <v>390</v>
      </c>
      <c r="E18" s="51">
        <v>2</v>
      </c>
      <c r="F18" s="52">
        <v>97659.97345058604</v>
      </c>
      <c r="G18" s="52">
        <v>123876.32545614769</v>
      </c>
      <c r="H18" s="52">
        <v>221536.29890673369</v>
      </c>
      <c r="I18" s="53">
        <v>33.967202338859977</v>
      </c>
      <c r="J18" s="53">
        <v>33.967202338859977</v>
      </c>
      <c r="K18" s="54">
        <v>11.32240077961999</v>
      </c>
      <c r="L18" s="53">
        <v>18.115841247391991</v>
      </c>
      <c r="M18" s="54">
        <v>22.64480155923998</v>
      </c>
      <c r="N18" s="54">
        <v>13.58688093554399</v>
      </c>
      <c r="O18" s="53">
        <v>13.58688093554399</v>
      </c>
      <c r="P18" s="54">
        <v>27.173761871087979</v>
      </c>
      <c r="Q18" s="53">
        <v>22.64480155923998</v>
      </c>
      <c r="R18" s="53">
        <v>27.173761871087979</v>
      </c>
      <c r="S18" s="53">
        <v>15.851361091467989</v>
      </c>
      <c r="T18" s="54">
        <v>15.851361091467989</v>
      </c>
      <c r="U18" s="54">
        <v>6.7934404677719957</v>
      </c>
      <c r="V18" s="54">
        <v>11.32240077961999</v>
      </c>
      <c r="W18" s="54">
        <v>6.7934404677719957</v>
      </c>
      <c r="X18" s="54">
        <v>67.934404677719954</v>
      </c>
      <c r="Y18" s="54">
        <v>36.231682494783968</v>
      </c>
      <c r="Z18" s="54"/>
      <c r="AA18" s="53">
        <v>43.085535077402682</v>
      </c>
      <c r="AB18" s="53">
        <v>43.085535077402682</v>
      </c>
      <c r="AC18" s="54">
        <v>14.361845025800889</v>
      </c>
      <c r="AD18" s="53">
        <v>22.978952041281431</v>
      </c>
      <c r="AE18" s="54">
        <v>28.723690051601778</v>
      </c>
      <c r="AF18" s="54">
        <v>17.23421403096107</v>
      </c>
      <c r="AG18" s="53">
        <v>17.23421403096107</v>
      </c>
      <c r="AH18" s="54">
        <v>34.468428061922147</v>
      </c>
      <c r="AI18" s="53">
        <v>28.723690051601778</v>
      </c>
      <c r="AJ18" s="53">
        <v>34.468428061922147</v>
      </c>
      <c r="AK18" s="53">
        <v>20.106583036121251</v>
      </c>
      <c r="AL18" s="54">
        <v>20.106583036121251</v>
      </c>
      <c r="AM18" s="54">
        <v>8.6171070154805367</v>
      </c>
      <c r="AN18" s="54">
        <v>14.361845025800889</v>
      </c>
      <c r="AO18" s="54">
        <v>8.6171070154805367</v>
      </c>
      <c r="AP18" s="54">
        <v>86.171070154805363</v>
      </c>
      <c r="AQ18" s="54">
        <v>45.957904082562862</v>
      </c>
      <c r="AR18" s="39"/>
    </row>
    <row r="19" spans="1:44" ht="19.5" customHeight="1">
      <c r="A19" s="64">
        <f>A17+1</f>
        <v>12</v>
      </c>
      <c r="B19" s="41" t="s">
        <v>133</v>
      </c>
      <c r="C19" s="26"/>
      <c r="D19" s="56" t="s">
        <v>415</v>
      </c>
      <c r="E19" s="30"/>
      <c r="F19" s="32">
        <v>5626</v>
      </c>
      <c r="G19" s="32">
        <v>21856.279577462279</v>
      </c>
      <c r="H19" s="32">
        <v>27482.279577462279</v>
      </c>
      <c r="I19" s="33">
        <v>1.9567840703450401</v>
      </c>
      <c r="J19" s="33">
        <v>1.9567840703450401</v>
      </c>
      <c r="K19" s="34">
        <v>0.65226135678167985</v>
      </c>
      <c r="L19" s="33">
        <v>1.043618170850688</v>
      </c>
      <c r="M19" s="34">
        <v>1.3045227135633599</v>
      </c>
      <c r="N19" s="34">
        <v>0.78271362813801593</v>
      </c>
      <c r="O19" s="33">
        <v>0.78271362813801593</v>
      </c>
      <c r="P19" s="34">
        <v>1.5654272562760321</v>
      </c>
      <c r="Q19" s="33">
        <v>1.3045227135633599</v>
      </c>
      <c r="R19" s="33">
        <v>1.5654272562760321</v>
      </c>
      <c r="S19" s="33">
        <v>0.9131658994943519</v>
      </c>
      <c r="T19" s="34">
        <v>0.9131658994943519</v>
      </c>
      <c r="U19" s="34">
        <v>0.39135681406900802</v>
      </c>
      <c r="V19" s="34">
        <v>0.65226135678167985</v>
      </c>
      <c r="W19" s="34">
        <v>0.39135681406900802</v>
      </c>
      <c r="X19" s="34">
        <v>3.9135681406900789</v>
      </c>
      <c r="Y19" s="34">
        <v>2.087236341701376</v>
      </c>
      <c r="Z19" s="34"/>
      <c r="AA19" s="33">
        <v>7.6018520643771419</v>
      </c>
      <c r="AB19" s="33">
        <v>7.6018520643771419</v>
      </c>
      <c r="AC19" s="34">
        <v>2.5339506881257141</v>
      </c>
      <c r="AD19" s="33">
        <v>4.0543211010011424</v>
      </c>
      <c r="AE19" s="34">
        <v>5.0679013762514273</v>
      </c>
      <c r="AF19" s="34">
        <v>3.040740825750857</v>
      </c>
      <c r="AG19" s="33">
        <v>3.040740825750857</v>
      </c>
      <c r="AH19" s="34">
        <v>6.0814816515017132</v>
      </c>
      <c r="AI19" s="33">
        <v>5.0679013762514273</v>
      </c>
      <c r="AJ19" s="33">
        <v>6.0814816515017132</v>
      </c>
      <c r="AK19" s="33">
        <v>3.547530963375999</v>
      </c>
      <c r="AL19" s="34">
        <v>3.547530963375999</v>
      </c>
      <c r="AM19" s="34">
        <v>1.5203704128754281</v>
      </c>
      <c r="AN19" s="34">
        <v>2.5339506881257141</v>
      </c>
      <c r="AO19" s="34">
        <v>1.5203704128754281</v>
      </c>
      <c r="AP19" s="34">
        <v>15.20370412875428</v>
      </c>
      <c r="AQ19" s="34">
        <v>8.1086422020022848</v>
      </c>
      <c r="AR19" s="39"/>
    </row>
    <row r="20" spans="1:44" ht="19.5" customHeight="1">
      <c r="A20" s="65"/>
      <c r="B20" s="66" t="s">
        <v>133</v>
      </c>
      <c r="C20" s="65" t="s">
        <v>435</v>
      </c>
      <c r="D20" s="66" t="s">
        <v>437</v>
      </c>
      <c r="E20" s="67">
        <f>E19+E18+E15+E10</f>
        <v>11</v>
      </c>
      <c r="F20" s="68">
        <v>782201.66041259235</v>
      </c>
      <c r="G20" s="68">
        <v>414269.04624134809</v>
      </c>
      <c r="H20" s="68">
        <v>1196470.70665394</v>
      </c>
      <c r="I20" s="69">
        <v>272.05825611318892</v>
      </c>
      <c r="J20" s="69">
        <v>272.05825611318892</v>
      </c>
      <c r="K20" s="70">
        <v>90.686085371062973</v>
      </c>
      <c r="L20" s="69">
        <v>145.0977365937008</v>
      </c>
      <c r="M20" s="70">
        <v>181.37217074212589</v>
      </c>
      <c r="N20" s="70">
        <v>108.8233024452756</v>
      </c>
      <c r="O20" s="69">
        <v>108.8233024452756</v>
      </c>
      <c r="P20" s="70">
        <v>217.64660489055109</v>
      </c>
      <c r="Q20" s="69">
        <v>181.37217074212589</v>
      </c>
      <c r="R20" s="69">
        <v>217.64660489055109</v>
      </c>
      <c r="S20" s="69">
        <v>126.9605195194882</v>
      </c>
      <c r="T20" s="70">
        <v>126.9605195194882</v>
      </c>
      <c r="U20" s="70">
        <v>54.411651222637794</v>
      </c>
      <c r="V20" s="70">
        <v>90.686085371062973</v>
      </c>
      <c r="W20" s="70">
        <v>54.411651222637794</v>
      </c>
      <c r="X20" s="70">
        <v>544.11651222637784</v>
      </c>
      <c r="Y20" s="70">
        <v>290.19547318740149</v>
      </c>
      <c r="Z20" s="70"/>
      <c r="AA20" s="69">
        <v>144.0872859086567</v>
      </c>
      <c r="AB20" s="69">
        <v>144.0872859086567</v>
      </c>
      <c r="AC20" s="70">
        <v>48.029095302885572</v>
      </c>
      <c r="AD20" s="69">
        <v>76.846552484616922</v>
      </c>
      <c r="AE20" s="70">
        <v>96.058190605771131</v>
      </c>
      <c r="AF20" s="70">
        <v>57.634914363462691</v>
      </c>
      <c r="AG20" s="69">
        <v>57.634914363462691</v>
      </c>
      <c r="AH20" s="70">
        <v>115.2698287269254</v>
      </c>
      <c r="AI20" s="69">
        <v>96.058190605771131</v>
      </c>
      <c r="AJ20" s="69">
        <v>115.2698287269254</v>
      </c>
      <c r="AK20" s="69">
        <v>67.240733424039803</v>
      </c>
      <c r="AL20" s="70">
        <v>67.240733424039803</v>
      </c>
      <c r="AM20" s="70">
        <v>28.817457181731349</v>
      </c>
      <c r="AN20" s="70">
        <v>48.029095302885572</v>
      </c>
      <c r="AO20" s="70">
        <v>28.817457181731349</v>
      </c>
      <c r="AP20" s="70">
        <v>288.17457181731339</v>
      </c>
      <c r="AQ20" s="70">
        <v>153.69310496923379</v>
      </c>
      <c r="AR20" s="39"/>
    </row>
    <row r="21" spans="1:44" ht="19.5" customHeight="1">
      <c r="A21" s="64"/>
      <c r="B21" s="50"/>
      <c r="C21" s="26"/>
      <c r="D21" s="56"/>
      <c r="E21" s="30"/>
      <c r="F21" s="32"/>
      <c r="G21" s="32"/>
      <c r="H21" s="32">
        <v>0</v>
      </c>
      <c r="I21" s="33">
        <v>0</v>
      </c>
      <c r="J21" s="33">
        <v>0</v>
      </c>
      <c r="K21" s="34">
        <v>0</v>
      </c>
      <c r="L21" s="33">
        <v>0</v>
      </c>
      <c r="M21" s="34">
        <v>0</v>
      </c>
      <c r="N21" s="34">
        <v>0</v>
      </c>
      <c r="O21" s="33">
        <v>0</v>
      </c>
      <c r="P21" s="34">
        <v>0</v>
      </c>
      <c r="Q21" s="33">
        <v>0</v>
      </c>
      <c r="R21" s="33">
        <v>0</v>
      </c>
      <c r="S21" s="33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/>
      <c r="AA21" s="33">
        <v>0</v>
      </c>
      <c r="AB21" s="33">
        <v>0</v>
      </c>
      <c r="AC21" s="34">
        <v>0</v>
      </c>
      <c r="AD21" s="33">
        <v>0</v>
      </c>
      <c r="AE21" s="34">
        <v>0</v>
      </c>
      <c r="AF21" s="34">
        <v>0</v>
      </c>
      <c r="AG21" s="33">
        <v>0</v>
      </c>
      <c r="AH21" s="34">
        <v>0</v>
      </c>
      <c r="AI21" s="33">
        <v>0</v>
      </c>
      <c r="AJ21" s="33">
        <v>0</v>
      </c>
      <c r="AK21" s="33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  <c r="AR21" s="39"/>
    </row>
    <row r="22" spans="1:44" ht="19.5" customHeight="1">
      <c r="A22" s="71" t="s">
        <v>486</v>
      </c>
      <c r="B22" s="50"/>
      <c r="C22" s="49"/>
      <c r="D22" s="50"/>
      <c r="E22" s="30"/>
      <c r="F22" s="32"/>
      <c r="G22" s="32"/>
      <c r="H22" s="32">
        <v>0</v>
      </c>
      <c r="I22" s="33">
        <v>0</v>
      </c>
      <c r="J22" s="33">
        <v>0</v>
      </c>
      <c r="K22" s="34">
        <v>0</v>
      </c>
      <c r="L22" s="33">
        <v>0</v>
      </c>
      <c r="M22" s="34">
        <v>0</v>
      </c>
      <c r="N22" s="34">
        <v>0</v>
      </c>
      <c r="O22" s="33">
        <v>0</v>
      </c>
      <c r="P22" s="34">
        <v>0</v>
      </c>
      <c r="Q22" s="33">
        <v>0</v>
      </c>
      <c r="R22" s="33">
        <v>0</v>
      </c>
      <c r="S22" s="33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/>
      <c r="AA22" s="33">
        <v>0</v>
      </c>
      <c r="AB22" s="33">
        <v>0</v>
      </c>
      <c r="AC22" s="34">
        <v>0</v>
      </c>
      <c r="AD22" s="33">
        <v>0</v>
      </c>
      <c r="AE22" s="34">
        <v>0</v>
      </c>
      <c r="AF22" s="34">
        <v>0</v>
      </c>
      <c r="AG22" s="33">
        <v>0</v>
      </c>
      <c r="AH22" s="34">
        <v>0</v>
      </c>
      <c r="AI22" s="33">
        <v>0</v>
      </c>
      <c r="AJ22" s="33">
        <v>0</v>
      </c>
      <c r="AK22" s="33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  <c r="AR22" s="39"/>
    </row>
    <row r="23" spans="1:44" ht="19.5" customHeight="1">
      <c r="A23" s="55">
        <v>1</v>
      </c>
      <c r="B23" s="41" t="s">
        <v>133</v>
      </c>
      <c r="C23" s="26" t="s">
        <v>94</v>
      </c>
      <c r="D23" s="28" t="s">
        <v>513</v>
      </c>
      <c r="E23" s="30"/>
      <c r="F23" s="32">
        <v>10452.225873673349</v>
      </c>
      <c r="G23" s="32">
        <v>62100</v>
      </c>
      <c r="H23" s="32">
        <v>72552.225873673349</v>
      </c>
      <c r="I23" s="33">
        <v>3.635397989557815</v>
      </c>
      <c r="J23" s="33">
        <v>3.635397989557815</v>
      </c>
      <c r="K23" s="34">
        <v>1.2117993298526051</v>
      </c>
      <c r="L23" s="33">
        <v>1.938878927764168</v>
      </c>
      <c r="M23" s="34">
        <v>2.4235986597052102</v>
      </c>
      <c r="N23" s="34">
        <v>1.4541591958231259</v>
      </c>
      <c r="O23" s="33">
        <v>1.4541591958231259</v>
      </c>
      <c r="P23" s="34">
        <v>2.9083183916462518</v>
      </c>
      <c r="Q23" s="33">
        <v>2.4235986597052102</v>
      </c>
      <c r="R23" s="33">
        <v>2.9083183916462518</v>
      </c>
      <c r="S23" s="33">
        <v>1.696519061793647</v>
      </c>
      <c r="T23" s="34">
        <v>1.696519061793647</v>
      </c>
      <c r="U23" s="34">
        <v>0.72707959791156307</v>
      </c>
      <c r="V23" s="34">
        <v>1.2117993298526051</v>
      </c>
      <c r="W23" s="34">
        <v>0.72707959791156307</v>
      </c>
      <c r="X23" s="34">
        <v>7.27079597911563</v>
      </c>
      <c r="Y23" s="34">
        <v>3.8777578555283361</v>
      </c>
      <c r="Z23" s="34"/>
      <c r="AA23" s="33">
        <v>21.599056304377349</v>
      </c>
      <c r="AB23" s="33">
        <v>21.599056304377349</v>
      </c>
      <c r="AC23" s="34">
        <v>7.1996854347924479</v>
      </c>
      <c r="AD23" s="33">
        <v>11.51949669566792</v>
      </c>
      <c r="AE23" s="34">
        <v>14.399370869584899</v>
      </c>
      <c r="AF23" s="34">
        <v>8.6396225217509386</v>
      </c>
      <c r="AG23" s="33">
        <v>8.6396225217509386</v>
      </c>
      <c r="AH23" s="34">
        <v>17.279245043501881</v>
      </c>
      <c r="AI23" s="33">
        <v>14.399370869584899</v>
      </c>
      <c r="AJ23" s="33">
        <v>17.279245043501881</v>
      </c>
      <c r="AK23" s="33">
        <v>10.079559608709429</v>
      </c>
      <c r="AL23" s="34">
        <v>10.079559608709429</v>
      </c>
      <c r="AM23" s="34">
        <v>4.3198112608754693</v>
      </c>
      <c r="AN23" s="34">
        <v>7.1996854347924479</v>
      </c>
      <c r="AO23" s="34">
        <v>4.3198112608754693</v>
      </c>
      <c r="AP23" s="34">
        <v>43.198112608754691</v>
      </c>
      <c r="AQ23" s="34">
        <v>23.03899339133584</v>
      </c>
      <c r="AR23" s="39"/>
    </row>
    <row r="24" spans="1:44" ht="19.5" customHeight="1">
      <c r="A24" s="55">
        <v>2</v>
      </c>
      <c r="B24" s="28" t="s">
        <v>532</v>
      </c>
      <c r="C24" s="26" t="s">
        <v>94</v>
      </c>
      <c r="D24" s="28" t="s">
        <v>533</v>
      </c>
      <c r="E24" s="30"/>
      <c r="F24" s="32">
        <v>120723.20884092709</v>
      </c>
      <c r="G24" s="32">
        <v>16720.05387675864</v>
      </c>
      <c r="H24" s="32">
        <v>137443.26271768581</v>
      </c>
      <c r="I24" s="33">
        <v>41.988846779392759</v>
      </c>
      <c r="J24" s="33">
        <v>41.988846779392759</v>
      </c>
      <c r="K24" s="34">
        <v>13.99628225979759</v>
      </c>
      <c r="L24" s="33">
        <v>22.39405161567614</v>
      </c>
      <c r="M24" s="34">
        <v>27.99256451959517</v>
      </c>
      <c r="N24" s="34">
        <v>16.7955387117571</v>
      </c>
      <c r="O24" s="33">
        <v>16.7955387117571</v>
      </c>
      <c r="P24" s="34">
        <v>33.591077423514207</v>
      </c>
      <c r="Q24" s="33">
        <v>27.99256451959517</v>
      </c>
      <c r="R24" s="33">
        <v>33.591077423514207</v>
      </c>
      <c r="S24" s="33">
        <v>19.594795163716618</v>
      </c>
      <c r="T24" s="34">
        <v>19.594795163716618</v>
      </c>
      <c r="U24" s="34">
        <v>8.3977693558785518</v>
      </c>
      <c r="V24" s="34">
        <v>13.99628225979759</v>
      </c>
      <c r="W24" s="34">
        <v>8.3977693558785518</v>
      </c>
      <c r="X24" s="34">
        <v>83.977693558785518</v>
      </c>
      <c r="Y24" s="34">
        <v>44.788103231352281</v>
      </c>
      <c r="Z24" s="54"/>
      <c r="AA24" s="33">
        <v>5.8154168292485124</v>
      </c>
      <c r="AB24" s="33">
        <v>5.8154168292485124</v>
      </c>
      <c r="AC24" s="34">
        <v>1.938472276416171</v>
      </c>
      <c r="AD24" s="33">
        <v>3.1015556422658741</v>
      </c>
      <c r="AE24" s="34">
        <v>3.8769445528323412</v>
      </c>
      <c r="AF24" s="34">
        <v>2.3261667316994048</v>
      </c>
      <c r="AG24" s="33">
        <v>2.3261667316994048</v>
      </c>
      <c r="AH24" s="34">
        <v>4.6523334633988096</v>
      </c>
      <c r="AI24" s="33">
        <v>3.8769445528323412</v>
      </c>
      <c r="AJ24" s="33">
        <v>4.6523334633988096</v>
      </c>
      <c r="AK24" s="33">
        <v>2.7138611869826388</v>
      </c>
      <c r="AL24" s="34">
        <v>2.7138611869826388</v>
      </c>
      <c r="AM24" s="34">
        <v>1.1630833658497031</v>
      </c>
      <c r="AN24" s="34">
        <v>1.938472276416171</v>
      </c>
      <c r="AO24" s="34">
        <v>1.1630833658497031</v>
      </c>
      <c r="AP24" s="34">
        <v>11.63083365849702</v>
      </c>
      <c r="AQ24" s="34">
        <v>6.2031112845317473</v>
      </c>
      <c r="AR24" s="37"/>
    </row>
    <row r="25" spans="1:44" ht="19.5" customHeight="1">
      <c r="A25" s="55">
        <v>3</v>
      </c>
      <c r="B25" s="28" t="s">
        <v>553</v>
      </c>
      <c r="C25" s="26" t="s">
        <v>230</v>
      </c>
      <c r="D25" s="28" t="s">
        <v>555</v>
      </c>
      <c r="E25" s="30"/>
      <c r="F25" s="32">
        <v>129801.9867415659</v>
      </c>
      <c r="G25" s="32">
        <v>15000</v>
      </c>
      <c r="H25" s="32">
        <v>144801.9867415659</v>
      </c>
      <c r="I25" s="33">
        <v>45.146544606298299</v>
      </c>
      <c r="J25" s="33">
        <v>45.146544606298299</v>
      </c>
      <c r="K25" s="34">
        <v>15.04884820209943</v>
      </c>
      <c r="L25" s="33">
        <v>24.078157123359091</v>
      </c>
      <c r="M25" s="34">
        <v>30.09769640419886</v>
      </c>
      <c r="N25" s="34">
        <v>18.058617842519318</v>
      </c>
      <c r="O25" s="33">
        <v>18.058617842519318</v>
      </c>
      <c r="P25" s="34">
        <v>36.117235685038636</v>
      </c>
      <c r="Q25" s="33">
        <v>30.09769640419886</v>
      </c>
      <c r="R25" s="33">
        <v>36.117235685038636</v>
      </c>
      <c r="S25" s="33">
        <v>21.068387482939201</v>
      </c>
      <c r="T25" s="34">
        <v>21.068387482939201</v>
      </c>
      <c r="U25" s="34">
        <v>9.0293089212596591</v>
      </c>
      <c r="V25" s="34">
        <v>15.04884820209943</v>
      </c>
      <c r="W25" s="34">
        <v>9.0293089212596591</v>
      </c>
      <c r="X25" s="34">
        <v>90.293089212596598</v>
      </c>
      <c r="Y25" s="34">
        <v>48.156314246718182</v>
      </c>
      <c r="Z25" s="34"/>
      <c r="AA25" s="33">
        <v>5.2171633585452533</v>
      </c>
      <c r="AB25" s="33">
        <v>5.2171633585452533</v>
      </c>
      <c r="AC25" s="34">
        <v>1.739054452848418</v>
      </c>
      <c r="AD25" s="33">
        <v>2.7824871245574681</v>
      </c>
      <c r="AE25" s="34">
        <v>3.4781089056968351</v>
      </c>
      <c r="AF25" s="34">
        <v>2.086865343418101</v>
      </c>
      <c r="AG25" s="33">
        <v>2.086865343418101</v>
      </c>
      <c r="AH25" s="34">
        <v>4.173730686836203</v>
      </c>
      <c r="AI25" s="33">
        <v>3.4781089056968351</v>
      </c>
      <c r="AJ25" s="33">
        <v>4.173730686836203</v>
      </c>
      <c r="AK25" s="33">
        <v>2.4346762339877852</v>
      </c>
      <c r="AL25" s="34">
        <v>2.4346762339877852</v>
      </c>
      <c r="AM25" s="34">
        <v>1.043432671709051</v>
      </c>
      <c r="AN25" s="34">
        <v>1.739054452848418</v>
      </c>
      <c r="AO25" s="34">
        <v>1.043432671709051</v>
      </c>
      <c r="AP25" s="34">
        <v>10.43432671709051</v>
      </c>
      <c r="AQ25" s="34">
        <v>5.564974249114937</v>
      </c>
      <c r="AR25" s="39"/>
    </row>
    <row r="26" spans="1:44" ht="19.5" customHeight="1">
      <c r="A26" s="26">
        <v>4</v>
      </c>
      <c r="B26" s="28" t="s">
        <v>569</v>
      </c>
      <c r="C26" s="26" t="s">
        <v>230</v>
      </c>
      <c r="D26" s="28" t="s">
        <v>570</v>
      </c>
      <c r="E26" s="30"/>
      <c r="F26" s="32">
        <v>129801.9867415659</v>
      </c>
      <c r="G26" s="32">
        <v>11146.70258450576</v>
      </c>
      <c r="H26" s="32">
        <v>140948.6893260717</v>
      </c>
      <c r="I26" s="33">
        <v>45.146544606298299</v>
      </c>
      <c r="J26" s="33">
        <v>45.146544606298299</v>
      </c>
      <c r="K26" s="34">
        <v>15.04884820209943</v>
      </c>
      <c r="L26" s="33">
        <v>24.078157123359091</v>
      </c>
      <c r="M26" s="34">
        <v>30.09769640419886</v>
      </c>
      <c r="N26" s="34">
        <v>18.058617842519318</v>
      </c>
      <c r="O26" s="33">
        <v>18.058617842519318</v>
      </c>
      <c r="P26" s="34">
        <v>36.117235685038636</v>
      </c>
      <c r="Q26" s="33">
        <v>30.09769640419886</v>
      </c>
      <c r="R26" s="33">
        <v>36.117235685038636</v>
      </c>
      <c r="S26" s="33">
        <v>21.068387482939201</v>
      </c>
      <c r="T26" s="34">
        <v>21.068387482939201</v>
      </c>
      <c r="U26" s="34">
        <v>9.0293089212596591</v>
      </c>
      <c r="V26" s="34">
        <v>15.04884820209943</v>
      </c>
      <c r="W26" s="34">
        <v>9.0293089212596591</v>
      </c>
      <c r="X26" s="34">
        <v>90.293089212596598</v>
      </c>
      <c r="Y26" s="34">
        <v>48.156314246718182</v>
      </c>
      <c r="Z26" s="34"/>
      <c r="AA26" s="33">
        <v>3.8769445528323421</v>
      </c>
      <c r="AB26" s="33">
        <v>3.8769445528323421</v>
      </c>
      <c r="AC26" s="34">
        <v>1.292314850944114</v>
      </c>
      <c r="AD26" s="33">
        <v>2.067703761510582</v>
      </c>
      <c r="AE26" s="34">
        <v>2.584629701888228</v>
      </c>
      <c r="AF26" s="34">
        <v>1.5507778211329371</v>
      </c>
      <c r="AG26" s="33">
        <v>1.5507778211329371</v>
      </c>
      <c r="AH26" s="34">
        <v>3.1015556422658741</v>
      </c>
      <c r="AI26" s="33">
        <v>2.584629701888228</v>
      </c>
      <c r="AJ26" s="33">
        <v>3.1015556422658741</v>
      </c>
      <c r="AK26" s="33">
        <v>1.8092407913217601</v>
      </c>
      <c r="AL26" s="34">
        <v>1.8092407913217601</v>
      </c>
      <c r="AM26" s="34">
        <v>0.77538891056646841</v>
      </c>
      <c r="AN26" s="34">
        <v>1.292314850944114</v>
      </c>
      <c r="AO26" s="34">
        <v>0.77538891056646841</v>
      </c>
      <c r="AP26" s="34">
        <v>7.7538891056646833</v>
      </c>
      <c r="AQ26" s="34">
        <v>4.1354075230211649</v>
      </c>
      <c r="AR26" s="39"/>
    </row>
    <row r="27" spans="1:44" ht="19.5" customHeight="1">
      <c r="A27" s="26">
        <v>5</v>
      </c>
      <c r="B27" s="41" t="s">
        <v>133</v>
      </c>
      <c r="C27" s="26" t="s">
        <v>94</v>
      </c>
      <c r="D27" s="28" t="s">
        <v>589</v>
      </c>
      <c r="E27" s="30"/>
      <c r="F27" s="32">
        <v>10452.225873673349</v>
      </c>
      <c r="G27" s="32">
        <v>21856.279577462279</v>
      </c>
      <c r="H27" s="32">
        <v>32308.505451135621</v>
      </c>
      <c r="I27" s="33">
        <v>3.635397989557815</v>
      </c>
      <c r="J27" s="33">
        <v>3.635397989557815</v>
      </c>
      <c r="K27" s="34">
        <v>1.2117993298526051</v>
      </c>
      <c r="L27" s="33">
        <v>1.938878927764168</v>
      </c>
      <c r="M27" s="34">
        <v>2.4235986597052102</v>
      </c>
      <c r="N27" s="34">
        <v>1.4541591958231259</v>
      </c>
      <c r="O27" s="33">
        <v>1.4541591958231259</v>
      </c>
      <c r="P27" s="34">
        <v>2.9083183916462518</v>
      </c>
      <c r="Q27" s="33">
        <v>2.4235986597052102</v>
      </c>
      <c r="R27" s="33">
        <v>2.9083183916462518</v>
      </c>
      <c r="S27" s="33">
        <v>1.696519061793647</v>
      </c>
      <c r="T27" s="34">
        <v>1.696519061793647</v>
      </c>
      <c r="U27" s="34">
        <v>0.72707959791156307</v>
      </c>
      <c r="V27" s="34">
        <v>1.2117993298526051</v>
      </c>
      <c r="W27" s="34">
        <v>0.72707959791156307</v>
      </c>
      <c r="X27" s="34">
        <v>7.27079597911563</v>
      </c>
      <c r="Y27" s="34">
        <v>3.8777578555283361</v>
      </c>
      <c r="Z27" s="34"/>
      <c r="AA27" s="33">
        <v>7.6018520643771419</v>
      </c>
      <c r="AB27" s="33">
        <v>7.6018520643771419</v>
      </c>
      <c r="AC27" s="34">
        <v>2.5339506881257141</v>
      </c>
      <c r="AD27" s="33">
        <v>4.0543211010011424</v>
      </c>
      <c r="AE27" s="34">
        <v>5.0679013762514273</v>
      </c>
      <c r="AF27" s="34">
        <v>3.040740825750857</v>
      </c>
      <c r="AG27" s="33">
        <v>3.040740825750857</v>
      </c>
      <c r="AH27" s="34">
        <v>6.0814816515017132</v>
      </c>
      <c r="AI27" s="33">
        <v>5.0679013762514273</v>
      </c>
      <c r="AJ27" s="33">
        <v>6.0814816515017132</v>
      </c>
      <c r="AK27" s="33">
        <v>3.547530963375999</v>
      </c>
      <c r="AL27" s="34">
        <v>3.547530963375999</v>
      </c>
      <c r="AM27" s="34">
        <v>1.5203704128754281</v>
      </c>
      <c r="AN27" s="34">
        <v>2.5339506881257141</v>
      </c>
      <c r="AO27" s="34">
        <v>1.5203704128754281</v>
      </c>
      <c r="AP27" s="34">
        <v>15.20370412875428</v>
      </c>
      <c r="AQ27" s="34">
        <v>8.1086422020022848</v>
      </c>
      <c r="AR27" s="39"/>
    </row>
    <row r="28" spans="1:44" ht="19.5" customHeight="1">
      <c r="A28" s="26"/>
      <c r="B28" s="41" t="s">
        <v>133</v>
      </c>
      <c r="C28" s="26" t="s">
        <v>94</v>
      </c>
      <c r="D28" s="28" t="s">
        <v>608</v>
      </c>
      <c r="E28" s="30"/>
      <c r="F28" s="32">
        <v>5226.1129368366728</v>
      </c>
      <c r="G28" s="32">
        <v>16392.209683096709</v>
      </c>
      <c r="H28" s="32">
        <v>21618.32261993338</v>
      </c>
      <c r="I28" s="33">
        <v>1.817698994778908</v>
      </c>
      <c r="J28" s="33">
        <v>1.817698994778908</v>
      </c>
      <c r="K28" s="34">
        <v>0.60589966492630243</v>
      </c>
      <c r="L28" s="33">
        <v>0.96943946388208402</v>
      </c>
      <c r="M28" s="34">
        <v>1.2117993298526051</v>
      </c>
      <c r="N28" s="34">
        <v>0.72707959791156307</v>
      </c>
      <c r="O28" s="33">
        <v>0.72707959791156307</v>
      </c>
      <c r="P28" s="34">
        <v>1.4541591958231259</v>
      </c>
      <c r="Q28" s="33">
        <v>1.2117993298526051</v>
      </c>
      <c r="R28" s="33">
        <v>1.4541591958231259</v>
      </c>
      <c r="S28" s="33">
        <v>0.84825953089682349</v>
      </c>
      <c r="T28" s="34">
        <v>0.84825953089682349</v>
      </c>
      <c r="U28" s="34">
        <v>0.36353979895578148</v>
      </c>
      <c r="V28" s="34">
        <v>0.60589966492630243</v>
      </c>
      <c r="W28" s="34">
        <v>0.36353979895578148</v>
      </c>
      <c r="X28" s="34">
        <v>3.635397989557815</v>
      </c>
      <c r="Y28" s="34">
        <v>1.938878927764168</v>
      </c>
      <c r="Z28" s="54"/>
      <c r="AA28" s="33">
        <v>5.7013890482828549</v>
      </c>
      <c r="AB28" s="33">
        <v>5.7013890482828549</v>
      </c>
      <c r="AC28" s="34">
        <v>1.900463016094285</v>
      </c>
      <c r="AD28" s="33">
        <v>3.0407408257508561</v>
      </c>
      <c r="AE28" s="34">
        <v>3.8009260321885701</v>
      </c>
      <c r="AF28" s="34">
        <v>2.2805556193131422</v>
      </c>
      <c r="AG28" s="33">
        <v>2.2805556193131422</v>
      </c>
      <c r="AH28" s="34">
        <v>4.5611112386262844</v>
      </c>
      <c r="AI28" s="33">
        <v>3.8009260321885701</v>
      </c>
      <c r="AJ28" s="33">
        <v>4.5611112386262844</v>
      </c>
      <c r="AK28" s="33">
        <v>2.6606482225319992</v>
      </c>
      <c r="AL28" s="34">
        <v>2.6606482225319992</v>
      </c>
      <c r="AM28" s="34">
        <v>1.1402778096565711</v>
      </c>
      <c r="AN28" s="34">
        <v>1.900463016094285</v>
      </c>
      <c r="AO28" s="34">
        <v>1.1402778096565711</v>
      </c>
      <c r="AP28" s="34">
        <v>11.40277809656571</v>
      </c>
      <c r="AQ28" s="34">
        <v>6.0814816515017123</v>
      </c>
      <c r="AR28" s="37"/>
    </row>
    <row r="29" spans="1:44" ht="19.5" customHeight="1">
      <c r="A29" s="26"/>
      <c r="B29" s="41" t="s">
        <v>133</v>
      </c>
      <c r="C29" s="26" t="s">
        <v>94</v>
      </c>
      <c r="D29" s="28" t="s">
        <v>622</v>
      </c>
      <c r="E29" s="30"/>
      <c r="F29" s="32">
        <v>5226.1129368366728</v>
      </c>
      <c r="G29" s="32">
        <v>15914.766682618159</v>
      </c>
      <c r="H29" s="32">
        <v>21140.87961945483</v>
      </c>
      <c r="I29" s="33">
        <v>1.817698994778908</v>
      </c>
      <c r="J29" s="33">
        <v>1.817698994778908</v>
      </c>
      <c r="K29" s="34">
        <v>0.60589966492630243</v>
      </c>
      <c r="L29" s="33">
        <v>0.96943946388208402</v>
      </c>
      <c r="M29" s="34">
        <v>1.2117993298526051</v>
      </c>
      <c r="N29" s="34">
        <v>0.72707959791156307</v>
      </c>
      <c r="O29" s="33">
        <v>0.72707959791156307</v>
      </c>
      <c r="P29" s="34">
        <v>1.4541591958231259</v>
      </c>
      <c r="Q29" s="33">
        <v>1.2117993298526051</v>
      </c>
      <c r="R29" s="33">
        <v>1.4541591958231259</v>
      </c>
      <c r="S29" s="33">
        <v>0.84825953089682349</v>
      </c>
      <c r="T29" s="34">
        <v>0.84825953089682349</v>
      </c>
      <c r="U29" s="34">
        <v>0.36353979895578148</v>
      </c>
      <c r="V29" s="34">
        <v>0.60589966492630243</v>
      </c>
      <c r="W29" s="34">
        <v>0.36353979895578148</v>
      </c>
      <c r="X29" s="34">
        <v>3.635397989557815</v>
      </c>
      <c r="Y29" s="34">
        <v>1.938878927764168</v>
      </c>
      <c r="Z29" s="34"/>
      <c r="AA29" s="33">
        <v>5.535329173090151</v>
      </c>
      <c r="AB29" s="33">
        <v>5.535329173090151</v>
      </c>
      <c r="AC29" s="34">
        <v>1.8451097243633841</v>
      </c>
      <c r="AD29" s="33">
        <v>2.952175558981414</v>
      </c>
      <c r="AE29" s="34">
        <v>3.6902194487267672</v>
      </c>
      <c r="AF29" s="34">
        <v>2.21413166923606</v>
      </c>
      <c r="AG29" s="33">
        <v>2.21413166923606</v>
      </c>
      <c r="AH29" s="34">
        <v>4.4282633384721208</v>
      </c>
      <c r="AI29" s="33">
        <v>3.6902194487267672</v>
      </c>
      <c r="AJ29" s="33">
        <v>4.4282633384721208</v>
      </c>
      <c r="AK29" s="33">
        <v>2.583153614108737</v>
      </c>
      <c r="AL29" s="34">
        <v>2.583153614108737</v>
      </c>
      <c r="AM29" s="34">
        <v>1.10706583461803</v>
      </c>
      <c r="AN29" s="34">
        <v>1.8451097243633841</v>
      </c>
      <c r="AO29" s="34">
        <v>1.10706583461803</v>
      </c>
      <c r="AP29" s="34">
        <v>11.0706583461803</v>
      </c>
      <c r="AQ29" s="34">
        <v>5.9043511179628281</v>
      </c>
      <c r="AR29" s="39"/>
    </row>
    <row r="30" spans="1:44" ht="19.5" customHeight="1">
      <c r="A30" s="49"/>
      <c r="B30" s="50" t="s">
        <v>639</v>
      </c>
      <c r="C30" s="49" t="s">
        <v>389</v>
      </c>
      <c r="D30" s="50" t="s">
        <v>640</v>
      </c>
      <c r="E30" s="51">
        <v>5</v>
      </c>
      <c r="F30" s="52">
        <v>411683.85994507902</v>
      </c>
      <c r="G30" s="52">
        <v>159130.01240444151</v>
      </c>
      <c r="H30" s="52">
        <v>570813.87234952045</v>
      </c>
      <c r="I30" s="53">
        <v>143.18812996066279</v>
      </c>
      <c r="J30" s="53">
        <v>143.18812996066279</v>
      </c>
      <c r="K30" s="54">
        <v>47.729376653554247</v>
      </c>
      <c r="L30" s="53">
        <v>76.36700264568681</v>
      </c>
      <c r="M30" s="54">
        <v>95.458753307108509</v>
      </c>
      <c r="N30" s="54">
        <v>57.275251984265111</v>
      </c>
      <c r="O30" s="53">
        <v>57.275251984265111</v>
      </c>
      <c r="P30" s="54">
        <v>114.55050396853019</v>
      </c>
      <c r="Q30" s="53">
        <v>95.458753307108509</v>
      </c>
      <c r="R30" s="53">
        <v>114.55050396853019</v>
      </c>
      <c r="S30" s="53">
        <v>66.821127314975968</v>
      </c>
      <c r="T30" s="54">
        <v>66.821127314975968</v>
      </c>
      <c r="U30" s="54">
        <v>28.637625992132559</v>
      </c>
      <c r="V30" s="54">
        <v>47.729376653554247</v>
      </c>
      <c r="W30" s="54">
        <v>28.637625992132559</v>
      </c>
      <c r="X30" s="54">
        <v>286.37625992132553</v>
      </c>
      <c r="Y30" s="54">
        <v>152.73400529137359</v>
      </c>
      <c r="Z30" s="54"/>
      <c r="AA30" s="53">
        <v>55.347151330753597</v>
      </c>
      <c r="AB30" s="53">
        <v>55.347151330753597</v>
      </c>
      <c r="AC30" s="54">
        <v>18.449050443584529</v>
      </c>
      <c r="AD30" s="53">
        <v>29.51848070973525</v>
      </c>
      <c r="AE30" s="54">
        <v>36.898100887169058</v>
      </c>
      <c r="AF30" s="54">
        <v>22.13886053230144</v>
      </c>
      <c r="AG30" s="53">
        <v>22.13886053230144</v>
      </c>
      <c r="AH30" s="54">
        <v>44.277721064602893</v>
      </c>
      <c r="AI30" s="53">
        <v>36.898100887169058</v>
      </c>
      <c r="AJ30" s="53">
        <v>44.277721064602893</v>
      </c>
      <c r="AK30" s="53">
        <v>25.82867062101835</v>
      </c>
      <c r="AL30" s="54">
        <v>25.82867062101835</v>
      </c>
      <c r="AM30" s="54">
        <v>11.06943026615072</v>
      </c>
      <c r="AN30" s="54">
        <v>18.449050443584529</v>
      </c>
      <c r="AO30" s="54">
        <v>11.06943026615072</v>
      </c>
      <c r="AP30" s="54">
        <v>110.69430266150719</v>
      </c>
      <c r="AQ30" s="54">
        <v>59.036961419470508</v>
      </c>
      <c r="AR30" s="37"/>
    </row>
    <row r="31" spans="1:44" ht="19.5" customHeight="1">
      <c r="A31" s="30">
        <v>6</v>
      </c>
      <c r="B31" s="41" t="s">
        <v>133</v>
      </c>
      <c r="C31" s="26" t="s">
        <v>94</v>
      </c>
      <c r="D31" s="56" t="s">
        <v>662</v>
      </c>
      <c r="E31" s="30"/>
      <c r="F31" s="32">
        <v>9954.5008320698489</v>
      </c>
      <c r="G31" s="32">
        <v>31829.53336523633</v>
      </c>
      <c r="H31" s="32">
        <v>41784.034197306173</v>
      </c>
      <c r="I31" s="33">
        <v>3.46228379957887</v>
      </c>
      <c r="J31" s="33">
        <v>3.46228379957887</v>
      </c>
      <c r="K31" s="34">
        <v>1.154094599859623</v>
      </c>
      <c r="L31" s="33">
        <v>1.8465513597753971</v>
      </c>
      <c r="M31" s="34">
        <v>2.308189199719247</v>
      </c>
      <c r="N31" s="34">
        <v>1.3849135198315481</v>
      </c>
      <c r="O31" s="33">
        <v>1.3849135198315481</v>
      </c>
      <c r="P31" s="34">
        <v>2.7698270396630962</v>
      </c>
      <c r="Q31" s="33">
        <v>2.308189199719247</v>
      </c>
      <c r="R31" s="33">
        <v>2.7698270396630962</v>
      </c>
      <c r="S31" s="33">
        <v>1.6157324398034729</v>
      </c>
      <c r="T31" s="34">
        <v>1.6157324398034729</v>
      </c>
      <c r="U31" s="34">
        <v>0.69245675991577404</v>
      </c>
      <c r="V31" s="34">
        <v>1.154094599859623</v>
      </c>
      <c r="W31" s="34">
        <v>0.69245675991577404</v>
      </c>
      <c r="X31" s="34">
        <v>6.92456759915774</v>
      </c>
      <c r="Y31" s="34">
        <v>3.6931027195507951</v>
      </c>
      <c r="Z31" s="34"/>
      <c r="AA31" s="33">
        <v>11.0706583461803</v>
      </c>
      <c r="AB31" s="33">
        <v>11.0706583461803</v>
      </c>
      <c r="AC31" s="34">
        <v>3.6902194487267672</v>
      </c>
      <c r="AD31" s="33">
        <v>5.9043511179628281</v>
      </c>
      <c r="AE31" s="34">
        <v>7.3804388974535344</v>
      </c>
      <c r="AF31" s="34">
        <v>4.4282633384721208</v>
      </c>
      <c r="AG31" s="33">
        <v>4.4282633384721208</v>
      </c>
      <c r="AH31" s="34">
        <v>8.8565266769442417</v>
      </c>
      <c r="AI31" s="33">
        <v>7.3804388974535344</v>
      </c>
      <c r="AJ31" s="33">
        <v>8.8565266769442417</v>
      </c>
      <c r="AK31" s="33">
        <v>5.1663072282174749</v>
      </c>
      <c r="AL31" s="34">
        <v>5.1663072282174749</v>
      </c>
      <c r="AM31" s="34">
        <v>2.21413166923606</v>
      </c>
      <c r="AN31" s="34">
        <v>3.6902194487267672</v>
      </c>
      <c r="AO31" s="34">
        <v>2.21413166923606</v>
      </c>
      <c r="AP31" s="34">
        <v>22.141316692360601</v>
      </c>
      <c r="AQ31" s="34">
        <v>11.80870223592566</v>
      </c>
      <c r="AR31" s="59"/>
    </row>
    <row r="32" spans="1:44" ht="19.5" customHeight="1">
      <c r="A32" s="30">
        <v>7</v>
      </c>
      <c r="B32" s="41" t="s">
        <v>133</v>
      </c>
      <c r="C32" s="26" t="s">
        <v>94</v>
      </c>
      <c r="D32" s="56" t="s">
        <v>682</v>
      </c>
      <c r="E32" s="30"/>
      <c r="F32" s="32">
        <v>7400</v>
      </c>
      <c r="G32" s="32">
        <v>33700</v>
      </c>
      <c r="H32" s="32">
        <v>41100</v>
      </c>
      <c r="I32" s="33">
        <v>2.573800590215658</v>
      </c>
      <c r="J32" s="33">
        <v>2.573800590215658</v>
      </c>
      <c r="K32" s="34">
        <v>0.857933530071886</v>
      </c>
      <c r="L32" s="33">
        <v>1.372693648115018</v>
      </c>
      <c r="M32" s="34">
        <v>1.715867060143772</v>
      </c>
      <c r="N32" s="34">
        <v>1.029520236086263</v>
      </c>
      <c r="O32" s="33">
        <v>1.029520236086263</v>
      </c>
      <c r="P32" s="34">
        <v>2.0590404721725268</v>
      </c>
      <c r="Q32" s="33">
        <v>1.715867060143772</v>
      </c>
      <c r="R32" s="33">
        <v>2.0590404721725268</v>
      </c>
      <c r="S32" s="33">
        <v>1.2011069421006411</v>
      </c>
      <c r="T32" s="34">
        <v>1.2011069421006411</v>
      </c>
      <c r="U32" s="34">
        <v>0.51476011804313171</v>
      </c>
      <c r="V32" s="34">
        <v>0.857933530071886</v>
      </c>
      <c r="W32" s="34">
        <v>0.51476011804313171</v>
      </c>
      <c r="X32" s="34">
        <v>5.1476011804313169</v>
      </c>
      <c r="Y32" s="34">
        <v>2.7453872962300361</v>
      </c>
      <c r="Z32" s="54"/>
      <c r="AA32" s="33">
        <v>11.721227012198341</v>
      </c>
      <c r="AB32" s="33">
        <v>11.721227012198341</v>
      </c>
      <c r="AC32" s="34">
        <v>3.9070756707327781</v>
      </c>
      <c r="AD32" s="33">
        <v>6.2513210731724458</v>
      </c>
      <c r="AE32" s="34">
        <v>7.8141513414655561</v>
      </c>
      <c r="AF32" s="34">
        <v>4.6884908048793346</v>
      </c>
      <c r="AG32" s="33">
        <v>4.6884908048793346</v>
      </c>
      <c r="AH32" s="34">
        <v>9.3769816097586691</v>
      </c>
      <c r="AI32" s="33">
        <v>7.8141513414655561</v>
      </c>
      <c r="AJ32" s="33">
        <v>9.3769816097586691</v>
      </c>
      <c r="AK32" s="33">
        <v>5.4699059390258897</v>
      </c>
      <c r="AL32" s="34">
        <v>5.4699059390258897</v>
      </c>
      <c r="AM32" s="34">
        <v>2.3442454024396668</v>
      </c>
      <c r="AN32" s="34">
        <v>3.9070756707327781</v>
      </c>
      <c r="AO32" s="34">
        <v>2.3442454024396668</v>
      </c>
      <c r="AP32" s="34">
        <v>23.442454024396671</v>
      </c>
      <c r="AQ32" s="34">
        <v>12.50264214634489</v>
      </c>
      <c r="AR32" s="72"/>
    </row>
    <row r="33" spans="1:44" ht="19.5" customHeight="1">
      <c r="A33" s="26">
        <v>8</v>
      </c>
      <c r="B33" s="41" t="s">
        <v>133</v>
      </c>
      <c r="C33" s="26" t="s">
        <v>94</v>
      </c>
      <c r="D33" s="28" t="s">
        <v>708</v>
      </c>
      <c r="E33" s="30"/>
      <c r="F33" s="32">
        <v>19909.001664139701</v>
      </c>
      <c r="G33" s="32">
        <v>31829.53336523633</v>
      </c>
      <c r="H33" s="32">
        <v>51738.535029376028</v>
      </c>
      <c r="I33" s="33">
        <v>6.92456759915774</v>
      </c>
      <c r="J33" s="33">
        <v>6.92456759915774</v>
      </c>
      <c r="K33" s="34">
        <v>2.308189199719247</v>
      </c>
      <c r="L33" s="33">
        <v>3.6931027195507951</v>
      </c>
      <c r="M33" s="34">
        <v>4.616378399438493</v>
      </c>
      <c r="N33" s="34">
        <v>2.7698270396630962</v>
      </c>
      <c r="O33" s="33">
        <v>2.7698270396630962</v>
      </c>
      <c r="P33" s="34">
        <v>5.5396540793261924</v>
      </c>
      <c r="Q33" s="33">
        <v>4.616378399438493</v>
      </c>
      <c r="R33" s="33">
        <v>5.5396540793261924</v>
      </c>
      <c r="S33" s="33">
        <v>3.231464879606945</v>
      </c>
      <c r="T33" s="34">
        <v>3.231464879606945</v>
      </c>
      <c r="U33" s="34">
        <v>1.3849135198315481</v>
      </c>
      <c r="V33" s="34">
        <v>2.308189199719247</v>
      </c>
      <c r="W33" s="34">
        <v>1.3849135198315481</v>
      </c>
      <c r="X33" s="34">
        <v>13.84913519831548</v>
      </c>
      <c r="Y33" s="34">
        <v>7.3862054391015892</v>
      </c>
      <c r="Z33" s="54"/>
      <c r="AA33" s="33">
        <v>11.0706583461803</v>
      </c>
      <c r="AB33" s="33">
        <v>11.0706583461803</v>
      </c>
      <c r="AC33" s="34">
        <v>3.6902194487267672</v>
      </c>
      <c r="AD33" s="33">
        <v>5.9043511179628281</v>
      </c>
      <c r="AE33" s="34">
        <v>7.3804388974535344</v>
      </c>
      <c r="AF33" s="34">
        <v>4.4282633384721208</v>
      </c>
      <c r="AG33" s="33">
        <v>4.4282633384721208</v>
      </c>
      <c r="AH33" s="34">
        <v>8.8565266769442417</v>
      </c>
      <c r="AI33" s="33">
        <v>7.3804388974535344</v>
      </c>
      <c r="AJ33" s="33">
        <v>8.8565266769442417</v>
      </c>
      <c r="AK33" s="33">
        <v>5.1663072282174749</v>
      </c>
      <c r="AL33" s="34">
        <v>5.1663072282174749</v>
      </c>
      <c r="AM33" s="34">
        <v>2.21413166923606</v>
      </c>
      <c r="AN33" s="34">
        <v>3.6902194487267672</v>
      </c>
      <c r="AO33" s="34">
        <v>2.21413166923606</v>
      </c>
      <c r="AP33" s="34">
        <v>22.141316692360601</v>
      </c>
      <c r="AQ33" s="34">
        <v>11.80870223592566</v>
      </c>
      <c r="AR33" s="37"/>
    </row>
    <row r="34" spans="1:44" ht="19.5" customHeight="1">
      <c r="A34" s="55">
        <v>9</v>
      </c>
      <c r="B34" s="28" t="s">
        <v>727</v>
      </c>
      <c r="C34" s="26" t="s">
        <v>230</v>
      </c>
      <c r="D34" s="28" t="s">
        <v>729</v>
      </c>
      <c r="E34" s="30"/>
      <c r="F34" s="32">
        <v>135445.55138250359</v>
      </c>
      <c r="G34" s="32">
        <v>15000</v>
      </c>
      <c r="H34" s="32">
        <v>150445.55138250359</v>
      </c>
      <c r="I34" s="33">
        <v>47.109437850050398</v>
      </c>
      <c r="J34" s="33">
        <v>47.109437850050398</v>
      </c>
      <c r="K34" s="34">
        <v>15.7031459500168</v>
      </c>
      <c r="L34" s="33">
        <v>25.125033520026879</v>
      </c>
      <c r="M34" s="34">
        <v>31.406291900033601</v>
      </c>
      <c r="N34" s="34">
        <v>18.84377514002016</v>
      </c>
      <c r="O34" s="33">
        <v>18.84377514002016</v>
      </c>
      <c r="P34" s="34">
        <v>37.687550280040327</v>
      </c>
      <c r="Q34" s="33">
        <v>31.406291900033601</v>
      </c>
      <c r="R34" s="33">
        <v>37.687550280040327</v>
      </c>
      <c r="S34" s="33">
        <v>21.984404330023519</v>
      </c>
      <c r="T34" s="34">
        <v>21.984404330023519</v>
      </c>
      <c r="U34" s="34">
        <v>9.4218875700100817</v>
      </c>
      <c r="V34" s="34">
        <v>15.7031459500168</v>
      </c>
      <c r="W34" s="34">
        <v>9.4218875700100817</v>
      </c>
      <c r="X34" s="34">
        <v>94.21887570010081</v>
      </c>
      <c r="Y34" s="34">
        <v>50.250067040053757</v>
      </c>
      <c r="Z34" s="34"/>
      <c r="AA34" s="33">
        <v>5.2171633585452533</v>
      </c>
      <c r="AB34" s="33">
        <v>5.2171633585452533</v>
      </c>
      <c r="AC34" s="34">
        <v>1.739054452848418</v>
      </c>
      <c r="AD34" s="33">
        <v>2.7824871245574681</v>
      </c>
      <c r="AE34" s="34">
        <v>3.4781089056968351</v>
      </c>
      <c r="AF34" s="34">
        <v>2.086865343418101</v>
      </c>
      <c r="AG34" s="33">
        <v>2.086865343418101</v>
      </c>
      <c r="AH34" s="34">
        <v>4.173730686836203</v>
      </c>
      <c r="AI34" s="33">
        <v>3.4781089056968351</v>
      </c>
      <c r="AJ34" s="33">
        <v>4.173730686836203</v>
      </c>
      <c r="AK34" s="33">
        <v>2.4346762339877852</v>
      </c>
      <c r="AL34" s="34">
        <v>2.4346762339877852</v>
      </c>
      <c r="AM34" s="34">
        <v>1.043432671709051</v>
      </c>
      <c r="AN34" s="34">
        <v>1.739054452848418</v>
      </c>
      <c r="AO34" s="34">
        <v>1.043432671709051</v>
      </c>
      <c r="AP34" s="34">
        <v>10.43432671709051</v>
      </c>
      <c r="AQ34" s="34">
        <v>5.564974249114937</v>
      </c>
      <c r="AR34" s="39"/>
    </row>
    <row r="35" spans="1:44" ht="19.5" customHeight="1">
      <c r="A35" s="26">
        <v>10</v>
      </c>
      <c r="B35" s="41" t="s">
        <v>133</v>
      </c>
      <c r="C35" s="26" t="s">
        <v>94</v>
      </c>
      <c r="D35" s="28" t="s">
        <v>748</v>
      </c>
      <c r="E35" s="32"/>
      <c r="F35" s="32">
        <v>8700</v>
      </c>
      <c r="G35" s="32">
        <v>24300</v>
      </c>
      <c r="H35" s="32">
        <v>33000</v>
      </c>
      <c r="I35" s="33">
        <v>3.0259547479562472</v>
      </c>
      <c r="J35" s="33">
        <v>3.0259547479562472</v>
      </c>
      <c r="K35" s="34">
        <v>1.0086515826520821</v>
      </c>
      <c r="L35" s="33">
        <v>1.613842532243331</v>
      </c>
      <c r="M35" s="34">
        <v>2.0173031653041642</v>
      </c>
      <c r="N35" s="34">
        <v>1.2103818991824991</v>
      </c>
      <c r="O35" s="33">
        <v>1.2103818991824991</v>
      </c>
      <c r="P35" s="34">
        <v>2.4207637983649972</v>
      </c>
      <c r="Q35" s="33">
        <v>2.0173031653041642</v>
      </c>
      <c r="R35" s="33">
        <v>2.4207637983649972</v>
      </c>
      <c r="S35" s="33">
        <v>1.4121122157129149</v>
      </c>
      <c r="T35" s="34">
        <v>1.4121122157129149</v>
      </c>
      <c r="U35" s="34">
        <v>0.60519094959124931</v>
      </c>
      <c r="V35" s="34">
        <v>1.0086515826520821</v>
      </c>
      <c r="W35" s="34">
        <v>0.60519094959124931</v>
      </c>
      <c r="X35" s="34">
        <v>6.0519094959124926</v>
      </c>
      <c r="Y35" s="34">
        <v>3.2276850644866628</v>
      </c>
      <c r="Z35" s="34"/>
      <c r="AA35" s="33">
        <v>8.4518046408433101</v>
      </c>
      <c r="AB35" s="33">
        <v>8.4518046408433101</v>
      </c>
      <c r="AC35" s="34">
        <v>2.8172682136144358</v>
      </c>
      <c r="AD35" s="33">
        <v>4.5076291417830987</v>
      </c>
      <c r="AE35" s="34">
        <v>5.6345364272288716</v>
      </c>
      <c r="AF35" s="34">
        <v>3.380721856337324</v>
      </c>
      <c r="AG35" s="33">
        <v>3.380721856337324</v>
      </c>
      <c r="AH35" s="34">
        <v>6.7614437126746481</v>
      </c>
      <c r="AI35" s="33">
        <v>5.6345364272288716</v>
      </c>
      <c r="AJ35" s="33">
        <v>6.7614437126746481</v>
      </c>
      <c r="AK35" s="33">
        <v>3.9441754990602109</v>
      </c>
      <c r="AL35" s="34">
        <v>3.9441754990602109</v>
      </c>
      <c r="AM35" s="34">
        <v>1.690360928168662</v>
      </c>
      <c r="AN35" s="34">
        <v>2.8172682136144358</v>
      </c>
      <c r="AO35" s="34">
        <v>1.690360928168662</v>
      </c>
      <c r="AP35" s="34">
        <v>16.90360928168662</v>
      </c>
      <c r="AQ35" s="34">
        <v>9.0152582835661974</v>
      </c>
      <c r="AR35" s="39"/>
    </row>
    <row r="36" spans="1:44" ht="19.5" customHeight="1">
      <c r="A36" s="26"/>
      <c r="B36" s="41" t="s">
        <v>133</v>
      </c>
      <c r="C36" s="26" t="s">
        <v>94</v>
      </c>
      <c r="D36" s="28" t="s">
        <v>771</v>
      </c>
      <c r="E36" s="32"/>
      <c r="F36" s="32">
        <v>0</v>
      </c>
      <c r="G36" s="32">
        <v>15914.766682618159</v>
      </c>
      <c r="H36" s="32">
        <v>15914.766682618159</v>
      </c>
      <c r="I36" s="33">
        <v>0</v>
      </c>
      <c r="J36" s="33">
        <v>0</v>
      </c>
      <c r="K36" s="34">
        <v>0</v>
      </c>
      <c r="L36" s="33">
        <v>0</v>
      </c>
      <c r="M36" s="34">
        <v>0</v>
      </c>
      <c r="N36" s="34">
        <v>0</v>
      </c>
      <c r="O36" s="33">
        <v>0</v>
      </c>
      <c r="P36" s="34">
        <v>0</v>
      </c>
      <c r="Q36" s="33">
        <v>0</v>
      </c>
      <c r="R36" s="33">
        <v>0</v>
      </c>
      <c r="S36" s="33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/>
      <c r="AA36" s="33">
        <v>5.535329173090151</v>
      </c>
      <c r="AB36" s="33">
        <v>5.535329173090151</v>
      </c>
      <c r="AC36" s="34">
        <v>1.8451097243633841</v>
      </c>
      <c r="AD36" s="33">
        <v>2.952175558981414</v>
      </c>
      <c r="AE36" s="34">
        <v>3.6902194487267672</v>
      </c>
      <c r="AF36" s="34">
        <v>2.21413166923606</v>
      </c>
      <c r="AG36" s="33">
        <v>2.21413166923606</v>
      </c>
      <c r="AH36" s="34">
        <v>4.4282633384721208</v>
      </c>
      <c r="AI36" s="33">
        <v>3.6902194487267672</v>
      </c>
      <c r="AJ36" s="33">
        <v>4.4282633384721208</v>
      </c>
      <c r="AK36" s="33">
        <v>2.583153614108737</v>
      </c>
      <c r="AL36" s="34">
        <v>2.583153614108737</v>
      </c>
      <c r="AM36" s="34">
        <v>1.10706583461803</v>
      </c>
      <c r="AN36" s="34">
        <v>1.8451097243633841</v>
      </c>
      <c r="AO36" s="34">
        <v>1.10706583461803</v>
      </c>
      <c r="AP36" s="34">
        <v>11.0706583461803</v>
      </c>
      <c r="AQ36" s="34">
        <v>5.9043511179628281</v>
      </c>
      <c r="AR36" s="39"/>
    </row>
    <row r="37" spans="1:44" ht="19.5" customHeight="1">
      <c r="A37" s="26"/>
      <c r="B37" s="41" t="s">
        <v>133</v>
      </c>
      <c r="C37" s="26" t="s">
        <v>94</v>
      </c>
      <c r="D37" s="28" t="s">
        <v>788</v>
      </c>
      <c r="E37" s="32"/>
      <c r="F37" s="32">
        <v>25340</v>
      </c>
      <c r="G37" s="32">
        <v>15914.766682618159</v>
      </c>
      <c r="H37" s="32">
        <v>41254.766682618167</v>
      </c>
      <c r="I37" s="33">
        <v>8.81352796703578</v>
      </c>
      <c r="J37" s="33">
        <v>8.81352796703578</v>
      </c>
      <c r="K37" s="34">
        <v>2.937842655678593</v>
      </c>
      <c r="L37" s="33">
        <v>4.7005482490857498</v>
      </c>
      <c r="M37" s="34">
        <v>5.8756853113571861</v>
      </c>
      <c r="N37" s="34">
        <v>3.525411186814313</v>
      </c>
      <c r="O37" s="33">
        <v>3.525411186814313</v>
      </c>
      <c r="P37" s="34">
        <v>7.0508223736286251</v>
      </c>
      <c r="Q37" s="33">
        <v>5.8756853113571861</v>
      </c>
      <c r="R37" s="33">
        <v>7.0508223736286251</v>
      </c>
      <c r="S37" s="33">
        <v>4.1129797179500311</v>
      </c>
      <c r="T37" s="34">
        <v>4.1129797179500311</v>
      </c>
      <c r="U37" s="34">
        <v>1.762705593407156</v>
      </c>
      <c r="V37" s="34">
        <v>2.937842655678593</v>
      </c>
      <c r="W37" s="34">
        <v>1.762705593407156</v>
      </c>
      <c r="X37" s="34">
        <v>17.62705593407156</v>
      </c>
      <c r="Y37" s="34">
        <v>9.4010964981714995</v>
      </c>
      <c r="Z37" s="34"/>
      <c r="AA37" s="33">
        <v>5.535329173090151</v>
      </c>
      <c r="AB37" s="33">
        <v>5.535329173090151</v>
      </c>
      <c r="AC37" s="34">
        <v>1.8451097243633841</v>
      </c>
      <c r="AD37" s="33">
        <v>2.952175558981414</v>
      </c>
      <c r="AE37" s="34">
        <v>3.6902194487267672</v>
      </c>
      <c r="AF37" s="34">
        <v>2.21413166923606</v>
      </c>
      <c r="AG37" s="33">
        <v>2.21413166923606</v>
      </c>
      <c r="AH37" s="34">
        <v>4.4282633384721208</v>
      </c>
      <c r="AI37" s="33">
        <v>3.6902194487267672</v>
      </c>
      <c r="AJ37" s="33">
        <v>4.4282633384721208</v>
      </c>
      <c r="AK37" s="33">
        <v>2.583153614108737</v>
      </c>
      <c r="AL37" s="34">
        <v>2.583153614108737</v>
      </c>
      <c r="AM37" s="34">
        <v>1.10706583461803</v>
      </c>
      <c r="AN37" s="34">
        <v>1.8451097243633841</v>
      </c>
      <c r="AO37" s="34">
        <v>1.10706583461803</v>
      </c>
      <c r="AP37" s="34">
        <v>11.0706583461803</v>
      </c>
      <c r="AQ37" s="34">
        <v>5.9043511179628281</v>
      </c>
      <c r="AR37" s="39"/>
    </row>
    <row r="38" spans="1:44" ht="19.5" customHeight="1">
      <c r="A38" s="49"/>
      <c r="B38" s="50" t="s">
        <v>133</v>
      </c>
      <c r="C38" s="49" t="s">
        <v>389</v>
      </c>
      <c r="D38" s="50" t="s">
        <v>813</v>
      </c>
      <c r="E38" s="51">
        <v>4</v>
      </c>
      <c r="F38" s="52">
        <v>206749.05387871311</v>
      </c>
      <c r="G38" s="52">
        <v>168488.600095709</v>
      </c>
      <c r="H38" s="52">
        <v>375237.65397442208</v>
      </c>
      <c r="I38" s="53">
        <v>71.909572553994707</v>
      </c>
      <c r="J38" s="53">
        <v>71.909572553994707</v>
      </c>
      <c r="K38" s="54">
        <v>23.969857517998229</v>
      </c>
      <c r="L38" s="53">
        <v>38.351772028797171</v>
      </c>
      <c r="M38" s="54">
        <v>47.939715035996457</v>
      </c>
      <c r="N38" s="54">
        <v>28.763829021597878</v>
      </c>
      <c r="O38" s="53">
        <v>28.763829021597878</v>
      </c>
      <c r="P38" s="54">
        <v>57.527658043195757</v>
      </c>
      <c r="Q38" s="53">
        <v>47.939715035996457</v>
      </c>
      <c r="R38" s="53">
        <v>57.527658043195757</v>
      </c>
      <c r="S38" s="53">
        <v>33.557800525197528</v>
      </c>
      <c r="T38" s="54">
        <v>33.557800525197528</v>
      </c>
      <c r="U38" s="54">
        <v>14.381914510798939</v>
      </c>
      <c r="V38" s="54">
        <v>23.969857517998229</v>
      </c>
      <c r="W38" s="54">
        <v>14.381914510798939</v>
      </c>
      <c r="X38" s="54">
        <v>143.81914510798941</v>
      </c>
      <c r="Y38" s="54">
        <v>76.703544057594343</v>
      </c>
      <c r="Z38" s="54"/>
      <c r="AA38" s="53">
        <v>58.602170050127803</v>
      </c>
      <c r="AB38" s="53">
        <v>58.602170050127803</v>
      </c>
      <c r="AC38" s="54">
        <v>19.53405668337593</v>
      </c>
      <c r="AD38" s="53">
        <v>31.2544906934015</v>
      </c>
      <c r="AE38" s="54">
        <v>39.068113366751867</v>
      </c>
      <c r="AF38" s="54">
        <v>23.44086802005112</v>
      </c>
      <c r="AG38" s="53">
        <v>23.44086802005112</v>
      </c>
      <c r="AH38" s="54">
        <v>46.881736040102247</v>
      </c>
      <c r="AI38" s="53">
        <v>39.068113366751867</v>
      </c>
      <c r="AJ38" s="53">
        <v>46.881736040102247</v>
      </c>
      <c r="AK38" s="53">
        <v>27.34767935672631</v>
      </c>
      <c r="AL38" s="54">
        <v>27.34767935672631</v>
      </c>
      <c r="AM38" s="54">
        <v>11.72043401002556</v>
      </c>
      <c r="AN38" s="54">
        <v>19.53405668337593</v>
      </c>
      <c r="AO38" s="54">
        <v>11.72043401002556</v>
      </c>
      <c r="AP38" s="54">
        <v>117.20434010025561</v>
      </c>
      <c r="AQ38" s="54">
        <v>62.508981386802994</v>
      </c>
      <c r="AR38" s="73"/>
    </row>
    <row r="39" spans="1:44" ht="19.5" customHeight="1">
      <c r="A39" s="65"/>
      <c r="B39" s="66" t="s">
        <v>834</v>
      </c>
      <c r="C39" s="65" t="s">
        <v>835</v>
      </c>
      <c r="D39" s="66" t="s">
        <v>640</v>
      </c>
      <c r="E39" s="74">
        <f>E38+E30</f>
        <v>9</v>
      </c>
      <c r="F39" s="75">
        <v>618432.91382379213</v>
      </c>
      <c r="G39" s="75">
        <v>327618.61250015051</v>
      </c>
      <c r="H39" s="75">
        <v>946051.5263239427</v>
      </c>
      <c r="I39" s="53">
        <v>215.0977025146575</v>
      </c>
      <c r="J39" s="53">
        <v>215.0977025146575</v>
      </c>
      <c r="K39" s="54">
        <v>71.69923417155249</v>
      </c>
      <c r="L39" s="53">
        <v>114.718774674484</v>
      </c>
      <c r="M39" s="54">
        <v>143.39846834310501</v>
      </c>
      <c r="N39" s="54">
        <v>86.039081005863011</v>
      </c>
      <c r="O39" s="53">
        <v>86.039081005863011</v>
      </c>
      <c r="P39" s="54">
        <v>172.07816201172599</v>
      </c>
      <c r="Q39" s="53">
        <v>143.39846834310501</v>
      </c>
      <c r="R39" s="53">
        <v>172.07816201172599</v>
      </c>
      <c r="S39" s="53">
        <v>100.3789278401735</v>
      </c>
      <c r="T39" s="54">
        <v>100.3789278401735</v>
      </c>
      <c r="U39" s="54">
        <v>43.019540502931513</v>
      </c>
      <c r="V39" s="54">
        <v>71.69923417155249</v>
      </c>
      <c r="W39" s="54">
        <v>43.019540502931513</v>
      </c>
      <c r="X39" s="54">
        <v>430.195405029315</v>
      </c>
      <c r="Y39" s="54">
        <v>229.43754934896799</v>
      </c>
      <c r="Z39" s="54"/>
      <c r="AA39" s="53">
        <v>113.9493213808814</v>
      </c>
      <c r="AB39" s="53">
        <v>113.9493213808814</v>
      </c>
      <c r="AC39" s="54">
        <v>37.983107126960462</v>
      </c>
      <c r="AD39" s="53">
        <v>60.772971403136751</v>
      </c>
      <c r="AE39" s="54">
        <v>75.966214253920924</v>
      </c>
      <c r="AF39" s="54">
        <v>45.579728552352563</v>
      </c>
      <c r="AG39" s="53">
        <v>45.579728552352563</v>
      </c>
      <c r="AH39" s="54">
        <v>91.159457104705126</v>
      </c>
      <c r="AI39" s="53">
        <v>75.966214253920924</v>
      </c>
      <c r="AJ39" s="53">
        <v>91.159457104705126</v>
      </c>
      <c r="AK39" s="53">
        <v>53.176349977744657</v>
      </c>
      <c r="AL39" s="54">
        <v>53.176349977744657</v>
      </c>
      <c r="AM39" s="54">
        <v>22.789864276176282</v>
      </c>
      <c r="AN39" s="54">
        <v>37.983107126960462</v>
      </c>
      <c r="AO39" s="54">
        <v>22.789864276176282</v>
      </c>
      <c r="AP39" s="54">
        <v>227.8986427617628</v>
      </c>
      <c r="AQ39" s="54">
        <v>121.5459428062735</v>
      </c>
      <c r="AR39" s="73"/>
    </row>
    <row r="40" spans="1:44" ht="19.5" customHeight="1">
      <c r="A40" s="76"/>
      <c r="B40" s="76"/>
      <c r="C40" s="51"/>
      <c r="D40" s="77"/>
      <c r="E40" s="51"/>
      <c r="F40" s="32"/>
      <c r="G40" s="32"/>
      <c r="H40" s="32">
        <v>0</v>
      </c>
      <c r="I40" s="33">
        <v>0</v>
      </c>
      <c r="J40" s="33">
        <v>0</v>
      </c>
      <c r="K40" s="34">
        <v>0</v>
      </c>
      <c r="L40" s="33">
        <v>0</v>
      </c>
      <c r="M40" s="34">
        <v>0</v>
      </c>
      <c r="N40" s="34">
        <v>0</v>
      </c>
      <c r="O40" s="33">
        <v>0</v>
      </c>
      <c r="P40" s="34">
        <v>0</v>
      </c>
      <c r="Q40" s="33">
        <v>0</v>
      </c>
      <c r="R40" s="33">
        <v>0</v>
      </c>
      <c r="S40" s="33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/>
      <c r="AA40" s="33">
        <v>0</v>
      </c>
      <c r="AB40" s="33">
        <v>0</v>
      </c>
      <c r="AC40" s="34">
        <v>0</v>
      </c>
      <c r="AD40" s="33">
        <v>0</v>
      </c>
      <c r="AE40" s="34">
        <v>0</v>
      </c>
      <c r="AF40" s="34">
        <v>0</v>
      </c>
      <c r="AG40" s="33">
        <v>0</v>
      </c>
      <c r="AH40" s="34">
        <v>0</v>
      </c>
      <c r="AI40" s="33">
        <v>0</v>
      </c>
      <c r="AJ40" s="33">
        <v>0</v>
      </c>
      <c r="AK40" s="33">
        <v>0</v>
      </c>
      <c r="AL40" s="34">
        <v>0</v>
      </c>
      <c r="AM40" s="34">
        <v>0</v>
      </c>
      <c r="AN40" s="34">
        <v>0</v>
      </c>
      <c r="AO40" s="34">
        <v>0</v>
      </c>
      <c r="AP40" s="34">
        <v>0</v>
      </c>
      <c r="AQ40" s="34">
        <v>0</v>
      </c>
      <c r="AR40" s="39"/>
    </row>
    <row r="41" spans="1:44" ht="19.5" customHeight="1">
      <c r="A41" s="76" t="s">
        <v>888</v>
      </c>
      <c r="B41" s="76"/>
      <c r="C41" s="51"/>
      <c r="D41" s="77"/>
      <c r="E41" s="51"/>
      <c r="F41" s="32"/>
      <c r="G41" s="32"/>
      <c r="H41" s="32">
        <v>0</v>
      </c>
      <c r="I41" s="33">
        <v>0</v>
      </c>
      <c r="J41" s="33">
        <v>0</v>
      </c>
      <c r="K41" s="34">
        <v>0</v>
      </c>
      <c r="L41" s="33">
        <v>0</v>
      </c>
      <c r="M41" s="34">
        <v>0</v>
      </c>
      <c r="N41" s="34">
        <v>0</v>
      </c>
      <c r="O41" s="33">
        <v>0</v>
      </c>
      <c r="P41" s="34">
        <v>0</v>
      </c>
      <c r="Q41" s="33">
        <v>0</v>
      </c>
      <c r="R41" s="33">
        <v>0</v>
      </c>
      <c r="S41" s="33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/>
      <c r="AA41" s="33">
        <v>0</v>
      </c>
      <c r="AB41" s="33">
        <v>0</v>
      </c>
      <c r="AC41" s="34">
        <v>0</v>
      </c>
      <c r="AD41" s="33">
        <v>0</v>
      </c>
      <c r="AE41" s="34">
        <v>0</v>
      </c>
      <c r="AF41" s="34">
        <v>0</v>
      </c>
      <c r="AG41" s="33">
        <v>0</v>
      </c>
      <c r="AH41" s="34">
        <v>0</v>
      </c>
      <c r="AI41" s="33">
        <v>0</v>
      </c>
      <c r="AJ41" s="33">
        <v>0</v>
      </c>
      <c r="AK41" s="33">
        <v>0</v>
      </c>
      <c r="AL41" s="34">
        <v>0</v>
      </c>
      <c r="AM41" s="34">
        <v>0</v>
      </c>
      <c r="AN41" s="34">
        <v>0</v>
      </c>
      <c r="AO41" s="34">
        <v>0</v>
      </c>
      <c r="AP41" s="34">
        <v>0</v>
      </c>
      <c r="AQ41" s="34">
        <v>0</v>
      </c>
      <c r="AR41" s="39"/>
    </row>
    <row r="42" spans="1:44" ht="19.5" customHeight="1">
      <c r="A42" s="64">
        <v>1</v>
      </c>
      <c r="B42" s="78" t="s">
        <v>902</v>
      </c>
      <c r="C42" s="79" t="s">
        <v>94</v>
      </c>
      <c r="D42" s="56" t="s">
        <v>910</v>
      </c>
      <c r="E42" s="30"/>
      <c r="F42" s="32">
        <v>105000</v>
      </c>
      <c r="G42" s="32">
        <v>10609.844455078781</v>
      </c>
      <c r="H42" s="32">
        <v>115609.8444550788</v>
      </c>
      <c r="I42" s="33">
        <v>36.520143509816769</v>
      </c>
      <c r="J42" s="33">
        <v>36.520143509816769</v>
      </c>
      <c r="K42" s="34">
        <v>12.173381169938921</v>
      </c>
      <c r="L42" s="33">
        <v>19.477409871902282</v>
      </c>
      <c r="M42" s="34">
        <v>24.346762339877841</v>
      </c>
      <c r="N42" s="34">
        <v>14.608057403926709</v>
      </c>
      <c r="O42" s="33">
        <v>14.608057403926709</v>
      </c>
      <c r="P42" s="34">
        <v>29.216114807853419</v>
      </c>
      <c r="Q42" s="33">
        <v>24.346762339877841</v>
      </c>
      <c r="R42" s="33">
        <v>29.216114807853419</v>
      </c>
      <c r="S42" s="33">
        <v>17.042733637914491</v>
      </c>
      <c r="T42" s="34">
        <v>17.042733637914491</v>
      </c>
      <c r="U42" s="34">
        <v>7.3040287019633539</v>
      </c>
      <c r="V42" s="34">
        <v>12.173381169938921</v>
      </c>
      <c r="W42" s="34">
        <v>7.3040287019633539</v>
      </c>
      <c r="X42" s="34">
        <v>73.040287019633539</v>
      </c>
      <c r="Y42" s="34">
        <v>38.954819743804563</v>
      </c>
      <c r="Z42" s="34"/>
      <c r="AA42" s="33">
        <v>3.6902194487267681</v>
      </c>
      <c r="AB42" s="33">
        <v>3.6902194487267681</v>
      </c>
      <c r="AC42" s="34">
        <v>1.230073149575589</v>
      </c>
      <c r="AD42" s="33">
        <v>1.9681170393209431</v>
      </c>
      <c r="AE42" s="34">
        <v>2.460146299151178</v>
      </c>
      <c r="AF42" s="34">
        <v>1.476087779490707</v>
      </c>
      <c r="AG42" s="33">
        <v>1.476087779490707</v>
      </c>
      <c r="AH42" s="34">
        <v>2.952175558981414</v>
      </c>
      <c r="AI42" s="33">
        <v>2.460146299151178</v>
      </c>
      <c r="AJ42" s="33">
        <v>2.952175558981414</v>
      </c>
      <c r="AK42" s="33">
        <v>1.722102409405825</v>
      </c>
      <c r="AL42" s="34">
        <v>1.722102409405825</v>
      </c>
      <c r="AM42" s="34">
        <v>0.73804388974535351</v>
      </c>
      <c r="AN42" s="34">
        <v>1.230073149575589</v>
      </c>
      <c r="AO42" s="34">
        <v>0.73804388974535351</v>
      </c>
      <c r="AP42" s="34">
        <v>7.3804388974535353</v>
      </c>
      <c r="AQ42" s="34">
        <v>3.9362340786418848</v>
      </c>
      <c r="AR42" s="39"/>
    </row>
    <row r="43" spans="1:44" ht="19.5" customHeight="1">
      <c r="A43" s="64">
        <v>2</v>
      </c>
      <c r="B43" s="78" t="s">
        <v>929</v>
      </c>
      <c r="C43" s="26" t="s">
        <v>930</v>
      </c>
      <c r="D43" s="56" t="s">
        <v>932</v>
      </c>
      <c r="E43" s="30"/>
      <c r="F43" s="32">
        <v>68303</v>
      </c>
      <c r="G43" s="32">
        <v>42400</v>
      </c>
      <c r="H43" s="32">
        <v>110703</v>
      </c>
      <c r="I43" s="33">
        <v>23.756527258581091</v>
      </c>
      <c r="J43" s="33">
        <v>23.756527258581091</v>
      </c>
      <c r="K43" s="34">
        <v>7.9188424195270306</v>
      </c>
      <c r="L43" s="33">
        <v>12.67014787124325</v>
      </c>
      <c r="M43" s="34">
        <v>15.837684839054059</v>
      </c>
      <c r="N43" s="34">
        <v>9.5026109034324389</v>
      </c>
      <c r="O43" s="33">
        <v>9.5026109034324389</v>
      </c>
      <c r="P43" s="34">
        <v>19.005221806864881</v>
      </c>
      <c r="Q43" s="33">
        <v>15.837684839054059</v>
      </c>
      <c r="R43" s="33">
        <v>19.005221806864881</v>
      </c>
      <c r="S43" s="33">
        <v>11.086379387337839</v>
      </c>
      <c r="T43" s="34">
        <v>11.086379387337839</v>
      </c>
      <c r="U43" s="34">
        <v>4.7513054517162194</v>
      </c>
      <c r="V43" s="34">
        <v>7.9188424195270306</v>
      </c>
      <c r="W43" s="34">
        <v>4.7513054517162194</v>
      </c>
      <c r="X43" s="34">
        <v>47.513054517162189</v>
      </c>
      <c r="Y43" s="34">
        <v>25.3402957424865</v>
      </c>
      <c r="Z43" s="34"/>
      <c r="AA43" s="33">
        <v>14.74718176015458</v>
      </c>
      <c r="AB43" s="33">
        <v>14.74718176015458</v>
      </c>
      <c r="AC43" s="34">
        <v>4.9157272533848602</v>
      </c>
      <c r="AD43" s="33">
        <v>7.865163605415777</v>
      </c>
      <c r="AE43" s="34">
        <v>9.8314545067697203</v>
      </c>
      <c r="AF43" s="34">
        <v>5.8988727040618336</v>
      </c>
      <c r="AG43" s="33">
        <v>5.8988727040618336</v>
      </c>
      <c r="AH43" s="34">
        <v>11.797745408123671</v>
      </c>
      <c r="AI43" s="33">
        <v>9.8314545067697203</v>
      </c>
      <c r="AJ43" s="33">
        <v>11.797745408123671</v>
      </c>
      <c r="AK43" s="33">
        <v>6.8820181547388053</v>
      </c>
      <c r="AL43" s="34">
        <v>6.8820181547388053</v>
      </c>
      <c r="AM43" s="34">
        <v>2.9494363520309168</v>
      </c>
      <c r="AN43" s="34">
        <v>4.9157272533848602</v>
      </c>
      <c r="AO43" s="34">
        <v>2.9494363520309168</v>
      </c>
      <c r="AP43" s="34">
        <v>29.494363520309161</v>
      </c>
      <c r="AQ43" s="34">
        <v>15.73032721083155</v>
      </c>
      <c r="AR43" s="39"/>
    </row>
    <row r="44" spans="1:44" ht="19.5" customHeight="1">
      <c r="A44" s="64">
        <v>3</v>
      </c>
      <c r="B44" s="41" t="s">
        <v>133</v>
      </c>
      <c r="C44" s="79" t="s">
        <v>94</v>
      </c>
      <c r="D44" s="78" t="s">
        <v>951</v>
      </c>
      <c r="E44" s="30"/>
      <c r="F44" s="32">
        <v>30000</v>
      </c>
      <c r="G44" s="32">
        <v>43066.124032541098</v>
      </c>
      <c r="H44" s="32">
        <v>73066.124032541091</v>
      </c>
      <c r="I44" s="33">
        <v>10.43432671709051</v>
      </c>
      <c r="J44" s="33">
        <v>10.43432671709051</v>
      </c>
      <c r="K44" s="34">
        <v>3.4781089056968351</v>
      </c>
      <c r="L44" s="33">
        <v>5.564974249114937</v>
      </c>
      <c r="M44" s="34">
        <v>6.9562178113936701</v>
      </c>
      <c r="N44" s="34">
        <v>4.173730686836203</v>
      </c>
      <c r="O44" s="33">
        <v>4.173730686836203</v>
      </c>
      <c r="P44" s="34">
        <v>8.3474613736724059</v>
      </c>
      <c r="Q44" s="33">
        <v>6.9562178113936701</v>
      </c>
      <c r="R44" s="33">
        <v>8.3474613736724059</v>
      </c>
      <c r="S44" s="33">
        <v>4.8693524679755704</v>
      </c>
      <c r="T44" s="34">
        <v>4.8693524679755704</v>
      </c>
      <c r="U44" s="34">
        <v>2.086865343418101</v>
      </c>
      <c r="V44" s="34">
        <v>3.4781089056968351</v>
      </c>
      <c r="W44" s="34">
        <v>2.086865343418101</v>
      </c>
      <c r="X44" s="34">
        <v>20.868653434181009</v>
      </c>
      <c r="Y44" s="34">
        <v>11.12994849822987</v>
      </c>
      <c r="Z44" s="54"/>
      <c r="AA44" s="33">
        <v>14.978866953142569</v>
      </c>
      <c r="AB44" s="33">
        <v>14.978866953142569</v>
      </c>
      <c r="AC44" s="34">
        <v>4.9929556510475228</v>
      </c>
      <c r="AD44" s="33">
        <v>7.988729041676037</v>
      </c>
      <c r="AE44" s="34">
        <v>9.9859113020950456</v>
      </c>
      <c r="AF44" s="34">
        <v>5.9915467812570284</v>
      </c>
      <c r="AG44" s="33">
        <v>5.9915467812570284</v>
      </c>
      <c r="AH44" s="34">
        <v>11.98309356251406</v>
      </c>
      <c r="AI44" s="33">
        <v>9.9859113020950456</v>
      </c>
      <c r="AJ44" s="33">
        <v>11.98309356251406</v>
      </c>
      <c r="AK44" s="33">
        <v>6.9901379114665323</v>
      </c>
      <c r="AL44" s="34">
        <v>6.9901379114665323</v>
      </c>
      <c r="AM44" s="34">
        <v>2.9957733906285142</v>
      </c>
      <c r="AN44" s="34">
        <v>4.9929556510475228</v>
      </c>
      <c r="AO44" s="34">
        <v>2.9957733906285142</v>
      </c>
      <c r="AP44" s="34">
        <v>29.957733906285139</v>
      </c>
      <c r="AQ44" s="34">
        <v>15.977458083352071</v>
      </c>
      <c r="AR44" s="37"/>
    </row>
    <row r="45" spans="1:44" ht="19.5" customHeight="1">
      <c r="A45" s="64">
        <v>4</v>
      </c>
      <c r="B45" s="41" t="s">
        <v>133</v>
      </c>
      <c r="C45" s="79" t="s">
        <v>94</v>
      </c>
      <c r="D45" s="56" t="s">
        <v>979</v>
      </c>
      <c r="E45" s="30"/>
      <c r="F45" s="32">
        <v>32357</v>
      </c>
      <c r="G45" s="32">
        <v>32784.419366193411</v>
      </c>
      <c r="H45" s="32">
        <v>65141.419366193411</v>
      </c>
      <c r="I45" s="33">
        <v>11.25411698616325</v>
      </c>
      <c r="J45" s="33">
        <v>11.25411698616325</v>
      </c>
      <c r="K45" s="34">
        <v>3.7513723287210832</v>
      </c>
      <c r="L45" s="33">
        <v>6.002195725953734</v>
      </c>
      <c r="M45" s="34">
        <v>7.5027446574421663</v>
      </c>
      <c r="N45" s="34">
        <v>4.5016467944653007</v>
      </c>
      <c r="O45" s="33">
        <v>4.5016467944653007</v>
      </c>
      <c r="P45" s="34">
        <v>9.0032935889306014</v>
      </c>
      <c r="Q45" s="33">
        <v>7.5027446574421663</v>
      </c>
      <c r="R45" s="33">
        <v>9.0032935889306014</v>
      </c>
      <c r="S45" s="33">
        <v>5.2519212602095173</v>
      </c>
      <c r="T45" s="34">
        <v>5.2519212602095173</v>
      </c>
      <c r="U45" s="34">
        <v>2.2508233972326499</v>
      </c>
      <c r="V45" s="34">
        <v>3.7513723287210832</v>
      </c>
      <c r="W45" s="34">
        <v>2.2508233972326499</v>
      </c>
      <c r="X45" s="34">
        <v>22.508233972326501</v>
      </c>
      <c r="Y45" s="34">
        <v>12.00439145190747</v>
      </c>
      <c r="Z45" s="34"/>
      <c r="AA45" s="33">
        <v>11.40277809656571</v>
      </c>
      <c r="AB45" s="33">
        <v>11.40277809656571</v>
      </c>
      <c r="AC45" s="34">
        <v>3.8009260321885701</v>
      </c>
      <c r="AD45" s="33">
        <v>6.0814816515017123</v>
      </c>
      <c r="AE45" s="34">
        <v>7.6018520643771392</v>
      </c>
      <c r="AF45" s="34">
        <v>4.5611112386262844</v>
      </c>
      <c r="AG45" s="33">
        <v>4.5611112386262844</v>
      </c>
      <c r="AH45" s="34">
        <v>9.1222224772525689</v>
      </c>
      <c r="AI45" s="33">
        <v>7.6018520643771392</v>
      </c>
      <c r="AJ45" s="33">
        <v>9.1222224772525689</v>
      </c>
      <c r="AK45" s="33">
        <v>5.3212964450639983</v>
      </c>
      <c r="AL45" s="34">
        <v>5.3212964450639983</v>
      </c>
      <c r="AM45" s="34">
        <v>2.2805556193131422</v>
      </c>
      <c r="AN45" s="34">
        <v>3.8009260321885701</v>
      </c>
      <c r="AO45" s="34">
        <v>2.2805556193131422</v>
      </c>
      <c r="AP45" s="34">
        <v>22.805556193131419</v>
      </c>
      <c r="AQ45" s="34">
        <v>12.162963303003419</v>
      </c>
      <c r="AR45" s="39"/>
    </row>
    <row r="46" spans="1:44" ht="19.5" customHeight="1">
      <c r="A46" s="51"/>
      <c r="B46" s="80" t="s">
        <v>992</v>
      </c>
      <c r="C46" s="51" t="s">
        <v>997</v>
      </c>
      <c r="D46" s="80" t="s">
        <v>998</v>
      </c>
      <c r="E46" s="51">
        <v>4</v>
      </c>
      <c r="F46" s="52">
        <v>235660</v>
      </c>
      <c r="G46" s="52">
        <v>128860.3878538133</v>
      </c>
      <c r="H46" s="52">
        <v>364520.3878538133</v>
      </c>
      <c r="I46" s="53">
        <v>81.965114471651631</v>
      </c>
      <c r="J46" s="53">
        <v>81.965114471651631</v>
      </c>
      <c r="K46" s="54">
        <v>27.32170482388387</v>
      </c>
      <c r="L46" s="53">
        <v>43.714727718214199</v>
      </c>
      <c r="M46" s="54">
        <v>54.643409647767747</v>
      </c>
      <c r="N46" s="54">
        <v>32.786045788660651</v>
      </c>
      <c r="O46" s="53">
        <v>32.786045788660651</v>
      </c>
      <c r="P46" s="54">
        <v>65.572091577321302</v>
      </c>
      <c r="Q46" s="53">
        <v>54.643409647767747</v>
      </c>
      <c r="R46" s="53">
        <v>65.572091577321302</v>
      </c>
      <c r="S46" s="53">
        <v>38.250386753437432</v>
      </c>
      <c r="T46" s="54">
        <v>38.250386753437432</v>
      </c>
      <c r="U46" s="54">
        <v>16.393022894330329</v>
      </c>
      <c r="V46" s="54">
        <v>27.32170482388387</v>
      </c>
      <c r="W46" s="54">
        <v>16.393022894330329</v>
      </c>
      <c r="X46" s="54">
        <v>163.93022894330329</v>
      </c>
      <c r="Y46" s="54">
        <v>87.429455436428398</v>
      </c>
      <c r="Z46" s="54"/>
      <c r="AA46" s="53">
        <v>44.81904625858963</v>
      </c>
      <c r="AB46" s="53">
        <v>44.81904625858963</v>
      </c>
      <c r="AC46" s="54">
        <v>14.939682086196539</v>
      </c>
      <c r="AD46" s="53">
        <v>23.90349133791447</v>
      </c>
      <c r="AE46" s="54">
        <v>29.879364172393078</v>
      </c>
      <c r="AF46" s="54">
        <v>17.927618503435848</v>
      </c>
      <c r="AG46" s="53">
        <v>17.927618503435848</v>
      </c>
      <c r="AH46" s="54">
        <v>35.855237006871697</v>
      </c>
      <c r="AI46" s="53">
        <v>29.879364172393078</v>
      </c>
      <c r="AJ46" s="53">
        <v>35.855237006871697</v>
      </c>
      <c r="AK46" s="53">
        <v>20.915554920675159</v>
      </c>
      <c r="AL46" s="54">
        <v>20.915554920675159</v>
      </c>
      <c r="AM46" s="54">
        <v>8.963809251717926</v>
      </c>
      <c r="AN46" s="54">
        <v>14.939682086196539</v>
      </c>
      <c r="AO46" s="54">
        <v>8.963809251717926</v>
      </c>
      <c r="AP46" s="54">
        <v>89.63809251717926</v>
      </c>
      <c r="AQ46" s="54">
        <v>47.806982675828941</v>
      </c>
      <c r="AR46" s="37"/>
    </row>
    <row r="47" spans="1:44" ht="19.5" customHeight="1">
      <c r="A47" s="64">
        <v>5</v>
      </c>
      <c r="B47" s="78" t="s">
        <v>1017</v>
      </c>
      <c r="C47" s="30" t="s">
        <v>94</v>
      </c>
      <c r="D47" s="78" t="s">
        <v>1020</v>
      </c>
      <c r="E47" s="30"/>
      <c r="F47" s="32">
        <v>100000</v>
      </c>
      <c r="G47" s="32">
        <v>22280.673355665429</v>
      </c>
      <c r="H47" s="32">
        <v>122280.67335566541</v>
      </c>
      <c r="I47" s="33">
        <v>34.781089056968348</v>
      </c>
      <c r="J47" s="33">
        <v>34.781089056968348</v>
      </c>
      <c r="K47" s="34">
        <v>11.59369635232278</v>
      </c>
      <c r="L47" s="33">
        <v>18.549914163716451</v>
      </c>
      <c r="M47" s="34">
        <v>23.187392704645561</v>
      </c>
      <c r="N47" s="34">
        <v>13.91243562278734</v>
      </c>
      <c r="O47" s="33">
        <v>13.91243562278734</v>
      </c>
      <c r="P47" s="34">
        <v>27.824871245574681</v>
      </c>
      <c r="Q47" s="33">
        <v>23.187392704645561</v>
      </c>
      <c r="R47" s="33">
        <v>27.824871245574681</v>
      </c>
      <c r="S47" s="33">
        <v>16.2311748932519</v>
      </c>
      <c r="T47" s="34">
        <v>16.2311748932519</v>
      </c>
      <c r="U47" s="34">
        <v>6.9562178113936701</v>
      </c>
      <c r="V47" s="34">
        <v>11.59369635232278</v>
      </c>
      <c r="W47" s="34">
        <v>6.9562178113936701</v>
      </c>
      <c r="X47" s="34">
        <v>69.562178113936696</v>
      </c>
      <c r="Y47" s="34">
        <v>37.09982832743291</v>
      </c>
      <c r="Z47" s="34"/>
      <c r="AA47" s="33">
        <v>7.7494608423262132</v>
      </c>
      <c r="AB47" s="33">
        <v>7.7494608423262132</v>
      </c>
      <c r="AC47" s="34">
        <v>2.583153614108737</v>
      </c>
      <c r="AD47" s="33">
        <v>4.1330457825739799</v>
      </c>
      <c r="AE47" s="34">
        <v>5.1663072282174749</v>
      </c>
      <c r="AF47" s="34">
        <v>3.0997843369304849</v>
      </c>
      <c r="AG47" s="33">
        <v>3.0997843369304849</v>
      </c>
      <c r="AH47" s="34">
        <v>6.1995686738609708</v>
      </c>
      <c r="AI47" s="33">
        <v>5.1663072282174749</v>
      </c>
      <c r="AJ47" s="33">
        <v>6.1995686738609708</v>
      </c>
      <c r="AK47" s="33">
        <v>3.6164150597522329</v>
      </c>
      <c r="AL47" s="34">
        <v>3.6164150597522329</v>
      </c>
      <c r="AM47" s="34">
        <v>1.5498921684652429</v>
      </c>
      <c r="AN47" s="34">
        <v>2.583153614108737</v>
      </c>
      <c r="AO47" s="34">
        <v>1.5498921684652429</v>
      </c>
      <c r="AP47" s="34">
        <v>15.49892168465243</v>
      </c>
      <c r="AQ47" s="34">
        <v>8.2660915651479598</v>
      </c>
      <c r="AR47" s="39"/>
    </row>
    <row r="48" spans="1:44" ht="19.5" customHeight="1">
      <c r="A48" s="64">
        <v>6</v>
      </c>
      <c r="B48" s="81" t="s">
        <v>133</v>
      </c>
      <c r="C48" s="79" t="s">
        <v>94</v>
      </c>
      <c r="D48" s="78" t="s">
        <v>1044</v>
      </c>
      <c r="E48" s="30"/>
      <c r="F48" s="32">
        <v>20904.451747346691</v>
      </c>
      <c r="G48" s="32">
        <v>50534.455592775703</v>
      </c>
      <c r="H48" s="32">
        <v>71438.907340122387</v>
      </c>
      <c r="I48" s="33">
        <v>7.27079597911563</v>
      </c>
      <c r="J48" s="33">
        <v>7.27079597911563</v>
      </c>
      <c r="K48" s="34">
        <v>2.4235986597052102</v>
      </c>
      <c r="L48" s="33">
        <v>3.8777578555283361</v>
      </c>
      <c r="M48" s="34">
        <v>4.8471973194104194</v>
      </c>
      <c r="N48" s="34">
        <v>2.9083183916462518</v>
      </c>
      <c r="O48" s="33">
        <v>2.9083183916462518</v>
      </c>
      <c r="P48" s="34">
        <v>5.8166367832925054</v>
      </c>
      <c r="Q48" s="33">
        <v>4.8471973194104194</v>
      </c>
      <c r="R48" s="33">
        <v>5.8166367832925054</v>
      </c>
      <c r="S48" s="33">
        <v>3.393038123587294</v>
      </c>
      <c r="T48" s="34">
        <v>3.393038123587294</v>
      </c>
      <c r="U48" s="34">
        <v>1.4541591958231259</v>
      </c>
      <c r="V48" s="34">
        <v>2.4235986597052102</v>
      </c>
      <c r="W48" s="34">
        <v>1.4541591958231259</v>
      </c>
      <c r="X48" s="34">
        <v>14.54159195823126</v>
      </c>
      <c r="Y48" s="34">
        <v>7.7555157110566721</v>
      </c>
      <c r="Z48" s="34"/>
      <c r="AA48" s="33">
        <v>17.57643400417744</v>
      </c>
      <c r="AB48" s="33">
        <v>17.57643400417744</v>
      </c>
      <c r="AC48" s="34">
        <v>5.8588113347258126</v>
      </c>
      <c r="AD48" s="33">
        <v>9.3740981355613009</v>
      </c>
      <c r="AE48" s="34">
        <v>11.717622669451631</v>
      </c>
      <c r="AF48" s="34">
        <v>7.0305736016709766</v>
      </c>
      <c r="AG48" s="33">
        <v>7.0305736016709766</v>
      </c>
      <c r="AH48" s="34">
        <v>14.06114720334195</v>
      </c>
      <c r="AI48" s="33">
        <v>11.717622669451631</v>
      </c>
      <c r="AJ48" s="33">
        <v>14.06114720334195</v>
      </c>
      <c r="AK48" s="33">
        <v>8.2023358686161387</v>
      </c>
      <c r="AL48" s="34">
        <v>8.2023358686161387</v>
      </c>
      <c r="AM48" s="34">
        <v>3.5152868008354878</v>
      </c>
      <c r="AN48" s="34">
        <v>5.8588113347258126</v>
      </c>
      <c r="AO48" s="34">
        <v>3.5152868008354878</v>
      </c>
      <c r="AP48" s="34">
        <v>35.152868008354879</v>
      </c>
      <c r="AQ48" s="34">
        <v>18.748196271122598</v>
      </c>
      <c r="AR48" s="39"/>
    </row>
    <row r="49" spans="1:44" ht="19.5" customHeight="1">
      <c r="A49" s="64">
        <v>7</v>
      </c>
      <c r="B49" s="78" t="s">
        <v>1058</v>
      </c>
      <c r="C49" s="30" t="s">
        <v>230</v>
      </c>
      <c r="D49" s="78" t="s">
        <v>1061</v>
      </c>
      <c r="E49" s="30"/>
      <c r="F49" s="32">
        <v>128476.9759128241</v>
      </c>
      <c r="G49" s="32">
        <v>21644.082688360701</v>
      </c>
      <c r="H49" s="32">
        <v>150121.05860118481</v>
      </c>
      <c r="I49" s="33">
        <v>44.685691409939118</v>
      </c>
      <c r="J49" s="33">
        <v>44.685691409939118</v>
      </c>
      <c r="K49" s="34">
        <v>14.895230469979699</v>
      </c>
      <c r="L49" s="33">
        <v>23.832368751967529</v>
      </c>
      <c r="M49" s="34">
        <v>29.790460939959409</v>
      </c>
      <c r="N49" s="34">
        <v>17.874276563975648</v>
      </c>
      <c r="O49" s="33">
        <v>17.874276563975648</v>
      </c>
      <c r="P49" s="34">
        <v>35.748553127951297</v>
      </c>
      <c r="Q49" s="33">
        <v>29.790460939959409</v>
      </c>
      <c r="R49" s="33">
        <v>35.748553127951297</v>
      </c>
      <c r="S49" s="33">
        <v>20.853322657971589</v>
      </c>
      <c r="T49" s="34">
        <v>20.853322657971589</v>
      </c>
      <c r="U49" s="34">
        <v>8.9371382819878242</v>
      </c>
      <c r="V49" s="34">
        <v>14.895230469979699</v>
      </c>
      <c r="W49" s="34">
        <v>8.9371382819878242</v>
      </c>
      <c r="X49" s="34">
        <v>89.371382819878249</v>
      </c>
      <c r="Y49" s="34">
        <v>47.664737503935058</v>
      </c>
      <c r="Z49" s="34"/>
      <c r="AA49" s="33">
        <v>7.5280476754026058</v>
      </c>
      <c r="AB49" s="33">
        <v>7.5280476754026058</v>
      </c>
      <c r="AC49" s="34">
        <v>2.5093492251342022</v>
      </c>
      <c r="AD49" s="33">
        <v>4.0149587602147232</v>
      </c>
      <c r="AE49" s="34">
        <v>5.0186984502684044</v>
      </c>
      <c r="AF49" s="34">
        <v>3.011219070161042</v>
      </c>
      <c r="AG49" s="33">
        <v>3.011219070161042</v>
      </c>
      <c r="AH49" s="34">
        <v>6.0224381403220848</v>
      </c>
      <c r="AI49" s="33">
        <v>5.0186984502684044</v>
      </c>
      <c r="AJ49" s="33">
        <v>6.0224381403220848</v>
      </c>
      <c r="AK49" s="33">
        <v>3.513088915187883</v>
      </c>
      <c r="AL49" s="34">
        <v>3.513088915187883</v>
      </c>
      <c r="AM49" s="34">
        <v>1.505609535080521</v>
      </c>
      <c r="AN49" s="34">
        <v>2.5093492251342022</v>
      </c>
      <c r="AO49" s="34">
        <v>1.505609535080521</v>
      </c>
      <c r="AP49" s="34">
        <v>15.05609535080521</v>
      </c>
      <c r="AQ49" s="34">
        <v>8.0299175204294464</v>
      </c>
      <c r="AR49" s="39"/>
    </row>
    <row r="50" spans="1:44" ht="19.5" customHeight="1">
      <c r="A50" s="64">
        <v>8</v>
      </c>
      <c r="B50" s="78" t="s">
        <v>1075</v>
      </c>
      <c r="C50" s="79" t="s">
        <v>94</v>
      </c>
      <c r="D50" s="78" t="s">
        <v>1076</v>
      </c>
      <c r="E50" s="30"/>
      <c r="F50" s="32">
        <v>88404.394439421332</v>
      </c>
      <c r="G50" s="32">
        <v>21219.688910157551</v>
      </c>
      <c r="H50" s="32">
        <v>109624.0833495789</v>
      </c>
      <c r="I50" s="33">
        <v>30.748011160248709</v>
      </c>
      <c r="J50" s="33">
        <v>30.748011160248709</v>
      </c>
      <c r="K50" s="34">
        <v>10.249337053416239</v>
      </c>
      <c r="L50" s="33">
        <v>16.398939285465978</v>
      </c>
      <c r="M50" s="34">
        <v>20.498674106832471</v>
      </c>
      <c r="N50" s="34">
        <v>12.299204464099491</v>
      </c>
      <c r="O50" s="33">
        <v>12.299204464099491</v>
      </c>
      <c r="P50" s="34">
        <v>24.598408928198971</v>
      </c>
      <c r="Q50" s="33">
        <v>20.498674106832471</v>
      </c>
      <c r="R50" s="33">
        <v>24.598408928198971</v>
      </c>
      <c r="S50" s="33">
        <v>14.34907187478273</v>
      </c>
      <c r="T50" s="34">
        <v>14.34907187478273</v>
      </c>
      <c r="U50" s="34">
        <v>6.1496022320497428</v>
      </c>
      <c r="V50" s="34">
        <v>10.249337053416239</v>
      </c>
      <c r="W50" s="34">
        <v>6.1496022320497428</v>
      </c>
      <c r="X50" s="34">
        <v>61.496022320497417</v>
      </c>
      <c r="Y50" s="34">
        <v>32.797878570931957</v>
      </c>
      <c r="Z50" s="34"/>
      <c r="AA50" s="33">
        <v>7.3804388974535353</v>
      </c>
      <c r="AB50" s="33">
        <v>7.3804388974535353</v>
      </c>
      <c r="AC50" s="34">
        <v>2.460146299151178</v>
      </c>
      <c r="AD50" s="33">
        <v>3.9362340786418848</v>
      </c>
      <c r="AE50" s="34">
        <v>4.920292598302356</v>
      </c>
      <c r="AF50" s="34">
        <v>2.952175558981414</v>
      </c>
      <c r="AG50" s="33">
        <v>2.952175558981414</v>
      </c>
      <c r="AH50" s="34">
        <v>5.9043511179628281</v>
      </c>
      <c r="AI50" s="33">
        <v>4.920292598302356</v>
      </c>
      <c r="AJ50" s="33">
        <v>5.9043511179628281</v>
      </c>
      <c r="AK50" s="33">
        <v>3.4442048188116501</v>
      </c>
      <c r="AL50" s="34">
        <v>3.4442048188116501</v>
      </c>
      <c r="AM50" s="34">
        <v>1.476087779490707</v>
      </c>
      <c r="AN50" s="34">
        <v>2.460146299151178</v>
      </c>
      <c r="AO50" s="34">
        <v>1.476087779490707</v>
      </c>
      <c r="AP50" s="34">
        <v>14.760877794907071</v>
      </c>
      <c r="AQ50" s="34">
        <v>7.8724681572837696</v>
      </c>
      <c r="AR50" s="39"/>
    </row>
    <row r="51" spans="1:44" ht="19.5" customHeight="1">
      <c r="A51" s="64">
        <v>9</v>
      </c>
      <c r="B51" s="78" t="s">
        <v>1091</v>
      </c>
      <c r="C51" s="30" t="s">
        <v>230</v>
      </c>
      <c r="D51" s="78" t="s">
        <v>1092</v>
      </c>
      <c r="E51" s="30"/>
      <c r="F51" s="32">
        <v>133393.34605852631</v>
      </c>
      <c r="G51" s="32">
        <v>16233.062016270531</v>
      </c>
      <c r="H51" s="32">
        <v>149626.40807479681</v>
      </c>
      <c r="I51" s="33">
        <v>46.395658488686017</v>
      </c>
      <c r="J51" s="33">
        <v>46.395658488686017</v>
      </c>
      <c r="K51" s="34">
        <v>15.46521949622867</v>
      </c>
      <c r="L51" s="33">
        <v>24.744351193965869</v>
      </c>
      <c r="M51" s="34">
        <v>30.93043899245734</v>
      </c>
      <c r="N51" s="34">
        <v>18.558263395474409</v>
      </c>
      <c r="O51" s="33">
        <v>18.558263395474409</v>
      </c>
      <c r="P51" s="34">
        <v>37.116526790948811</v>
      </c>
      <c r="Q51" s="33">
        <v>30.93043899245734</v>
      </c>
      <c r="R51" s="33">
        <v>37.116526790948811</v>
      </c>
      <c r="S51" s="33">
        <v>21.651307294720141</v>
      </c>
      <c r="T51" s="34">
        <v>21.651307294720141</v>
      </c>
      <c r="U51" s="34">
        <v>9.2791316977372027</v>
      </c>
      <c r="V51" s="34">
        <v>15.46521949622867</v>
      </c>
      <c r="W51" s="34">
        <v>9.2791316977372027</v>
      </c>
      <c r="X51" s="34">
        <v>92.791316977372034</v>
      </c>
      <c r="Y51" s="34">
        <v>49.488702387931752</v>
      </c>
      <c r="Z51" s="54"/>
      <c r="AA51" s="33">
        <v>5.6460357565519539</v>
      </c>
      <c r="AB51" s="33">
        <v>5.6460357565519539</v>
      </c>
      <c r="AC51" s="34">
        <v>1.882011918850651</v>
      </c>
      <c r="AD51" s="33">
        <v>3.011219070161042</v>
      </c>
      <c r="AE51" s="34">
        <v>3.764023837701302</v>
      </c>
      <c r="AF51" s="34">
        <v>2.258414302620781</v>
      </c>
      <c r="AG51" s="33">
        <v>2.258414302620781</v>
      </c>
      <c r="AH51" s="34">
        <v>4.5168286052415629</v>
      </c>
      <c r="AI51" s="33">
        <v>3.764023837701302</v>
      </c>
      <c r="AJ51" s="33">
        <v>4.5168286052415629</v>
      </c>
      <c r="AK51" s="33">
        <v>2.6348166863909119</v>
      </c>
      <c r="AL51" s="34">
        <v>2.6348166863909119</v>
      </c>
      <c r="AM51" s="34">
        <v>1.129207151310391</v>
      </c>
      <c r="AN51" s="34">
        <v>1.882011918850651</v>
      </c>
      <c r="AO51" s="34">
        <v>1.129207151310391</v>
      </c>
      <c r="AP51" s="34">
        <v>11.29207151310391</v>
      </c>
      <c r="AQ51" s="34">
        <v>6.0224381403220839</v>
      </c>
      <c r="AR51" s="37"/>
    </row>
    <row r="52" spans="1:44" ht="19.5" customHeight="1">
      <c r="A52" s="51"/>
      <c r="B52" s="80" t="s">
        <v>1108</v>
      </c>
      <c r="C52" s="51" t="s">
        <v>185</v>
      </c>
      <c r="D52" s="80" t="s">
        <v>1113</v>
      </c>
      <c r="E52" s="51">
        <v>5</v>
      </c>
      <c r="F52" s="52">
        <v>471179.16815811838</v>
      </c>
      <c r="G52" s="52">
        <v>131911.9625632299</v>
      </c>
      <c r="H52" s="52">
        <v>603091.13072134834</v>
      </c>
      <c r="I52" s="53">
        <v>163.88124609495779</v>
      </c>
      <c r="J52" s="53">
        <v>163.88124609495779</v>
      </c>
      <c r="K52" s="54">
        <v>54.627082031652598</v>
      </c>
      <c r="L52" s="53">
        <v>87.403331250644172</v>
      </c>
      <c r="M52" s="54">
        <v>109.2541640633052</v>
      </c>
      <c r="N52" s="54">
        <v>65.552498437983132</v>
      </c>
      <c r="O52" s="53">
        <v>65.552498437983132</v>
      </c>
      <c r="P52" s="54">
        <v>131.10499687596629</v>
      </c>
      <c r="Q52" s="53">
        <v>109.2541640633052</v>
      </c>
      <c r="R52" s="53">
        <v>131.10499687596629</v>
      </c>
      <c r="S52" s="53">
        <v>76.477914844313645</v>
      </c>
      <c r="T52" s="54">
        <v>76.477914844313645</v>
      </c>
      <c r="U52" s="54">
        <v>32.776249218991573</v>
      </c>
      <c r="V52" s="54">
        <v>54.627082031652598</v>
      </c>
      <c r="W52" s="54">
        <v>32.776249218991573</v>
      </c>
      <c r="X52" s="54">
        <v>327.76249218991558</v>
      </c>
      <c r="Y52" s="54">
        <v>174.80666250128829</v>
      </c>
      <c r="Z52" s="54"/>
      <c r="AA52" s="53">
        <v>45.880417175911752</v>
      </c>
      <c r="AB52" s="53">
        <v>45.880417175911752</v>
      </c>
      <c r="AC52" s="54">
        <v>15.29347239197058</v>
      </c>
      <c r="AD52" s="53">
        <v>24.469555827152931</v>
      </c>
      <c r="AE52" s="54">
        <v>30.58694478394116</v>
      </c>
      <c r="AF52" s="54">
        <v>18.352166870364702</v>
      </c>
      <c r="AG52" s="53">
        <v>18.352166870364702</v>
      </c>
      <c r="AH52" s="54">
        <v>36.704333740729403</v>
      </c>
      <c r="AI52" s="53">
        <v>30.58694478394116</v>
      </c>
      <c r="AJ52" s="53">
        <v>36.704333740729403</v>
      </c>
      <c r="AK52" s="53">
        <v>21.410861348758811</v>
      </c>
      <c r="AL52" s="54">
        <v>21.410861348758811</v>
      </c>
      <c r="AM52" s="54">
        <v>9.176083435182349</v>
      </c>
      <c r="AN52" s="54">
        <v>15.29347239197058</v>
      </c>
      <c r="AO52" s="54">
        <v>9.176083435182349</v>
      </c>
      <c r="AP52" s="54">
        <v>91.76083435182349</v>
      </c>
      <c r="AQ52" s="54">
        <v>48.939111654305862</v>
      </c>
      <c r="AR52" s="37"/>
    </row>
    <row r="53" spans="1:44" ht="19.5" customHeight="1">
      <c r="A53" s="64">
        <f>A51+1</f>
        <v>10</v>
      </c>
      <c r="B53" s="81" t="s">
        <v>133</v>
      </c>
      <c r="C53" s="30" t="s">
        <v>94</v>
      </c>
      <c r="D53" s="78" t="s">
        <v>1146</v>
      </c>
      <c r="E53" s="30"/>
      <c r="F53" s="32">
        <v>30311.455033652699</v>
      </c>
      <c r="G53" s="32">
        <v>54549.222275393899</v>
      </c>
      <c r="H53" s="32">
        <v>84860.677309046601</v>
      </c>
      <c r="I53" s="33">
        <v>10.542654169717659</v>
      </c>
      <c r="J53" s="33">
        <v>10.542654169717659</v>
      </c>
      <c r="K53" s="34">
        <v>3.5142180565725538</v>
      </c>
      <c r="L53" s="33">
        <v>5.6227488905160872</v>
      </c>
      <c r="M53" s="34">
        <v>7.0284361131451094</v>
      </c>
      <c r="N53" s="34">
        <v>4.2170616678870658</v>
      </c>
      <c r="O53" s="33">
        <v>4.2170616678870658</v>
      </c>
      <c r="P53" s="34">
        <v>8.4341233357741316</v>
      </c>
      <c r="Q53" s="33">
        <v>7.0284361131451094</v>
      </c>
      <c r="R53" s="33">
        <v>8.4341233357741316</v>
      </c>
      <c r="S53" s="33">
        <v>4.9199052792015756</v>
      </c>
      <c r="T53" s="34">
        <v>4.9199052792015756</v>
      </c>
      <c r="U53" s="34">
        <v>2.1085308339435329</v>
      </c>
      <c r="V53" s="34">
        <v>3.5142180565725538</v>
      </c>
      <c r="W53" s="34">
        <v>2.1085308339435329</v>
      </c>
      <c r="X53" s="34">
        <v>21.085308339435329</v>
      </c>
      <c r="Y53" s="34">
        <v>11.245497781032171</v>
      </c>
      <c r="Z53" s="34"/>
      <c r="AA53" s="33">
        <v>18.972813579488371</v>
      </c>
      <c r="AB53" s="33">
        <v>18.972813579488371</v>
      </c>
      <c r="AC53" s="34">
        <v>6.3242711931627893</v>
      </c>
      <c r="AD53" s="33">
        <v>10.118833909060459</v>
      </c>
      <c r="AE53" s="34">
        <v>12.64854238632558</v>
      </c>
      <c r="AF53" s="34">
        <v>7.589125431795348</v>
      </c>
      <c r="AG53" s="33">
        <v>7.589125431795348</v>
      </c>
      <c r="AH53" s="34">
        <v>15.1782508635907</v>
      </c>
      <c r="AI53" s="33">
        <v>12.64854238632558</v>
      </c>
      <c r="AJ53" s="33">
        <v>15.1782508635907</v>
      </c>
      <c r="AK53" s="33">
        <v>8.8539796704279059</v>
      </c>
      <c r="AL53" s="34">
        <v>8.8539796704279059</v>
      </c>
      <c r="AM53" s="34">
        <v>3.794562715897674</v>
      </c>
      <c r="AN53" s="34">
        <v>6.3242711931627893</v>
      </c>
      <c r="AO53" s="34">
        <v>3.794562715897674</v>
      </c>
      <c r="AP53" s="34">
        <v>37.945627158976741</v>
      </c>
      <c r="AQ53" s="34">
        <v>20.237667818120929</v>
      </c>
      <c r="AR53" s="39"/>
    </row>
    <row r="54" spans="1:44" ht="19.5" customHeight="1">
      <c r="A54" s="64">
        <f t="shared" ref="A54:A56" si="1">A53+1</f>
        <v>11</v>
      </c>
      <c r="B54" s="78" t="s">
        <v>1167</v>
      </c>
      <c r="C54" s="30" t="s">
        <v>94</v>
      </c>
      <c r="D54" s="78" t="s">
        <v>1168</v>
      </c>
      <c r="E54" s="30"/>
      <c r="F54" s="32">
        <v>28932</v>
      </c>
      <c r="G54" s="32">
        <v>42439.377820315101</v>
      </c>
      <c r="H54" s="32">
        <v>71371.377820315101</v>
      </c>
      <c r="I54" s="33">
        <v>10.062864685962079</v>
      </c>
      <c r="J54" s="33">
        <v>10.062864685962079</v>
      </c>
      <c r="K54" s="34">
        <v>3.3542882286540281</v>
      </c>
      <c r="L54" s="33">
        <v>5.3668611658464451</v>
      </c>
      <c r="M54" s="34">
        <v>6.7085764573080553</v>
      </c>
      <c r="N54" s="34">
        <v>4.0251458743848341</v>
      </c>
      <c r="O54" s="33">
        <v>4.0251458743848341</v>
      </c>
      <c r="P54" s="34">
        <v>8.0502917487696681</v>
      </c>
      <c r="Q54" s="33">
        <v>6.7085764573080553</v>
      </c>
      <c r="R54" s="33">
        <v>8.0502917487696681</v>
      </c>
      <c r="S54" s="33">
        <v>4.6960035201156396</v>
      </c>
      <c r="T54" s="34">
        <v>4.6960035201156396</v>
      </c>
      <c r="U54" s="34">
        <v>2.012572937192417</v>
      </c>
      <c r="V54" s="34">
        <v>3.3542882286540281</v>
      </c>
      <c r="W54" s="34">
        <v>2.012572937192417</v>
      </c>
      <c r="X54" s="34">
        <v>20.125729371924169</v>
      </c>
      <c r="Y54" s="34">
        <v>10.73372233169289</v>
      </c>
      <c r="Z54" s="34"/>
      <c r="AA54" s="33">
        <v>14.760877794907071</v>
      </c>
      <c r="AB54" s="33">
        <v>14.760877794907071</v>
      </c>
      <c r="AC54" s="34">
        <v>4.920292598302356</v>
      </c>
      <c r="AD54" s="33">
        <v>7.8724681572837696</v>
      </c>
      <c r="AE54" s="34">
        <v>9.840585196604712</v>
      </c>
      <c r="AF54" s="34">
        <v>5.9043511179628281</v>
      </c>
      <c r="AG54" s="33">
        <v>5.9043511179628281</v>
      </c>
      <c r="AH54" s="34">
        <v>11.80870223592566</v>
      </c>
      <c r="AI54" s="33">
        <v>9.840585196604712</v>
      </c>
      <c r="AJ54" s="33">
        <v>11.80870223592566</v>
      </c>
      <c r="AK54" s="33">
        <v>6.8884096376232993</v>
      </c>
      <c r="AL54" s="34">
        <v>6.8884096376232993</v>
      </c>
      <c r="AM54" s="34">
        <v>2.952175558981414</v>
      </c>
      <c r="AN54" s="34">
        <v>4.920292598302356</v>
      </c>
      <c r="AO54" s="34">
        <v>2.952175558981414</v>
      </c>
      <c r="AP54" s="34">
        <v>29.521755589814141</v>
      </c>
      <c r="AQ54" s="34">
        <v>15.744936314567539</v>
      </c>
      <c r="AR54" s="39"/>
    </row>
    <row r="55" spans="1:44" ht="19.5" customHeight="1">
      <c r="A55" s="64">
        <f t="shared" si="1"/>
        <v>12</v>
      </c>
      <c r="B55" s="78" t="s">
        <v>1190</v>
      </c>
      <c r="C55" s="30" t="s">
        <v>94</v>
      </c>
      <c r="D55" s="78" t="s">
        <v>1191</v>
      </c>
      <c r="E55" s="30"/>
      <c r="F55" s="32">
        <v>110505.4930492767</v>
      </c>
      <c r="G55" s="32">
        <v>21219.688910157551</v>
      </c>
      <c r="H55" s="32">
        <v>131725.18195943421</v>
      </c>
      <c r="I55" s="33">
        <v>38.435013950310889</v>
      </c>
      <c r="J55" s="33">
        <v>38.435013950310889</v>
      </c>
      <c r="K55" s="34">
        <v>12.811671316770299</v>
      </c>
      <c r="L55" s="33">
        <v>20.498674106832471</v>
      </c>
      <c r="M55" s="34">
        <v>25.623342633540592</v>
      </c>
      <c r="N55" s="34">
        <v>15.37400558012436</v>
      </c>
      <c r="O55" s="33">
        <v>15.37400558012436</v>
      </c>
      <c r="P55" s="34">
        <v>30.748011160248719</v>
      </c>
      <c r="Q55" s="33">
        <v>25.623342633540592</v>
      </c>
      <c r="R55" s="33">
        <v>30.748011160248719</v>
      </c>
      <c r="S55" s="33">
        <v>17.936339843478411</v>
      </c>
      <c r="T55" s="34">
        <v>17.936339843478411</v>
      </c>
      <c r="U55" s="34">
        <v>7.6870027900621789</v>
      </c>
      <c r="V55" s="34">
        <v>12.811671316770299</v>
      </c>
      <c r="W55" s="34">
        <v>7.6870027900621789</v>
      </c>
      <c r="X55" s="34">
        <v>76.870027900621778</v>
      </c>
      <c r="Y55" s="34">
        <v>40.997348213664949</v>
      </c>
      <c r="Z55" s="34"/>
      <c r="AA55" s="33">
        <v>7.3804388974535353</v>
      </c>
      <c r="AB55" s="33">
        <v>7.3804388974535353</v>
      </c>
      <c r="AC55" s="34">
        <v>2.460146299151178</v>
      </c>
      <c r="AD55" s="33">
        <v>3.9362340786418848</v>
      </c>
      <c r="AE55" s="34">
        <v>4.920292598302356</v>
      </c>
      <c r="AF55" s="34">
        <v>2.952175558981414</v>
      </c>
      <c r="AG55" s="33">
        <v>2.952175558981414</v>
      </c>
      <c r="AH55" s="34">
        <v>5.9043511179628281</v>
      </c>
      <c r="AI55" s="33">
        <v>4.920292598302356</v>
      </c>
      <c r="AJ55" s="33">
        <v>5.9043511179628281</v>
      </c>
      <c r="AK55" s="33">
        <v>3.4442048188116501</v>
      </c>
      <c r="AL55" s="34">
        <v>3.4442048188116501</v>
      </c>
      <c r="AM55" s="34">
        <v>1.476087779490707</v>
      </c>
      <c r="AN55" s="34">
        <v>2.460146299151178</v>
      </c>
      <c r="AO55" s="34">
        <v>1.476087779490707</v>
      </c>
      <c r="AP55" s="34">
        <v>14.760877794907071</v>
      </c>
      <c r="AQ55" s="34">
        <v>7.8724681572837696</v>
      </c>
      <c r="AR55" s="39"/>
    </row>
    <row r="56" spans="1:44" ht="19.5" customHeight="1">
      <c r="A56" s="64">
        <f t="shared" si="1"/>
        <v>13</v>
      </c>
      <c r="B56" s="78" t="s">
        <v>1201</v>
      </c>
      <c r="C56" s="30" t="s">
        <v>94</v>
      </c>
      <c r="D56" s="78" t="s">
        <v>1203</v>
      </c>
      <c r="E56" s="30"/>
      <c r="F56" s="32">
        <v>110505.4930492767</v>
      </c>
      <c r="G56" s="32">
        <v>15914.766682618159</v>
      </c>
      <c r="H56" s="32">
        <v>126420.2597318948</v>
      </c>
      <c r="I56" s="33">
        <v>38.435013950310889</v>
      </c>
      <c r="J56" s="33">
        <v>38.435013950310889</v>
      </c>
      <c r="K56" s="34">
        <v>12.811671316770299</v>
      </c>
      <c r="L56" s="33">
        <v>20.498674106832471</v>
      </c>
      <c r="M56" s="34">
        <v>25.623342633540592</v>
      </c>
      <c r="N56" s="34">
        <v>15.37400558012436</v>
      </c>
      <c r="O56" s="33">
        <v>15.37400558012436</v>
      </c>
      <c r="P56" s="34">
        <v>30.748011160248719</v>
      </c>
      <c r="Q56" s="33">
        <v>25.623342633540592</v>
      </c>
      <c r="R56" s="33">
        <v>30.748011160248719</v>
      </c>
      <c r="S56" s="33">
        <v>17.936339843478411</v>
      </c>
      <c r="T56" s="34">
        <v>17.936339843478411</v>
      </c>
      <c r="U56" s="34">
        <v>7.6870027900621789</v>
      </c>
      <c r="V56" s="34">
        <v>12.811671316770299</v>
      </c>
      <c r="W56" s="34">
        <v>7.6870027900621789</v>
      </c>
      <c r="X56" s="34">
        <v>76.870027900621778</v>
      </c>
      <c r="Y56" s="34">
        <v>40.997348213664949</v>
      </c>
      <c r="Z56" s="34"/>
      <c r="AA56" s="33">
        <v>5.535329173090151</v>
      </c>
      <c r="AB56" s="33">
        <v>5.535329173090151</v>
      </c>
      <c r="AC56" s="34">
        <v>1.8451097243633841</v>
      </c>
      <c r="AD56" s="33">
        <v>2.952175558981414</v>
      </c>
      <c r="AE56" s="34">
        <v>3.6902194487267672</v>
      </c>
      <c r="AF56" s="34">
        <v>2.21413166923606</v>
      </c>
      <c r="AG56" s="33">
        <v>2.21413166923606</v>
      </c>
      <c r="AH56" s="34">
        <v>4.4282633384721208</v>
      </c>
      <c r="AI56" s="33">
        <v>3.6902194487267672</v>
      </c>
      <c r="AJ56" s="33">
        <v>4.4282633384721208</v>
      </c>
      <c r="AK56" s="33">
        <v>2.583153614108737</v>
      </c>
      <c r="AL56" s="34">
        <v>2.583153614108737</v>
      </c>
      <c r="AM56" s="34">
        <v>1.10706583461803</v>
      </c>
      <c r="AN56" s="34">
        <v>1.8451097243633841</v>
      </c>
      <c r="AO56" s="34">
        <v>1.10706583461803</v>
      </c>
      <c r="AP56" s="34">
        <v>11.0706583461803</v>
      </c>
      <c r="AQ56" s="34">
        <v>5.9043511179628281</v>
      </c>
      <c r="AR56" s="39"/>
    </row>
    <row r="57" spans="1:44" ht="19.5" customHeight="1">
      <c r="A57" s="83"/>
      <c r="B57" s="76" t="s">
        <v>1220</v>
      </c>
      <c r="C57" s="51" t="s">
        <v>997</v>
      </c>
      <c r="D57" s="63" t="s">
        <v>1223</v>
      </c>
      <c r="E57" s="51">
        <v>4</v>
      </c>
      <c r="F57" s="52">
        <v>280254.441132206</v>
      </c>
      <c r="G57" s="52">
        <v>134123.05568848469</v>
      </c>
      <c r="H57" s="52">
        <v>414377.49682069069</v>
      </c>
      <c r="I57" s="53">
        <v>97.475546756301526</v>
      </c>
      <c r="J57" s="53">
        <v>97.475546756301526</v>
      </c>
      <c r="K57" s="54">
        <v>32.491848918767168</v>
      </c>
      <c r="L57" s="53">
        <v>51.986958270027479</v>
      </c>
      <c r="M57" s="54">
        <v>64.983697837534336</v>
      </c>
      <c r="N57" s="54">
        <v>38.990218702520608</v>
      </c>
      <c r="O57" s="53">
        <v>38.990218702520608</v>
      </c>
      <c r="P57" s="54">
        <v>77.980437405041215</v>
      </c>
      <c r="Q57" s="53">
        <v>64.983697837534336</v>
      </c>
      <c r="R57" s="53">
        <v>77.980437405041215</v>
      </c>
      <c r="S57" s="53">
        <v>45.488588486274047</v>
      </c>
      <c r="T57" s="54">
        <v>45.488588486274047</v>
      </c>
      <c r="U57" s="54">
        <v>19.4951093512603</v>
      </c>
      <c r="V57" s="54">
        <v>32.491848918767168</v>
      </c>
      <c r="W57" s="54">
        <v>19.4951093512603</v>
      </c>
      <c r="X57" s="54">
        <v>194.95109351260311</v>
      </c>
      <c r="Y57" s="54">
        <v>103.973916540055</v>
      </c>
      <c r="Z57" s="54"/>
      <c r="AA57" s="53">
        <v>46.649459444939133</v>
      </c>
      <c r="AB57" s="53">
        <v>46.649459444939133</v>
      </c>
      <c r="AC57" s="54">
        <v>15.54981981497971</v>
      </c>
      <c r="AD57" s="53">
        <v>24.87971170396753</v>
      </c>
      <c r="AE57" s="54">
        <v>31.09963962995942</v>
      </c>
      <c r="AF57" s="54">
        <v>18.659783777975651</v>
      </c>
      <c r="AG57" s="53">
        <v>18.659783777975651</v>
      </c>
      <c r="AH57" s="54">
        <v>37.319567555951302</v>
      </c>
      <c r="AI57" s="53">
        <v>31.09963962995942</v>
      </c>
      <c r="AJ57" s="53">
        <v>37.319567555951302</v>
      </c>
      <c r="AK57" s="53">
        <v>21.769747740971589</v>
      </c>
      <c r="AL57" s="54">
        <v>21.769747740971589</v>
      </c>
      <c r="AM57" s="54">
        <v>9.3298918889878255</v>
      </c>
      <c r="AN57" s="54">
        <v>15.54981981497971</v>
      </c>
      <c r="AO57" s="54">
        <v>9.3298918889878255</v>
      </c>
      <c r="AP57" s="54">
        <v>93.298918889878252</v>
      </c>
      <c r="AQ57" s="54">
        <v>49.759423407935067</v>
      </c>
      <c r="AR57" s="37"/>
    </row>
    <row r="58" spans="1:44" ht="19.5" customHeight="1">
      <c r="A58" s="64">
        <f>A56+1</f>
        <v>14</v>
      </c>
      <c r="B58" s="16" t="s">
        <v>1242</v>
      </c>
      <c r="C58" s="30" t="s">
        <v>94</v>
      </c>
      <c r="D58" s="56" t="s">
        <v>1245</v>
      </c>
      <c r="E58" s="30"/>
      <c r="F58" s="32">
        <v>100000</v>
      </c>
      <c r="G58" s="32">
        <v>11027.4213434346</v>
      </c>
      <c r="H58" s="32">
        <v>111027.4213434346</v>
      </c>
      <c r="I58" s="33">
        <v>34.781089056968348</v>
      </c>
      <c r="J58" s="33">
        <v>34.781089056968348</v>
      </c>
      <c r="K58" s="34">
        <v>11.59369635232278</v>
      </c>
      <c r="L58" s="33">
        <v>18.549914163716451</v>
      </c>
      <c r="M58" s="34">
        <v>23.187392704645561</v>
      </c>
      <c r="N58" s="34">
        <v>13.91243562278734</v>
      </c>
      <c r="O58" s="33">
        <v>13.91243562278734</v>
      </c>
      <c r="P58" s="34">
        <v>27.824871245574681</v>
      </c>
      <c r="Q58" s="33">
        <v>23.187392704645561</v>
      </c>
      <c r="R58" s="33">
        <v>27.824871245574681</v>
      </c>
      <c r="S58" s="33">
        <v>16.2311748932519</v>
      </c>
      <c r="T58" s="34">
        <v>16.2311748932519</v>
      </c>
      <c r="U58" s="34">
        <v>6.9562178113936701</v>
      </c>
      <c r="V58" s="34">
        <v>11.59369635232278</v>
      </c>
      <c r="W58" s="34">
        <v>6.9562178113936701</v>
      </c>
      <c r="X58" s="34">
        <v>69.562178113936696</v>
      </c>
      <c r="Y58" s="34">
        <v>37.09982832743291</v>
      </c>
      <c r="Z58" s="34"/>
      <c r="AA58" s="33">
        <v>3.835457238147125</v>
      </c>
      <c r="AB58" s="33">
        <v>3.835457238147125</v>
      </c>
      <c r="AC58" s="34">
        <v>1.2784857460490411</v>
      </c>
      <c r="AD58" s="33">
        <v>2.0455771936784659</v>
      </c>
      <c r="AE58" s="34">
        <v>2.5569714920980831</v>
      </c>
      <c r="AF58" s="34">
        <v>1.5341828952588501</v>
      </c>
      <c r="AG58" s="33">
        <v>1.5341828952588501</v>
      </c>
      <c r="AH58" s="34">
        <v>3.0683657905177002</v>
      </c>
      <c r="AI58" s="33">
        <v>2.5569714920980831</v>
      </c>
      <c r="AJ58" s="33">
        <v>3.0683657905177002</v>
      </c>
      <c r="AK58" s="33">
        <v>1.789880044468658</v>
      </c>
      <c r="AL58" s="34">
        <v>1.789880044468658</v>
      </c>
      <c r="AM58" s="34">
        <v>0.76709144762942494</v>
      </c>
      <c r="AN58" s="34">
        <v>1.2784857460490411</v>
      </c>
      <c r="AO58" s="34">
        <v>0.76709144762942494</v>
      </c>
      <c r="AP58" s="34">
        <v>7.6709144762942492</v>
      </c>
      <c r="AQ58" s="34">
        <v>4.0911543873569327</v>
      </c>
      <c r="AR58" s="39"/>
    </row>
    <row r="59" spans="1:44" ht="19.5" customHeight="1">
      <c r="A59" s="64">
        <f t="shared" ref="A59:A60" si="2">A58+1</f>
        <v>15</v>
      </c>
      <c r="B59" s="16" t="s">
        <v>1268</v>
      </c>
      <c r="C59" s="79" t="s">
        <v>94</v>
      </c>
      <c r="D59" s="56" t="s">
        <v>1269</v>
      </c>
      <c r="E59" s="30"/>
      <c r="F59" s="32">
        <v>120723.20884092709</v>
      </c>
      <c r="G59" s="32">
        <v>10822.04134418035</v>
      </c>
      <c r="H59" s="32">
        <v>131545.25018510749</v>
      </c>
      <c r="I59" s="33">
        <v>41.988846779392759</v>
      </c>
      <c r="J59" s="33">
        <v>41.988846779392759</v>
      </c>
      <c r="K59" s="34">
        <v>13.99628225979759</v>
      </c>
      <c r="L59" s="33">
        <v>22.39405161567614</v>
      </c>
      <c r="M59" s="34">
        <v>27.99256451959517</v>
      </c>
      <c r="N59" s="34">
        <v>16.7955387117571</v>
      </c>
      <c r="O59" s="33">
        <v>16.7955387117571</v>
      </c>
      <c r="P59" s="34">
        <v>33.591077423514207</v>
      </c>
      <c r="Q59" s="33">
        <v>27.99256451959517</v>
      </c>
      <c r="R59" s="33">
        <v>33.591077423514207</v>
      </c>
      <c r="S59" s="33">
        <v>19.594795163716618</v>
      </c>
      <c r="T59" s="34">
        <v>19.594795163716618</v>
      </c>
      <c r="U59" s="34">
        <v>8.3977693558785518</v>
      </c>
      <c r="V59" s="34">
        <v>13.99628225979759</v>
      </c>
      <c r="W59" s="34">
        <v>8.3977693558785518</v>
      </c>
      <c r="X59" s="34">
        <v>83.977693558785518</v>
      </c>
      <c r="Y59" s="34">
        <v>44.788103231352281</v>
      </c>
      <c r="Z59" s="34"/>
      <c r="AA59" s="33">
        <v>3.7640238377013029</v>
      </c>
      <c r="AB59" s="33">
        <v>3.7640238377013029</v>
      </c>
      <c r="AC59" s="34">
        <v>1.2546746125671011</v>
      </c>
      <c r="AD59" s="33">
        <v>2.007479380107362</v>
      </c>
      <c r="AE59" s="34">
        <v>2.5093492251342022</v>
      </c>
      <c r="AF59" s="34">
        <v>1.505609535080521</v>
      </c>
      <c r="AG59" s="33">
        <v>1.505609535080521</v>
      </c>
      <c r="AH59" s="34">
        <v>3.011219070161042</v>
      </c>
      <c r="AI59" s="33">
        <v>2.5093492251342022</v>
      </c>
      <c r="AJ59" s="33">
        <v>3.011219070161042</v>
      </c>
      <c r="AK59" s="33">
        <v>1.756544457593942</v>
      </c>
      <c r="AL59" s="34">
        <v>1.756544457593942</v>
      </c>
      <c r="AM59" s="34">
        <v>0.7528047675402606</v>
      </c>
      <c r="AN59" s="34">
        <v>1.2546746125671011</v>
      </c>
      <c r="AO59" s="34">
        <v>0.7528047675402606</v>
      </c>
      <c r="AP59" s="34">
        <v>7.5280476754026058</v>
      </c>
      <c r="AQ59" s="34">
        <v>4.0149587602147232</v>
      </c>
      <c r="AR59" s="39"/>
    </row>
    <row r="60" spans="1:44" ht="19.5" customHeight="1">
      <c r="A60" s="64">
        <f t="shared" si="2"/>
        <v>16</v>
      </c>
      <c r="B60" s="16" t="s">
        <v>1288</v>
      </c>
      <c r="C60" s="79" t="s">
        <v>930</v>
      </c>
      <c r="D60" s="56" t="s">
        <v>1290</v>
      </c>
      <c r="E60" s="30"/>
      <c r="F60" s="32">
        <v>66303.295829566006</v>
      </c>
      <c r="G60" s="32">
        <v>13009.844455078801</v>
      </c>
      <c r="H60" s="32">
        <v>79313.140284644804</v>
      </c>
      <c r="I60" s="33">
        <v>23.061008370186538</v>
      </c>
      <c r="J60" s="33">
        <v>23.061008370186538</v>
      </c>
      <c r="K60" s="34">
        <v>7.6870027900621789</v>
      </c>
      <c r="L60" s="33">
        <v>12.299204464099491</v>
      </c>
      <c r="M60" s="34">
        <v>15.37400558012436</v>
      </c>
      <c r="N60" s="34">
        <v>9.224403348074615</v>
      </c>
      <c r="O60" s="33">
        <v>9.224403348074615</v>
      </c>
      <c r="P60" s="34">
        <v>18.44880669614923</v>
      </c>
      <c r="Q60" s="33">
        <v>15.37400558012436</v>
      </c>
      <c r="R60" s="33">
        <v>18.44880669614923</v>
      </c>
      <c r="S60" s="33">
        <v>10.761803906087049</v>
      </c>
      <c r="T60" s="34">
        <v>10.761803906087049</v>
      </c>
      <c r="U60" s="34">
        <v>4.6122016740373084</v>
      </c>
      <c r="V60" s="34">
        <v>7.6870027900621789</v>
      </c>
      <c r="W60" s="34">
        <v>4.6122016740373084</v>
      </c>
      <c r="X60" s="34">
        <v>46.122016740373077</v>
      </c>
      <c r="Y60" s="34">
        <v>24.598408928198971</v>
      </c>
      <c r="Z60" s="34"/>
      <c r="AA60" s="33">
        <v>4.5249655860940168</v>
      </c>
      <c r="AB60" s="33">
        <v>4.5249655860940168</v>
      </c>
      <c r="AC60" s="34">
        <v>1.508321862031339</v>
      </c>
      <c r="AD60" s="33">
        <v>2.413314979250142</v>
      </c>
      <c r="AE60" s="34">
        <v>3.016643724062678</v>
      </c>
      <c r="AF60" s="34">
        <v>1.809986234437607</v>
      </c>
      <c r="AG60" s="33">
        <v>1.809986234437607</v>
      </c>
      <c r="AH60" s="34">
        <v>3.619972468875214</v>
      </c>
      <c r="AI60" s="33">
        <v>3.016643724062678</v>
      </c>
      <c r="AJ60" s="33">
        <v>3.619972468875214</v>
      </c>
      <c r="AK60" s="33">
        <v>2.1116506068438752</v>
      </c>
      <c r="AL60" s="34">
        <v>2.1116506068438752</v>
      </c>
      <c r="AM60" s="34">
        <v>0.90499311721880349</v>
      </c>
      <c r="AN60" s="34">
        <v>1.508321862031339</v>
      </c>
      <c r="AO60" s="34">
        <v>0.90499311721880349</v>
      </c>
      <c r="AP60" s="34">
        <v>9.0499311721880336</v>
      </c>
      <c r="AQ60" s="34">
        <v>4.826629958500285</v>
      </c>
      <c r="AR60" s="39"/>
    </row>
    <row r="61" spans="1:44" ht="19.5" customHeight="1">
      <c r="A61" s="51"/>
      <c r="B61" s="76" t="s">
        <v>133</v>
      </c>
      <c r="C61" s="51" t="s">
        <v>389</v>
      </c>
      <c r="D61" s="63" t="s">
        <v>1304</v>
      </c>
      <c r="E61" s="51">
        <v>3</v>
      </c>
      <c r="F61" s="84">
        <v>287026.50467049307</v>
      </c>
      <c r="G61" s="84">
        <v>34859.307142693753</v>
      </c>
      <c r="H61" s="84">
        <v>321885.81181318691</v>
      </c>
      <c r="I61" s="53">
        <v>99.830944206547642</v>
      </c>
      <c r="J61" s="53">
        <v>99.830944206547642</v>
      </c>
      <c r="K61" s="54">
        <v>33.276981402182543</v>
      </c>
      <c r="L61" s="53">
        <v>53.243170243492067</v>
      </c>
      <c r="M61" s="54">
        <v>66.553962804365085</v>
      </c>
      <c r="N61" s="54">
        <v>39.932377682619062</v>
      </c>
      <c r="O61" s="53">
        <v>39.932377682619062</v>
      </c>
      <c r="P61" s="54">
        <v>79.864755365238111</v>
      </c>
      <c r="Q61" s="53">
        <v>66.553962804365085</v>
      </c>
      <c r="R61" s="53">
        <v>79.864755365238111</v>
      </c>
      <c r="S61" s="53">
        <v>46.587773963055568</v>
      </c>
      <c r="T61" s="54">
        <v>46.587773963055568</v>
      </c>
      <c r="U61" s="54">
        <v>19.966188841309531</v>
      </c>
      <c r="V61" s="54">
        <v>33.276981402182543</v>
      </c>
      <c r="W61" s="54">
        <v>19.966188841309531</v>
      </c>
      <c r="X61" s="54">
        <v>199.66188841309531</v>
      </c>
      <c r="Y61" s="54">
        <v>106.4863404869841</v>
      </c>
      <c r="Z61" s="34"/>
      <c r="AA61" s="33">
        <v>12.124446661942439</v>
      </c>
      <c r="AB61" s="33">
        <v>12.124446661942439</v>
      </c>
      <c r="AC61" s="34">
        <v>4.041482220647481</v>
      </c>
      <c r="AD61" s="33">
        <v>6.4663715530359704</v>
      </c>
      <c r="AE61" s="34">
        <v>8.0829644412949619</v>
      </c>
      <c r="AF61" s="34">
        <v>4.8497786647769781</v>
      </c>
      <c r="AG61" s="33">
        <v>4.8497786647769781</v>
      </c>
      <c r="AH61" s="34">
        <v>9.6995573295539561</v>
      </c>
      <c r="AI61" s="33">
        <v>8.0829644412949619</v>
      </c>
      <c r="AJ61" s="33">
        <v>9.6995573295539561</v>
      </c>
      <c r="AK61" s="33">
        <v>5.6580751089064742</v>
      </c>
      <c r="AL61" s="34">
        <v>5.6580751089064742</v>
      </c>
      <c r="AM61" s="34">
        <v>2.424889332388489</v>
      </c>
      <c r="AN61" s="34">
        <v>4.041482220647481</v>
      </c>
      <c r="AO61" s="34">
        <v>2.424889332388489</v>
      </c>
      <c r="AP61" s="34">
        <v>24.248893323884889</v>
      </c>
      <c r="AQ61" s="34">
        <v>12.932743106071941</v>
      </c>
      <c r="AR61" s="39"/>
    </row>
    <row r="62" spans="1:44" ht="19.5" customHeight="1">
      <c r="A62" s="64">
        <f>A60+1</f>
        <v>17</v>
      </c>
      <c r="B62" s="16" t="s">
        <v>1326</v>
      </c>
      <c r="C62" s="30" t="s">
        <v>94</v>
      </c>
      <c r="D62" s="56" t="s">
        <v>1329</v>
      </c>
      <c r="E62" s="30"/>
      <c r="F62" s="32">
        <v>110505.4930492767</v>
      </c>
      <c r="G62" s="32">
        <v>16233.062016270531</v>
      </c>
      <c r="H62" s="32">
        <v>126738.5550655472</v>
      </c>
      <c r="I62" s="33">
        <v>38.435013950310889</v>
      </c>
      <c r="J62" s="33">
        <v>38.435013950310889</v>
      </c>
      <c r="K62" s="34">
        <v>12.811671316770299</v>
      </c>
      <c r="L62" s="33">
        <v>20.498674106832471</v>
      </c>
      <c r="M62" s="34">
        <v>25.623342633540592</v>
      </c>
      <c r="N62" s="34">
        <v>15.37400558012436</v>
      </c>
      <c r="O62" s="33">
        <v>15.37400558012436</v>
      </c>
      <c r="P62" s="34">
        <v>30.748011160248719</v>
      </c>
      <c r="Q62" s="33">
        <v>25.623342633540592</v>
      </c>
      <c r="R62" s="33">
        <v>30.748011160248719</v>
      </c>
      <c r="S62" s="33">
        <v>17.936339843478411</v>
      </c>
      <c r="T62" s="34">
        <v>17.936339843478411</v>
      </c>
      <c r="U62" s="34">
        <v>7.6870027900621789</v>
      </c>
      <c r="V62" s="34">
        <v>12.811671316770299</v>
      </c>
      <c r="W62" s="34">
        <v>7.6870027900621789</v>
      </c>
      <c r="X62" s="34">
        <v>76.870027900621778</v>
      </c>
      <c r="Y62" s="34">
        <v>40.997348213664949</v>
      </c>
      <c r="Z62" s="34"/>
      <c r="AA62" s="33">
        <v>5.6460357565519539</v>
      </c>
      <c r="AB62" s="33">
        <v>5.6460357565519539</v>
      </c>
      <c r="AC62" s="34">
        <v>1.882011918850651</v>
      </c>
      <c r="AD62" s="33">
        <v>3.011219070161042</v>
      </c>
      <c r="AE62" s="34">
        <v>3.764023837701302</v>
      </c>
      <c r="AF62" s="34">
        <v>2.258414302620781</v>
      </c>
      <c r="AG62" s="33">
        <v>2.258414302620781</v>
      </c>
      <c r="AH62" s="34">
        <v>4.5168286052415629</v>
      </c>
      <c r="AI62" s="33">
        <v>3.764023837701302</v>
      </c>
      <c r="AJ62" s="33">
        <v>4.5168286052415629</v>
      </c>
      <c r="AK62" s="33">
        <v>2.6348166863909119</v>
      </c>
      <c r="AL62" s="34">
        <v>2.6348166863909119</v>
      </c>
      <c r="AM62" s="34">
        <v>1.129207151310391</v>
      </c>
      <c r="AN62" s="34">
        <v>1.882011918850651</v>
      </c>
      <c r="AO62" s="34">
        <v>1.129207151310391</v>
      </c>
      <c r="AP62" s="34">
        <v>11.29207151310391</v>
      </c>
      <c r="AQ62" s="34">
        <v>6.0224381403220839</v>
      </c>
      <c r="AR62" s="39"/>
    </row>
    <row r="63" spans="1:44" ht="19.5" customHeight="1">
      <c r="A63" s="64">
        <f t="shared" ref="A63:A66" si="3">A62+1</f>
        <v>18</v>
      </c>
      <c r="B63" s="56" t="s">
        <v>1349</v>
      </c>
      <c r="C63" s="30" t="s">
        <v>94</v>
      </c>
      <c r="D63" s="56" t="s">
        <v>1350</v>
      </c>
      <c r="E63" s="30"/>
      <c r="F63" s="32">
        <v>100000</v>
      </c>
      <c r="G63" s="32">
        <v>22293.405169011519</v>
      </c>
      <c r="H63" s="32">
        <v>122293.4051690115</v>
      </c>
      <c r="I63" s="33">
        <v>34.781089056968348</v>
      </c>
      <c r="J63" s="33">
        <v>34.781089056968348</v>
      </c>
      <c r="K63" s="34">
        <v>11.59369635232278</v>
      </c>
      <c r="L63" s="33">
        <v>18.549914163716451</v>
      </c>
      <c r="M63" s="34">
        <v>23.187392704645561</v>
      </c>
      <c r="N63" s="34">
        <v>13.91243562278734</v>
      </c>
      <c r="O63" s="33">
        <v>13.91243562278734</v>
      </c>
      <c r="P63" s="34">
        <v>27.824871245574681</v>
      </c>
      <c r="Q63" s="33">
        <v>23.187392704645561</v>
      </c>
      <c r="R63" s="33">
        <v>27.824871245574681</v>
      </c>
      <c r="S63" s="33">
        <v>16.2311748932519</v>
      </c>
      <c r="T63" s="34">
        <v>16.2311748932519</v>
      </c>
      <c r="U63" s="34">
        <v>6.9562178113936701</v>
      </c>
      <c r="V63" s="34">
        <v>11.59369635232278</v>
      </c>
      <c r="W63" s="34">
        <v>6.9562178113936701</v>
      </c>
      <c r="X63" s="34">
        <v>69.562178113936696</v>
      </c>
      <c r="Y63" s="34">
        <v>37.09982832743291</v>
      </c>
      <c r="Z63" s="34"/>
      <c r="AA63" s="33">
        <v>7.7538891056646833</v>
      </c>
      <c r="AB63" s="33">
        <v>7.7538891056646833</v>
      </c>
      <c r="AC63" s="34">
        <v>2.584629701888228</v>
      </c>
      <c r="AD63" s="33">
        <v>4.1354075230211649</v>
      </c>
      <c r="AE63" s="34">
        <v>5.1692594037764552</v>
      </c>
      <c r="AF63" s="34">
        <v>3.1015556422658741</v>
      </c>
      <c r="AG63" s="33">
        <v>3.1015556422658741</v>
      </c>
      <c r="AH63" s="34">
        <v>6.2031112845317473</v>
      </c>
      <c r="AI63" s="33">
        <v>5.1692594037764552</v>
      </c>
      <c r="AJ63" s="33">
        <v>6.2031112845317473</v>
      </c>
      <c r="AK63" s="33">
        <v>3.6184815826435188</v>
      </c>
      <c r="AL63" s="34">
        <v>3.6184815826435188</v>
      </c>
      <c r="AM63" s="34">
        <v>1.5507778211329371</v>
      </c>
      <c r="AN63" s="34">
        <v>2.584629701888228</v>
      </c>
      <c r="AO63" s="34">
        <v>1.5507778211329371</v>
      </c>
      <c r="AP63" s="34">
        <v>15.50777821132937</v>
      </c>
      <c r="AQ63" s="34">
        <v>8.2708150460423298</v>
      </c>
      <c r="AR63" s="39"/>
    </row>
    <row r="64" spans="1:44" ht="19.5" customHeight="1">
      <c r="A64" s="64">
        <f t="shared" si="3"/>
        <v>19</v>
      </c>
      <c r="B64" s="81" t="s">
        <v>133</v>
      </c>
      <c r="C64" s="30" t="s">
        <v>94</v>
      </c>
      <c r="D64" s="56" t="s">
        <v>1359</v>
      </c>
      <c r="E64" s="30"/>
      <c r="F64" s="32">
        <v>60000</v>
      </c>
      <c r="G64" s="32">
        <v>10822.04134418035</v>
      </c>
      <c r="H64" s="32">
        <v>70822.041344180354</v>
      </c>
      <c r="I64" s="33">
        <v>20.868653434181009</v>
      </c>
      <c r="J64" s="33">
        <v>20.868653434181009</v>
      </c>
      <c r="K64" s="34">
        <v>6.9562178113936701</v>
      </c>
      <c r="L64" s="33">
        <v>11.12994849822987</v>
      </c>
      <c r="M64" s="34">
        <v>13.91243562278734</v>
      </c>
      <c r="N64" s="34">
        <v>8.3474613736724059</v>
      </c>
      <c r="O64" s="33">
        <v>8.3474613736724059</v>
      </c>
      <c r="P64" s="34">
        <v>16.694922747344808</v>
      </c>
      <c r="Q64" s="33">
        <v>13.91243562278734</v>
      </c>
      <c r="R64" s="33">
        <v>16.694922747344808</v>
      </c>
      <c r="S64" s="33">
        <v>9.7387049359511391</v>
      </c>
      <c r="T64" s="34">
        <v>9.7387049359511391</v>
      </c>
      <c r="U64" s="34">
        <v>4.173730686836203</v>
      </c>
      <c r="V64" s="34">
        <v>6.9562178113936701</v>
      </c>
      <c r="W64" s="34">
        <v>4.173730686836203</v>
      </c>
      <c r="X64" s="34">
        <v>41.737306868362033</v>
      </c>
      <c r="Y64" s="34">
        <v>22.259896996459752</v>
      </c>
      <c r="Z64" s="34"/>
      <c r="AA64" s="33">
        <v>3.7640238377013029</v>
      </c>
      <c r="AB64" s="33">
        <v>3.7640238377013029</v>
      </c>
      <c r="AC64" s="34">
        <v>1.2546746125671011</v>
      </c>
      <c r="AD64" s="33">
        <v>2.007479380107362</v>
      </c>
      <c r="AE64" s="34">
        <v>2.5093492251342022</v>
      </c>
      <c r="AF64" s="34">
        <v>1.505609535080521</v>
      </c>
      <c r="AG64" s="33">
        <v>1.505609535080521</v>
      </c>
      <c r="AH64" s="34">
        <v>3.011219070161042</v>
      </c>
      <c r="AI64" s="33">
        <v>2.5093492251342022</v>
      </c>
      <c r="AJ64" s="33">
        <v>3.011219070161042</v>
      </c>
      <c r="AK64" s="33">
        <v>1.756544457593942</v>
      </c>
      <c r="AL64" s="34">
        <v>1.756544457593942</v>
      </c>
      <c r="AM64" s="34">
        <v>0.7528047675402606</v>
      </c>
      <c r="AN64" s="34">
        <v>1.2546746125671011</v>
      </c>
      <c r="AO64" s="34">
        <v>0.7528047675402606</v>
      </c>
      <c r="AP64" s="34">
        <v>7.5280476754026058</v>
      </c>
      <c r="AQ64" s="34">
        <v>4.0149587602147232</v>
      </c>
      <c r="AR64" s="39"/>
    </row>
    <row r="65" spans="1:44" ht="19.5" customHeight="1">
      <c r="A65" s="64">
        <f t="shared" si="3"/>
        <v>20</v>
      </c>
      <c r="B65" s="56" t="s">
        <v>1368</v>
      </c>
      <c r="C65" s="30" t="s">
        <v>1369</v>
      </c>
      <c r="D65" s="56" t="s">
        <v>1371</v>
      </c>
      <c r="E65" s="30"/>
      <c r="F65" s="32">
        <v>66303.295829566006</v>
      </c>
      <c r="G65" s="32">
        <v>10609.844455078781</v>
      </c>
      <c r="H65" s="32">
        <v>76913.140284644789</v>
      </c>
      <c r="I65" s="33">
        <v>23.061008370186538</v>
      </c>
      <c r="J65" s="33">
        <v>23.061008370186538</v>
      </c>
      <c r="K65" s="34">
        <v>7.6870027900621789</v>
      </c>
      <c r="L65" s="33">
        <v>12.299204464099491</v>
      </c>
      <c r="M65" s="34">
        <v>15.37400558012436</v>
      </c>
      <c r="N65" s="34">
        <v>9.224403348074615</v>
      </c>
      <c r="O65" s="33">
        <v>9.224403348074615</v>
      </c>
      <c r="P65" s="34">
        <v>18.44880669614923</v>
      </c>
      <c r="Q65" s="33">
        <v>15.37400558012436</v>
      </c>
      <c r="R65" s="33">
        <v>18.44880669614923</v>
      </c>
      <c r="S65" s="33">
        <v>10.761803906087049</v>
      </c>
      <c r="T65" s="34">
        <v>10.761803906087049</v>
      </c>
      <c r="U65" s="34">
        <v>4.6122016740373084</v>
      </c>
      <c r="V65" s="34">
        <v>7.6870027900621789</v>
      </c>
      <c r="W65" s="34">
        <v>4.6122016740373084</v>
      </c>
      <c r="X65" s="34">
        <v>46.122016740373077</v>
      </c>
      <c r="Y65" s="34">
        <v>24.598408928198971</v>
      </c>
      <c r="Z65" s="54"/>
      <c r="AA65" s="33">
        <v>3.6902194487267681</v>
      </c>
      <c r="AB65" s="33">
        <v>3.6902194487267681</v>
      </c>
      <c r="AC65" s="34">
        <v>1.230073149575589</v>
      </c>
      <c r="AD65" s="33">
        <v>1.9681170393209431</v>
      </c>
      <c r="AE65" s="34">
        <v>2.460146299151178</v>
      </c>
      <c r="AF65" s="34">
        <v>1.476087779490707</v>
      </c>
      <c r="AG65" s="33">
        <v>1.476087779490707</v>
      </c>
      <c r="AH65" s="34">
        <v>2.952175558981414</v>
      </c>
      <c r="AI65" s="33">
        <v>2.460146299151178</v>
      </c>
      <c r="AJ65" s="33">
        <v>2.952175558981414</v>
      </c>
      <c r="AK65" s="33">
        <v>1.722102409405825</v>
      </c>
      <c r="AL65" s="34">
        <v>1.722102409405825</v>
      </c>
      <c r="AM65" s="34">
        <v>0.73804388974535351</v>
      </c>
      <c r="AN65" s="34">
        <v>1.230073149575589</v>
      </c>
      <c r="AO65" s="34">
        <v>0.73804388974535351</v>
      </c>
      <c r="AP65" s="34">
        <v>7.3804388974535353</v>
      </c>
      <c r="AQ65" s="34">
        <v>3.9362340786418848</v>
      </c>
      <c r="AR65" s="37"/>
    </row>
    <row r="66" spans="1:44" ht="19.5" customHeight="1">
      <c r="A66" s="64">
        <f t="shared" si="3"/>
        <v>21</v>
      </c>
      <c r="B66" s="16" t="s">
        <v>1382</v>
      </c>
      <c r="C66" s="30" t="s">
        <v>230</v>
      </c>
      <c r="D66" s="56" t="s">
        <v>1383</v>
      </c>
      <c r="E66" s="30"/>
      <c r="F66" s="32">
        <v>133393.34605852631</v>
      </c>
      <c r="G66" s="32">
        <v>21644.082688360701</v>
      </c>
      <c r="H66" s="32">
        <v>155037.42874688699</v>
      </c>
      <c r="I66" s="33">
        <v>46.395658488686017</v>
      </c>
      <c r="J66" s="33">
        <v>46.395658488686017</v>
      </c>
      <c r="K66" s="34">
        <v>15.46521949622867</v>
      </c>
      <c r="L66" s="33">
        <v>24.744351193965869</v>
      </c>
      <c r="M66" s="34">
        <v>30.93043899245734</v>
      </c>
      <c r="N66" s="34">
        <v>18.558263395474409</v>
      </c>
      <c r="O66" s="33">
        <v>18.558263395474409</v>
      </c>
      <c r="P66" s="34">
        <v>37.116526790948811</v>
      </c>
      <c r="Q66" s="33">
        <v>30.93043899245734</v>
      </c>
      <c r="R66" s="33">
        <v>37.116526790948811</v>
      </c>
      <c r="S66" s="33">
        <v>21.651307294720141</v>
      </c>
      <c r="T66" s="34">
        <v>21.651307294720141</v>
      </c>
      <c r="U66" s="34">
        <v>9.2791316977372027</v>
      </c>
      <c r="V66" s="34">
        <v>15.46521949622867</v>
      </c>
      <c r="W66" s="34">
        <v>9.2791316977372027</v>
      </c>
      <c r="X66" s="34">
        <v>92.791316977372034</v>
      </c>
      <c r="Y66" s="34">
        <v>49.488702387931752</v>
      </c>
      <c r="Z66" s="34"/>
      <c r="AA66" s="33">
        <v>7.5280476754026058</v>
      </c>
      <c r="AB66" s="33">
        <v>7.5280476754026058</v>
      </c>
      <c r="AC66" s="34">
        <v>2.5093492251342022</v>
      </c>
      <c r="AD66" s="33">
        <v>4.0149587602147232</v>
      </c>
      <c r="AE66" s="34">
        <v>5.0186984502684044</v>
      </c>
      <c r="AF66" s="34">
        <v>3.011219070161042</v>
      </c>
      <c r="AG66" s="33">
        <v>3.011219070161042</v>
      </c>
      <c r="AH66" s="34">
        <v>6.0224381403220848</v>
      </c>
      <c r="AI66" s="33">
        <v>5.0186984502684044</v>
      </c>
      <c r="AJ66" s="33">
        <v>6.0224381403220848</v>
      </c>
      <c r="AK66" s="33">
        <v>3.513088915187883</v>
      </c>
      <c r="AL66" s="34">
        <v>3.513088915187883</v>
      </c>
      <c r="AM66" s="34">
        <v>1.505609535080521</v>
      </c>
      <c r="AN66" s="34">
        <v>2.5093492251342022</v>
      </c>
      <c r="AO66" s="34">
        <v>1.505609535080521</v>
      </c>
      <c r="AP66" s="34">
        <v>15.05609535080521</v>
      </c>
      <c r="AQ66" s="34">
        <v>8.0299175204294464</v>
      </c>
      <c r="AR66" s="39"/>
    </row>
    <row r="67" spans="1:44" ht="19.5" customHeight="1">
      <c r="A67" s="51"/>
      <c r="B67" s="76" t="s">
        <v>133</v>
      </c>
      <c r="C67" s="51" t="s">
        <v>389</v>
      </c>
      <c r="D67" s="63" t="s">
        <v>1391</v>
      </c>
      <c r="E67" s="51">
        <v>5</v>
      </c>
      <c r="F67" s="84">
        <v>470202.13493736892</v>
      </c>
      <c r="G67" s="84">
        <v>81602.435672901876</v>
      </c>
      <c r="H67" s="84">
        <v>551804.57061027084</v>
      </c>
      <c r="I67" s="53">
        <v>163.54142330033281</v>
      </c>
      <c r="J67" s="53">
        <v>163.54142330033281</v>
      </c>
      <c r="K67" s="54">
        <v>54.513807766777589</v>
      </c>
      <c r="L67" s="53">
        <v>87.222092426844156</v>
      </c>
      <c r="M67" s="54">
        <v>109.02761553355521</v>
      </c>
      <c r="N67" s="54">
        <v>65.416569320133121</v>
      </c>
      <c r="O67" s="53">
        <v>65.416569320133121</v>
      </c>
      <c r="P67" s="54">
        <v>130.83313864026621</v>
      </c>
      <c r="Q67" s="53">
        <v>109.02761553355521</v>
      </c>
      <c r="R67" s="53">
        <v>130.83313864026621</v>
      </c>
      <c r="S67" s="53">
        <v>76.319330873488639</v>
      </c>
      <c r="T67" s="54">
        <v>76.319330873488639</v>
      </c>
      <c r="U67" s="54">
        <v>32.70828466006656</v>
      </c>
      <c r="V67" s="54">
        <v>54.513807766777589</v>
      </c>
      <c r="W67" s="54">
        <v>32.70828466006656</v>
      </c>
      <c r="X67" s="54">
        <v>327.08284660066562</v>
      </c>
      <c r="Y67" s="54">
        <v>174.44418485368831</v>
      </c>
      <c r="Z67" s="34"/>
      <c r="AA67" s="33">
        <v>28.382215824047311</v>
      </c>
      <c r="AB67" s="33">
        <v>28.382215824047311</v>
      </c>
      <c r="AC67" s="34">
        <v>9.4607386080157703</v>
      </c>
      <c r="AD67" s="33">
        <v>15.13718177282523</v>
      </c>
      <c r="AE67" s="34">
        <v>18.921477216031541</v>
      </c>
      <c r="AF67" s="34">
        <v>11.352886329618929</v>
      </c>
      <c r="AG67" s="33">
        <v>11.352886329618929</v>
      </c>
      <c r="AH67" s="34">
        <v>22.705772659237851</v>
      </c>
      <c r="AI67" s="33">
        <v>18.921477216031541</v>
      </c>
      <c r="AJ67" s="33">
        <v>22.705772659237851</v>
      </c>
      <c r="AK67" s="33">
        <v>13.245034051222079</v>
      </c>
      <c r="AL67" s="34">
        <v>13.245034051222079</v>
      </c>
      <c r="AM67" s="34">
        <v>5.6764431648094629</v>
      </c>
      <c r="AN67" s="34">
        <v>9.4607386080157703</v>
      </c>
      <c r="AO67" s="34">
        <v>5.6764431648094629</v>
      </c>
      <c r="AP67" s="34">
        <v>56.764431648094629</v>
      </c>
      <c r="AQ67" s="34">
        <v>30.27436354565047</v>
      </c>
      <c r="AR67" s="39"/>
    </row>
    <row r="68" spans="1:44" ht="19.5" customHeight="1">
      <c r="A68" s="85"/>
      <c r="B68" s="86" t="s">
        <v>133</v>
      </c>
      <c r="C68" s="85" t="s">
        <v>389</v>
      </c>
      <c r="D68" s="87" t="s">
        <v>1391</v>
      </c>
      <c r="E68" s="85">
        <f>E67+E61</f>
        <v>8</v>
      </c>
      <c r="F68" s="88">
        <v>757228.6396078621</v>
      </c>
      <c r="G68" s="88">
        <v>116461.7428155956</v>
      </c>
      <c r="H68" s="88">
        <v>873690.38242345769</v>
      </c>
      <c r="I68" s="53">
        <v>263.37236750688049</v>
      </c>
      <c r="J68" s="53">
        <v>263.37236750688049</v>
      </c>
      <c r="K68" s="54">
        <v>87.790789168960146</v>
      </c>
      <c r="L68" s="53">
        <v>140.46526267033619</v>
      </c>
      <c r="M68" s="54">
        <v>175.58157833792029</v>
      </c>
      <c r="N68" s="54">
        <v>105.3489470027522</v>
      </c>
      <c r="O68" s="53">
        <v>105.3489470027522</v>
      </c>
      <c r="P68" s="54">
        <v>210.69789400550439</v>
      </c>
      <c r="Q68" s="53">
        <v>175.58157833792029</v>
      </c>
      <c r="R68" s="53">
        <v>210.69789400550439</v>
      </c>
      <c r="S68" s="53">
        <v>122.90710483654421</v>
      </c>
      <c r="T68" s="54">
        <v>122.90710483654421</v>
      </c>
      <c r="U68" s="54">
        <v>52.674473501376099</v>
      </c>
      <c r="V68" s="54">
        <v>87.790789168960146</v>
      </c>
      <c r="W68" s="54">
        <v>52.674473501376099</v>
      </c>
      <c r="X68" s="54">
        <v>526.74473501376099</v>
      </c>
      <c r="Y68" s="54">
        <v>280.93052534067249</v>
      </c>
      <c r="Z68" s="54"/>
      <c r="AA68" s="53">
        <v>40.506662485989757</v>
      </c>
      <c r="AB68" s="53">
        <v>40.506662485989757</v>
      </c>
      <c r="AC68" s="54">
        <v>13.502220828663249</v>
      </c>
      <c r="AD68" s="53">
        <v>21.60355332586121</v>
      </c>
      <c r="AE68" s="54">
        <v>27.004441657326499</v>
      </c>
      <c r="AF68" s="54">
        <v>16.202664994395899</v>
      </c>
      <c r="AG68" s="53">
        <v>16.202664994395899</v>
      </c>
      <c r="AH68" s="54">
        <v>32.405329988791813</v>
      </c>
      <c r="AI68" s="53">
        <v>27.004441657326499</v>
      </c>
      <c r="AJ68" s="53">
        <v>32.405329988791813</v>
      </c>
      <c r="AK68" s="53">
        <v>18.903109160128551</v>
      </c>
      <c r="AL68" s="54">
        <v>18.903109160128551</v>
      </c>
      <c r="AM68" s="54">
        <v>8.1013324971979515</v>
      </c>
      <c r="AN68" s="54">
        <v>13.502220828663249</v>
      </c>
      <c r="AO68" s="54">
        <v>8.1013324971979515</v>
      </c>
      <c r="AP68" s="54">
        <v>81.013324971979515</v>
      </c>
      <c r="AQ68" s="54">
        <v>43.207106651722412</v>
      </c>
      <c r="AR68" s="48"/>
    </row>
    <row r="69" spans="1:44" ht="19.5" customHeight="1">
      <c r="A69" s="64">
        <f>A66+1</f>
        <v>22</v>
      </c>
      <c r="B69" s="78" t="s">
        <v>1424</v>
      </c>
      <c r="C69" s="79" t="s">
        <v>230</v>
      </c>
      <c r="D69" s="56" t="s">
        <v>1425</v>
      </c>
      <c r="E69" s="30"/>
      <c r="F69" s="32">
        <v>128476.9759128241</v>
      </c>
      <c r="G69" s="32">
        <v>27055.103360450881</v>
      </c>
      <c r="H69" s="32">
        <v>155532.07927327501</v>
      </c>
      <c r="I69" s="33">
        <v>44.685691409939118</v>
      </c>
      <c r="J69" s="33">
        <v>44.685691409939118</v>
      </c>
      <c r="K69" s="34">
        <v>14.895230469979699</v>
      </c>
      <c r="L69" s="33">
        <v>23.832368751967529</v>
      </c>
      <c r="M69" s="34">
        <v>29.790460939959409</v>
      </c>
      <c r="N69" s="34">
        <v>17.874276563975648</v>
      </c>
      <c r="O69" s="33">
        <v>17.874276563975648</v>
      </c>
      <c r="P69" s="34">
        <v>35.748553127951297</v>
      </c>
      <c r="Q69" s="33">
        <v>29.790460939959409</v>
      </c>
      <c r="R69" s="33">
        <v>35.748553127951297</v>
      </c>
      <c r="S69" s="33">
        <v>20.853322657971589</v>
      </c>
      <c r="T69" s="34">
        <v>20.853322657971589</v>
      </c>
      <c r="U69" s="34">
        <v>8.9371382819878242</v>
      </c>
      <c r="V69" s="34">
        <v>14.895230469979699</v>
      </c>
      <c r="W69" s="34">
        <v>8.9371382819878242</v>
      </c>
      <c r="X69" s="34">
        <v>89.371382819878249</v>
      </c>
      <c r="Y69" s="34">
        <v>47.664737503935058</v>
      </c>
      <c r="Z69" s="34"/>
      <c r="AA69" s="33">
        <v>9.4100595942532586</v>
      </c>
      <c r="AB69" s="33">
        <v>9.4100595942532586</v>
      </c>
      <c r="AC69" s="34">
        <v>3.136686531417753</v>
      </c>
      <c r="AD69" s="33">
        <v>5.0186984502684053</v>
      </c>
      <c r="AE69" s="34">
        <v>6.2733730628355051</v>
      </c>
      <c r="AF69" s="34">
        <v>3.7640238377013042</v>
      </c>
      <c r="AG69" s="33">
        <v>3.7640238377013042</v>
      </c>
      <c r="AH69" s="34">
        <v>7.5280476754026084</v>
      </c>
      <c r="AI69" s="33">
        <v>6.2733730628355051</v>
      </c>
      <c r="AJ69" s="33">
        <v>7.5280476754026084</v>
      </c>
      <c r="AK69" s="33">
        <v>4.3913611439848541</v>
      </c>
      <c r="AL69" s="34">
        <v>4.3913611439848541</v>
      </c>
      <c r="AM69" s="34">
        <v>1.8820119188506521</v>
      </c>
      <c r="AN69" s="34">
        <v>3.136686531417753</v>
      </c>
      <c r="AO69" s="34">
        <v>1.8820119188506521</v>
      </c>
      <c r="AP69" s="34">
        <v>18.820119188506521</v>
      </c>
      <c r="AQ69" s="34">
        <v>10.037396900536811</v>
      </c>
      <c r="AR69" s="39"/>
    </row>
    <row r="70" spans="1:44" ht="19.5" customHeight="1">
      <c r="A70" s="64">
        <f t="shared" ref="A70:A72" si="4">A69+1</f>
        <v>23</v>
      </c>
      <c r="B70" s="78" t="s">
        <v>1437</v>
      </c>
      <c r="C70" s="26" t="s">
        <v>94</v>
      </c>
      <c r="D70" s="56" t="s">
        <v>1439</v>
      </c>
      <c r="E70" s="30"/>
      <c r="F70" s="32">
        <v>116974</v>
      </c>
      <c r="G70" s="32">
        <v>27771.26786116869</v>
      </c>
      <c r="H70" s="32">
        <v>144745.26786116869</v>
      </c>
      <c r="I70" s="33">
        <v>40.684831113498163</v>
      </c>
      <c r="J70" s="33">
        <v>40.684831113498163</v>
      </c>
      <c r="K70" s="34">
        <v>13.561610371166051</v>
      </c>
      <c r="L70" s="33">
        <v>21.698576593865681</v>
      </c>
      <c r="M70" s="34">
        <v>27.123220742332109</v>
      </c>
      <c r="N70" s="34">
        <v>16.273932445399261</v>
      </c>
      <c r="O70" s="33">
        <v>16.273932445399261</v>
      </c>
      <c r="P70" s="34">
        <v>32.547864890798529</v>
      </c>
      <c r="Q70" s="33">
        <v>27.123220742332109</v>
      </c>
      <c r="R70" s="33">
        <v>32.547864890798529</v>
      </c>
      <c r="S70" s="33">
        <v>18.986254519632471</v>
      </c>
      <c r="T70" s="34">
        <v>18.986254519632471</v>
      </c>
      <c r="U70" s="34">
        <v>8.1369662226996322</v>
      </c>
      <c r="V70" s="34">
        <v>13.561610371166051</v>
      </c>
      <c r="W70" s="34">
        <v>8.1369662226996322</v>
      </c>
      <c r="X70" s="34">
        <v>81.369662226996326</v>
      </c>
      <c r="Y70" s="34">
        <v>43.397153187731369</v>
      </c>
      <c r="Z70" s="34"/>
      <c r="AA70" s="33">
        <v>9.6591494070423138</v>
      </c>
      <c r="AB70" s="33">
        <v>9.6591494070423138</v>
      </c>
      <c r="AC70" s="34">
        <v>3.219716469014104</v>
      </c>
      <c r="AD70" s="33">
        <v>5.1515463504225671</v>
      </c>
      <c r="AE70" s="34">
        <v>6.439432938028208</v>
      </c>
      <c r="AF70" s="34">
        <v>3.8636597628169249</v>
      </c>
      <c r="AG70" s="33">
        <v>3.8636597628169249</v>
      </c>
      <c r="AH70" s="34">
        <v>7.7273195256338507</v>
      </c>
      <c r="AI70" s="33">
        <v>6.439432938028208</v>
      </c>
      <c r="AJ70" s="33">
        <v>7.7273195256338507</v>
      </c>
      <c r="AK70" s="33">
        <v>4.5076030566197458</v>
      </c>
      <c r="AL70" s="34">
        <v>4.5076030566197458</v>
      </c>
      <c r="AM70" s="34">
        <v>1.9318298814084629</v>
      </c>
      <c r="AN70" s="34">
        <v>3.219716469014104</v>
      </c>
      <c r="AO70" s="34">
        <v>1.9318298814084629</v>
      </c>
      <c r="AP70" s="34">
        <v>19.318298814084631</v>
      </c>
      <c r="AQ70" s="34">
        <v>10.303092700845131</v>
      </c>
      <c r="AR70" s="39"/>
    </row>
    <row r="71" spans="1:44" ht="19.5" customHeight="1">
      <c r="A71" s="64">
        <f t="shared" si="4"/>
        <v>24</v>
      </c>
      <c r="B71" s="78" t="s">
        <v>1452</v>
      </c>
      <c r="C71" s="79" t="s">
        <v>230</v>
      </c>
      <c r="D71" s="56" t="s">
        <v>1453</v>
      </c>
      <c r="E71" s="30"/>
      <c r="F71" s="32">
        <v>120723.20884092709</v>
      </c>
      <c r="G71" s="32">
        <v>27055.103360450881</v>
      </c>
      <c r="H71" s="32">
        <v>147778.31220137799</v>
      </c>
      <c r="I71" s="33">
        <v>41.988846779392759</v>
      </c>
      <c r="J71" s="33">
        <v>41.988846779392759</v>
      </c>
      <c r="K71" s="34">
        <v>13.99628225979759</v>
      </c>
      <c r="L71" s="33">
        <v>22.39405161567614</v>
      </c>
      <c r="M71" s="34">
        <v>27.99256451959517</v>
      </c>
      <c r="N71" s="34">
        <v>16.7955387117571</v>
      </c>
      <c r="O71" s="33">
        <v>16.7955387117571</v>
      </c>
      <c r="P71" s="34">
        <v>33.591077423514207</v>
      </c>
      <c r="Q71" s="33">
        <v>27.99256451959517</v>
      </c>
      <c r="R71" s="33">
        <v>33.591077423514207</v>
      </c>
      <c r="S71" s="33">
        <v>19.594795163716618</v>
      </c>
      <c r="T71" s="34">
        <v>19.594795163716618</v>
      </c>
      <c r="U71" s="34">
        <v>8.3977693558785518</v>
      </c>
      <c r="V71" s="34">
        <v>13.99628225979759</v>
      </c>
      <c r="W71" s="34">
        <v>8.3977693558785518</v>
      </c>
      <c r="X71" s="34">
        <v>83.977693558785518</v>
      </c>
      <c r="Y71" s="34">
        <v>44.788103231352281</v>
      </c>
      <c r="Z71" s="34"/>
      <c r="AA71" s="33">
        <v>9.4100595942532586</v>
      </c>
      <c r="AB71" s="33">
        <v>9.4100595942532586</v>
      </c>
      <c r="AC71" s="34">
        <v>3.136686531417753</v>
      </c>
      <c r="AD71" s="33">
        <v>5.0186984502684053</v>
      </c>
      <c r="AE71" s="34">
        <v>6.2733730628355051</v>
      </c>
      <c r="AF71" s="34">
        <v>3.7640238377013042</v>
      </c>
      <c r="AG71" s="33">
        <v>3.7640238377013042</v>
      </c>
      <c r="AH71" s="34">
        <v>7.5280476754026084</v>
      </c>
      <c r="AI71" s="33">
        <v>6.2733730628355051</v>
      </c>
      <c r="AJ71" s="33">
        <v>7.5280476754026084</v>
      </c>
      <c r="AK71" s="33">
        <v>4.3913611439848541</v>
      </c>
      <c r="AL71" s="34">
        <v>4.3913611439848541</v>
      </c>
      <c r="AM71" s="34">
        <v>1.8820119188506521</v>
      </c>
      <c r="AN71" s="34">
        <v>3.136686531417753</v>
      </c>
      <c r="AO71" s="34">
        <v>1.8820119188506521</v>
      </c>
      <c r="AP71" s="34">
        <v>18.820119188506521</v>
      </c>
      <c r="AQ71" s="34">
        <v>10.037396900536811</v>
      </c>
      <c r="AR71" s="39"/>
    </row>
    <row r="72" spans="1:44" ht="19.5" customHeight="1">
      <c r="A72" s="64">
        <f t="shared" si="4"/>
        <v>25</v>
      </c>
      <c r="B72" s="78" t="s">
        <v>1464</v>
      </c>
      <c r="C72" s="26" t="s">
        <v>94</v>
      </c>
      <c r="D72" s="56" t="s">
        <v>1466</v>
      </c>
      <c r="E72" s="30"/>
      <c r="F72" s="32">
        <v>110505.4930492767</v>
      </c>
      <c r="G72" s="32">
        <v>21219.688910157551</v>
      </c>
      <c r="H72" s="32">
        <v>131725.18195943421</v>
      </c>
      <c r="I72" s="33">
        <v>38.435013950310889</v>
      </c>
      <c r="J72" s="33">
        <v>38.435013950310889</v>
      </c>
      <c r="K72" s="34">
        <v>12.811671316770299</v>
      </c>
      <c r="L72" s="33">
        <v>20.498674106832471</v>
      </c>
      <c r="M72" s="34">
        <v>25.623342633540592</v>
      </c>
      <c r="N72" s="34">
        <v>15.37400558012436</v>
      </c>
      <c r="O72" s="33">
        <v>15.37400558012436</v>
      </c>
      <c r="P72" s="34">
        <v>30.748011160248719</v>
      </c>
      <c r="Q72" s="33">
        <v>25.623342633540592</v>
      </c>
      <c r="R72" s="33">
        <v>30.748011160248719</v>
      </c>
      <c r="S72" s="33">
        <v>17.936339843478411</v>
      </c>
      <c r="T72" s="34">
        <v>17.936339843478411</v>
      </c>
      <c r="U72" s="34">
        <v>7.6870027900621789</v>
      </c>
      <c r="V72" s="34">
        <v>12.811671316770299</v>
      </c>
      <c r="W72" s="34">
        <v>7.6870027900621789</v>
      </c>
      <c r="X72" s="34">
        <v>76.870027900621778</v>
      </c>
      <c r="Y72" s="34">
        <v>40.997348213664949</v>
      </c>
      <c r="Z72" s="34"/>
      <c r="AA72" s="33">
        <v>7.3804388974535353</v>
      </c>
      <c r="AB72" s="33">
        <v>7.3804388974535353</v>
      </c>
      <c r="AC72" s="34">
        <v>2.460146299151178</v>
      </c>
      <c r="AD72" s="33">
        <v>3.9362340786418848</v>
      </c>
      <c r="AE72" s="34">
        <v>4.920292598302356</v>
      </c>
      <c r="AF72" s="34">
        <v>2.952175558981414</v>
      </c>
      <c r="AG72" s="33">
        <v>2.952175558981414</v>
      </c>
      <c r="AH72" s="34">
        <v>5.9043511179628281</v>
      </c>
      <c r="AI72" s="33">
        <v>4.920292598302356</v>
      </c>
      <c r="AJ72" s="33">
        <v>5.9043511179628281</v>
      </c>
      <c r="AK72" s="33">
        <v>3.4442048188116501</v>
      </c>
      <c r="AL72" s="34">
        <v>3.4442048188116501</v>
      </c>
      <c r="AM72" s="34">
        <v>1.476087779490707</v>
      </c>
      <c r="AN72" s="34">
        <v>2.460146299151178</v>
      </c>
      <c r="AO72" s="34">
        <v>1.476087779490707</v>
      </c>
      <c r="AP72" s="34">
        <v>14.760877794907071</v>
      </c>
      <c r="AQ72" s="34">
        <v>7.8724681572837696</v>
      </c>
      <c r="AR72" s="39"/>
    </row>
    <row r="73" spans="1:44" ht="19.5" customHeight="1">
      <c r="A73" s="83"/>
      <c r="B73" s="80" t="s">
        <v>1475</v>
      </c>
      <c r="C73" s="89" t="s">
        <v>389</v>
      </c>
      <c r="D73" s="63" t="s">
        <v>1476</v>
      </c>
      <c r="E73" s="51">
        <v>4</v>
      </c>
      <c r="F73" s="52">
        <v>476679.67780302791</v>
      </c>
      <c r="G73" s="52">
        <v>103101.16349222801</v>
      </c>
      <c r="H73" s="52">
        <v>579780.84129525593</v>
      </c>
      <c r="I73" s="53">
        <v>165.79438325314089</v>
      </c>
      <c r="J73" s="53">
        <v>165.79438325314089</v>
      </c>
      <c r="K73" s="54">
        <v>55.264794417713652</v>
      </c>
      <c r="L73" s="53">
        <v>88.423671068341832</v>
      </c>
      <c r="M73" s="54">
        <v>110.5295888354273</v>
      </c>
      <c r="N73" s="54">
        <v>66.317753301256388</v>
      </c>
      <c r="O73" s="53">
        <v>66.317753301256388</v>
      </c>
      <c r="P73" s="54">
        <v>132.63550660251281</v>
      </c>
      <c r="Q73" s="53">
        <v>110.5295888354273</v>
      </c>
      <c r="R73" s="53">
        <v>132.63550660251281</v>
      </c>
      <c r="S73" s="53">
        <v>77.370712184799103</v>
      </c>
      <c r="T73" s="54">
        <v>77.370712184799103</v>
      </c>
      <c r="U73" s="54">
        <v>33.158876650628187</v>
      </c>
      <c r="V73" s="54">
        <v>55.264794417713652</v>
      </c>
      <c r="W73" s="54">
        <v>33.158876650628187</v>
      </c>
      <c r="X73" s="54">
        <v>331.5887665062819</v>
      </c>
      <c r="Y73" s="54">
        <v>176.84734213668369</v>
      </c>
      <c r="Z73" s="54"/>
      <c r="AA73" s="53">
        <v>35.859707493002368</v>
      </c>
      <c r="AB73" s="53">
        <v>35.859707493002368</v>
      </c>
      <c r="AC73" s="54">
        <v>11.953235831000789</v>
      </c>
      <c r="AD73" s="53">
        <v>19.125177329601261</v>
      </c>
      <c r="AE73" s="54">
        <v>23.906471662001579</v>
      </c>
      <c r="AF73" s="54">
        <v>14.34388299720095</v>
      </c>
      <c r="AG73" s="53">
        <v>14.34388299720095</v>
      </c>
      <c r="AH73" s="54">
        <v>28.687765994401889</v>
      </c>
      <c r="AI73" s="53">
        <v>23.906471662001579</v>
      </c>
      <c r="AJ73" s="53">
        <v>28.687765994401889</v>
      </c>
      <c r="AK73" s="53">
        <v>16.7345301634011</v>
      </c>
      <c r="AL73" s="54">
        <v>16.7345301634011</v>
      </c>
      <c r="AM73" s="54">
        <v>7.1719414986004733</v>
      </c>
      <c r="AN73" s="54">
        <v>11.953235831000789</v>
      </c>
      <c r="AO73" s="54">
        <v>7.1719414986004733</v>
      </c>
      <c r="AP73" s="54">
        <v>71.719414986004736</v>
      </c>
      <c r="AQ73" s="54">
        <v>38.250354659202522</v>
      </c>
      <c r="AR73" s="37"/>
    </row>
    <row r="74" spans="1:44" ht="19.5" customHeight="1">
      <c r="A74" s="64">
        <f>A72+1</f>
        <v>26</v>
      </c>
      <c r="B74" s="81" t="s">
        <v>133</v>
      </c>
      <c r="C74" s="30" t="s">
        <v>94</v>
      </c>
      <c r="D74" s="78" t="s">
        <v>1493</v>
      </c>
      <c r="E74" s="30">
        <v>1</v>
      </c>
      <c r="F74" s="32">
        <v>14931.75124810478</v>
      </c>
      <c r="G74" s="32">
        <v>15914.766682618159</v>
      </c>
      <c r="H74" s="32">
        <v>30846.517930722941</v>
      </c>
      <c r="I74" s="33">
        <v>5.1934256993683068</v>
      </c>
      <c r="J74" s="33">
        <v>5.1934256993683068</v>
      </c>
      <c r="K74" s="34">
        <v>1.731141899789435</v>
      </c>
      <c r="L74" s="33">
        <v>2.7698270396630971</v>
      </c>
      <c r="M74" s="34">
        <v>3.46228379957887</v>
      </c>
      <c r="N74" s="34">
        <v>2.0773702797473228</v>
      </c>
      <c r="O74" s="33">
        <v>2.0773702797473228</v>
      </c>
      <c r="P74" s="34">
        <v>4.1547405594946456</v>
      </c>
      <c r="Q74" s="33">
        <v>3.46228379957887</v>
      </c>
      <c r="R74" s="33">
        <v>4.1547405594946456</v>
      </c>
      <c r="S74" s="33">
        <v>2.4235986597052102</v>
      </c>
      <c r="T74" s="34">
        <v>2.4235986597052102</v>
      </c>
      <c r="U74" s="34">
        <v>1.038685139873661</v>
      </c>
      <c r="V74" s="34">
        <v>1.731141899789435</v>
      </c>
      <c r="W74" s="34">
        <v>1.038685139873661</v>
      </c>
      <c r="X74" s="34">
        <v>10.38685139873661</v>
      </c>
      <c r="Y74" s="34">
        <v>5.5396540793261932</v>
      </c>
      <c r="Z74" s="34"/>
      <c r="AA74" s="33">
        <v>5.535329173090151</v>
      </c>
      <c r="AB74" s="33">
        <v>5.535329173090151</v>
      </c>
      <c r="AC74" s="34">
        <v>1.8451097243633841</v>
      </c>
      <c r="AD74" s="33">
        <v>2.952175558981414</v>
      </c>
      <c r="AE74" s="34">
        <v>3.6902194487267672</v>
      </c>
      <c r="AF74" s="34">
        <v>2.21413166923606</v>
      </c>
      <c r="AG74" s="33">
        <v>2.21413166923606</v>
      </c>
      <c r="AH74" s="34">
        <v>4.4282633384721208</v>
      </c>
      <c r="AI74" s="33">
        <v>3.6902194487267672</v>
      </c>
      <c r="AJ74" s="33">
        <v>4.4282633384721208</v>
      </c>
      <c r="AK74" s="33">
        <v>2.583153614108737</v>
      </c>
      <c r="AL74" s="34">
        <v>2.583153614108737</v>
      </c>
      <c r="AM74" s="34">
        <v>1.10706583461803</v>
      </c>
      <c r="AN74" s="34">
        <v>1.8451097243633841</v>
      </c>
      <c r="AO74" s="34">
        <v>1.10706583461803</v>
      </c>
      <c r="AP74" s="34">
        <v>11.0706583461803</v>
      </c>
      <c r="AQ74" s="34">
        <v>5.9043511179628281</v>
      </c>
      <c r="AR74" s="39"/>
    </row>
    <row r="75" spans="1:44" ht="19.5" customHeight="1">
      <c r="A75" s="90"/>
      <c r="B75" s="91" t="s">
        <v>1505</v>
      </c>
      <c r="C75" s="92" t="s">
        <v>1506</v>
      </c>
      <c r="D75" s="93" t="s">
        <v>1510</v>
      </c>
      <c r="E75" s="67">
        <f>E74+E73+E68+E57+E52+E46</f>
        <v>26</v>
      </c>
      <c r="F75" s="68">
        <v>2235933.6779493191</v>
      </c>
      <c r="G75" s="68">
        <v>630373.07909596968</v>
      </c>
      <c r="H75" s="68">
        <v>2866306.757045289</v>
      </c>
      <c r="I75" s="94">
        <v>777.68208378230077</v>
      </c>
      <c r="J75" s="94">
        <v>777.68208378230077</v>
      </c>
      <c r="K75" s="95">
        <v>259.22736126076688</v>
      </c>
      <c r="L75" s="94">
        <v>414.76377801722703</v>
      </c>
      <c r="M75" s="95">
        <v>518.45472252153377</v>
      </c>
      <c r="N75" s="95">
        <v>311.07283351292028</v>
      </c>
      <c r="O75" s="94">
        <v>311.07283351292028</v>
      </c>
      <c r="P75" s="95">
        <v>622.14566702584057</v>
      </c>
      <c r="Q75" s="94">
        <v>518.45472252153377</v>
      </c>
      <c r="R75" s="94">
        <v>622.14566702584057</v>
      </c>
      <c r="S75" s="94">
        <v>362.91830576507368</v>
      </c>
      <c r="T75" s="95">
        <v>362.91830576507368</v>
      </c>
      <c r="U75" s="95">
        <v>155.53641675646011</v>
      </c>
      <c r="V75" s="95">
        <v>259.22736126076688</v>
      </c>
      <c r="W75" s="95">
        <v>155.53641675646011</v>
      </c>
      <c r="X75" s="95">
        <v>1555.364167564602</v>
      </c>
      <c r="Y75" s="95">
        <v>829.52755603445405</v>
      </c>
      <c r="Z75" s="96"/>
      <c r="AA75" s="94">
        <v>219.25062203152279</v>
      </c>
      <c r="AB75" s="94">
        <v>219.25062203152279</v>
      </c>
      <c r="AC75" s="95">
        <v>73.083540677174241</v>
      </c>
      <c r="AD75" s="94">
        <v>116.9336650834788</v>
      </c>
      <c r="AE75" s="95">
        <v>146.16708135434851</v>
      </c>
      <c r="AF75" s="95">
        <v>87.700248812609104</v>
      </c>
      <c r="AG75" s="94">
        <v>87.700248812609104</v>
      </c>
      <c r="AH75" s="95">
        <v>175.40049762521821</v>
      </c>
      <c r="AI75" s="94">
        <v>146.16708135434851</v>
      </c>
      <c r="AJ75" s="94">
        <v>175.40049762521821</v>
      </c>
      <c r="AK75" s="94">
        <v>102.31695694804399</v>
      </c>
      <c r="AL75" s="95">
        <v>102.31695694804399</v>
      </c>
      <c r="AM75" s="95">
        <v>43.850124406304552</v>
      </c>
      <c r="AN75" s="95">
        <v>73.083540677174241</v>
      </c>
      <c r="AO75" s="95">
        <v>43.850124406304552</v>
      </c>
      <c r="AP75" s="95">
        <v>438.50124406304548</v>
      </c>
      <c r="AQ75" s="95">
        <v>233.8673301669576</v>
      </c>
      <c r="AR75" s="97"/>
    </row>
    <row r="76" spans="1:44" ht="19.5" customHeight="1">
      <c r="A76" s="30"/>
      <c r="B76" s="16"/>
      <c r="C76" s="30"/>
      <c r="D76" s="56"/>
      <c r="E76" s="30"/>
      <c r="F76" s="32"/>
      <c r="G76" s="32"/>
      <c r="H76" s="32">
        <v>0</v>
      </c>
      <c r="I76" s="33">
        <v>0</v>
      </c>
      <c r="J76" s="33">
        <v>0</v>
      </c>
      <c r="K76" s="34">
        <v>0</v>
      </c>
      <c r="L76" s="33">
        <v>0</v>
      </c>
      <c r="M76" s="34">
        <v>0</v>
      </c>
      <c r="N76" s="34">
        <v>0</v>
      </c>
      <c r="O76" s="33">
        <v>0</v>
      </c>
      <c r="P76" s="34">
        <v>0</v>
      </c>
      <c r="Q76" s="33">
        <v>0</v>
      </c>
      <c r="R76" s="33">
        <v>0</v>
      </c>
      <c r="S76" s="33">
        <v>0</v>
      </c>
      <c r="T76" s="34">
        <v>0</v>
      </c>
      <c r="U76" s="34">
        <v>0</v>
      </c>
      <c r="V76" s="34">
        <v>0</v>
      </c>
      <c r="W76" s="34">
        <v>0</v>
      </c>
      <c r="X76" s="34">
        <v>0</v>
      </c>
      <c r="Y76" s="34">
        <v>0</v>
      </c>
      <c r="Z76" s="54"/>
      <c r="AA76" s="53">
        <v>0</v>
      </c>
      <c r="AB76" s="53">
        <v>0</v>
      </c>
      <c r="AC76" s="54">
        <v>0</v>
      </c>
      <c r="AD76" s="53">
        <v>0</v>
      </c>
      <c r="AE76" s="54">
        <v>0</v>
      </c>
      <c r="AF76" s="54">
        <v>0</v>
      </c>
      <c r="AG76" s="53">
        <v>0</v>
      </c>
      <c r="AH76" s="54">
        <v>0</v>
      </c>
      <c r="AI76" s="53">
        <v>0</v>
      </c>
      <c r="AJ76" s="53">
        <v>0</v>
      </c>
      <c r="AK76" s="53">
        <v>0</v>
      </c>
      <c r="AL76" s="54">
        <v>0</v>
      </c>
      <c r="AM76" s="54">
        <v>0</v>
      </c>
      <c r="AN76" s="54">
        <v>0</v>
      </c>
      <c r="AO76" s="54">
        <v>0</v>
      </c>
      <c r="AP76" s="54">
        <v>0</v>
      </c>
      <c r="AQ76" s="54">
        <v>0</v>
      </c>
      <c r="AR76" s="37"/>
    </row>
    <row r="77" spans="1:44" ht="19.5" customHeight="1">
      <c r="A77" s="14" t="s">
        <v>1537</v>
      </c>
      <c r="B77" s="14"/>
      <c r="C77" s="49"/>
      <c r="D77" s="98"/>
      <c r="E77" s="51"/>
      <c r="F77" s="32"/>
      <c r="G77" s="32"/>
      <c r="H77" s="32">
        <v>0</v>
      </c>
      <c r="I77" s="33">
        <v>0</v>
      </c>
      <c r="J77" s="33">
        <v>0</v>
      </c>
      <c r="K77" s="34">
        <v>0</v>
      </c>
      <c r="L77" s="33">
        <v>0</v>
      </c>
      <c r="M77" s="34">
        <v>0</v>
      </c>
      <c r="N77" s="34">
        <v>0</v>
      </c>
      <c r="O77" s="33">
        <v>0</v>
      </c>
      <c r="P77" s="34">
        <v>0</v>
      </c>
      <c r="Q77" s="33">
        <v>0</v>
      </c>
      <c r="R77" s="33">
        <v>0</v>
      </c>
      <c r="S77" s="33">
        <v>0</v>
      </c>
      <c r="T77" s="34">
        <v>0</v>
      </c>
      <c r="U77" s="34">
        <v>0</v>
      </c>
      <c r="V77" s="34">
        <v>0</v>
      </c>
      <c r="W77" s="34">
        <v>0</v>
      </c>
      <c r="X77" s="34">
        <v>0</v>
      </c>
      <c r="Y77" s="34">
        <v>0</v>
      </c>
      <c r="Z77" s="34"/>
      <c r="AA77" s="33">
        <v>0</v>
      </c>
      <c r="AB77" s="33">
        <v>0</v>
      </c>
      <c r="AC77" s="34">
        <v>0</v>
      </c>
      <c r="AD77" s="33">
        <v>0</v>
      </c>
      <c r="AE77" s="34">
        <v>0</v>
      </c>
      <c r="AF77" s="34">
        <v>0</v>
      </c>
      <c r="AG77" s="33">
        <v>0</v>
      </c>
      <c r="AH77" s="34">
        <v>0</v>
      </c>
      <c r="AI77" s="33">
        <v>0</v>
      </c>
      <c r="AJ77" s="33">
        <v>0</v>
      </c>
      <c r="AK77" s="33">
        <v>0</v>
      </c>
      <c r="AL77" s="34">
        <v>0</v>
      </c>
      <c r="AM77" s="34">
        <v>0</v>
      </c>
      <c r="AN77" s="34">
        <v>0</v>
      </c>
      <c r="AO77" s="34">
        <v>0</v>
      </c>
      <c r="AP77" s="34">
        <v>0</v>
      </c>
      <c r="AQ77" s="34">
        <v>0</v>
      </c>
      <c r="AR77" s="39"/>
    </row>
    <row r="78" spans="1:44" ht="19.5" customHeight="1">
      <c r="A78" s="55">
        <v>1</v>
      </c>
      <c r="B78" s="16" t="s">
        <v>1551</v>
      </c>
      <c r="C78" s="99" t="s">
        <v>159</v>
      </c>
      <c r="D78" s="28" t="s">
        <v>1553</v>
      </c>
      <c r="E78" s="30"/>
      <c r="F78" s="32">
        <v>110505.4930492767</v>
      </c>
      <c r="G78" s="32">
        <v>27866.756461264398</v>
      </c>
      <c r="H78" s="32">
        <v>138372.24951054109</v>
      </c>
      <c r="I78" s="33">
        <v>38.435013950310889</v>
      </c>
      <c r="J78" s="33">
        <v>38.435013950310889</v>
      </c>
      <c r="K78" s="34">
        <v>12.811671316770299</v>
      </c>
      <c r="L78" s="33">
        <v>20.498674106832471</v>
      </c>
      <c r="M78" s="34">
        <v>25.623342633540592</v>
      </c>
      <c r="N78" s="34">
        <v>15.37400558012436</v>
      </c>
      <c r="O78" s="33">
        <v>15.37400558012436</v>
      </c>
      <c r="P78" s="34">
        <v>30.748011160248719</v>
      </c>
      <c r="Q78" s="33">
        <v>25.623342633540592</v>
      </c>
      <c r="R78" s="33">
        <v>30.748011160248719</v>
      </c>
      <c r="S78" s="33">
        <v>17.936339843478411</v>
      </c>
      <c r="T78" s="34">
        <v>17.936339843478411</v>
      </c>
      <c r="U78" s="34">
        <v>7.6870027900621789</v>
      </c>
      <c r="V78" s="34">
        <v>12.811671316770299</v>
      </c>
      <c r="W78" s="34">
        <v>7.6870027900621789</v>
      </c>
      <c r="X78" s="34">
        <v>76.870027900621778</v>
      </c>
      <c r="Y78" s="34">
        <v>40.997348213664949</v>
      </c>
      <c r="Z78" s="54"/>
      <c r="AA78" s="33">
        <v>9.6923613820808523</v>
      </c>
      <c r="AB78" s="33">
        <v>9.6923613820808523</v>
      </c>
      <c r="AC78" s="34">
        <v>3.230787127360284</v>
      </c>
      <c r="AD78" s="33">
        <v>5.1692594037764552</v>
      </c>
      <c r="AE78" s="34">
        <v>6.4615742547205679</v>
      </c>
      <c r="AF78" s="34">
        <v>3.8769445528323412</v>
      </c>
      <c r="AG78" s="33">
        <v>3.8769445528323412</v>
      </c>
      <c r="AH78" s="34">
        <v>7.7538891056646824</v>
      </c>
      <c r="AI78" s="33">
        <v>6.4615742547205679</v>
      </c>
      <c r="AJ78" s="33">
        <v>7.7538891056646824</v>
      </c>
      <c r="AK78" s="33">
        <v>4.523101978304398</v>
      </c>
      <c r="AL78" s="34">
        <v>4.523101978304398</v>
      </c>
      <c r="AM78" s="34">
        <v>1.938472276416171</v>
      </c>
      <c r="AN78" s="34">
        <v>3.230787127360284</v>
      </c>
      <c r="AO78" s="34">
        <v>1.938472276416171</v>
      </c>
      <c r="AP78" s="34">
        <v>19.384722764161701</v>
      </c>
      <c r="AQ78" s="34">
        <v>10.33851880755291</v>
      </c>
      <c r="AR78" s="37"/>
    </row>
    <row r="79" spans="1:44" ht="19.5" customHeight="1">
      <c r="A79" s="55">
        <v>2</v>
      </c>
      <c r="B79" s="100" t="s">
        <v>1562</v>
      </c>
      <c r="C79" s="99" t="s">
        <v>159</v>
      </c>
      <c r="D79" s="28" t="s">
        <v>1563</v>
      </c>
      <c r="E79" s="30"/>
      <c r="F79" s="32">
        <v>112205</v>
      </c>
      <c r="G79" s="32">
        <v>33440.107753517281</v>
      </c>
      <c r="H79" s="32">
        <v>145645.10775351731</v>
      </c>
      <c r="I79" s="33">
        <v>39.026120976371338</v>
      </c>
      <c r="J79" s="33">
        <v>39.026120976371338</v>
      </c>
      <c r="K79" s="34">
        <v>13.008706992123781</v>
      </c>
      <c r="L79" s="33">
        <v>20.813931187398051</v>
      </c>
      <c r="M79" s="34">
        <v>26.01741398424755</v>
      </c>
      <c r="N79" s="34">
        <v>15.610448390548539</v>
      </c>
      <c r="O79" s="33">
        <v>15.610448390548539</v>
      </c>
      <c r="P79" s="34">
        <v>31.220896781097071</v>
      </c>
      <c r="Q79" s="33">
        <v>26.01741398424755</v>
      </c>
      <c r="R79" s="33">
        <v>31.220896781097071</v>
      </c>
      <c r="S79" s="33">
        <v>18.212189788973291</v>
      </c>
      <c r="T79" s="34">
        <v>18.212189788973291</v>
      </c>
      <c r="U79" s="34">
        <v>7.8052241952742678</v>
      </c>
      <c r="V79" s="34">
        <v>13.008706992123781</v>
      </c>
      <c r="W79" s="34">
        <v>7.8052241952742678</v>
      </c>
      <c r="X79" s="34">
        <v>78.052241952742676</v>
      </c>
      <c r="Y79" s="34">
        <v>41.627862374796088</v>
      </c>
      <c r="Z79" s="54"/>
      <c r="AA79" s="33">
        <v>11.63083365849702</v>
      </c>
      <c r="AB79" s="33">
        <v>11.63083365849702</v>
      </c>
      <c r="AC79" s="34">
        <v>3.8769445528323412</v>
      </c>
      <c r="AD79" s="33">
        <v>6.2031112845317473</v>
      </c>
      <c r="AE79" s="34">
        <v>7.7538891056646824</v>
      </c>
      <c r="AF79" s="34">
        <v>4.6523334633988096</v>
      </c>
      <c r="AG79" s="33">
        <v>4.6523334633988096</v>
      </c>
      <c r="AH79" s="34">
        <v>9.304666926797621</v>
      </c>
      <c r="AI79" s="33">
        <v>7.7538891056646824</v>
      </c>
      <c r="AJ79" s="33">
        <v>9.304666926797621</v>
      </c>
      <c r="AK79" s="33">
        <v>5.4277223739652776</v>
      </c>
      <c r="AL79" s="34">
        <v>5.4277223739652776</v>
      </c>
      <c r="AM79" s="34">
        <v>2.3261667316994048</v>
      </c>
      <c r="AN79" s="34">
        <v>3.8769445528323412</v>
      </c>
      <c r="AO79" s="34">
        <v>2.3261667316994048</v>
      </c>
      <c r="AP79" s="34">
        <v>23.26166731699405</v>
      </c>
      <c r="AQ79" s="34">
        <v>12.406222569063489</v>
      </c>
      <c r="AR79" s="37"/>
    </row>
    <row r="80" spans="1:44" ht="19.5" customHeight="1">
      <c r="A80" s="55">
        <v>3</v>
      </c>
      <c r="B80" s="100" t="s">
        <v>1576</v>
      </c>
      <c r="C80" s="99" t="s">
        <v>159</v>
      </c>
      <c r="D80" s="101" t="s">
        <v>1579</v>
      </c>
      <c r="E80" s="30"/>
      <c r="F80" s="32">
        <v>110505.4930492767</v>
      </c>
      <c r="G80" s="32">
        <v>22293.405169011519</v>
      </c>
      <c r="H80" s="32">
        <v>132798.8982182882</v>
      </c>
      <c r="I80" s="33">
        <v>38.435013950310889</v>
      </c>
      <c r="J80" s="33">
        <v>38.435013950310889</v>
      </c>
      <c r="K80" s="34">
        <v>12.811671316770299</v>
      </c>
      <c r="L80" s="33">
        <v>20.498674106832471</v>
      </c>
      <c r="M80" s="34">
        <v>25.623342633540592</v>
      </c>
      <c r="N80" s="34">
        <v>15.37400558012436</v>
      </c>
      <c r="O80" s="33">
        <v>15.37400558012436</v>
      </c>
      <c r="P80" s="34">
        <v>30.748011160248719</v>
      </c>
      <c r="Q80" s="33">
        <v>25.623342633540592</v>
      </c>
      <c r="R80" s="33">
        <v>30.748011160248719</v>
      </c>
      <c r="S80" s="33">
        <v>17.936339843478411</v>
      </c>
      <c r="T80" s="34">
        <v>17.936339843478411</v>
      </c>
      <c r="U80" s="34">
        <v>7.6870027900621789</v>
      </c>
      <c r="V80" s="34">
        <v>12.811671316770299</v>
      </c>
      <c r="W80" s="34">
        <v>7.6870027900621789</v>
      </c>
      <c r="X80" s="34">
        <v>76.870027900621778</v>
      </c>
      <c r="Y80" s="34">
        <v>40.997348213664949</v>
      </c>
      <c r="Z80" s="34"/>
      <c r="AA80" s="33">
        <v>7.7538891056646833</v>
      </c>
      <c r="AB80" s="33">
        <v>7.7538891056646833</v>
      </c>
      <c r="AC80" s="34">
        <v>2.584629701888228</v>
      </c>
      <c r="AD80" s="33">
        <v>4.1354075230211649</v>
      </c>
      <c r="AE80" s="34">
        <v>5.1692594037764552</v>
      </c>
      <c r="AF80" s="34">
        <v>3.1015556422658741</v>
      </c>
      <c r="AG80" s="33">
        <v>3.1015556422658741</v>
      </c>
      <c r="AH80" s="34">
        <v>6.2031112845317473</v>
      </c>
      <c r="AI80" s="33">
        <v>5.1692594037764552</v>
      </c>
      <c r="AJ80" s="33">
        <v>6.2031112845317473</v>
      </c>
      <c r="AK80" s="33">
        <v>3.6184815826435188</v>
      </c>
      <c r="AL80" s="34">
        <v>3.6184815826435188</v>
      </c>
      <c r="AM80" s="34">
        <v>1.5507778211329371</v>
      </c>
      <c r="AN80" s="34">
        <v>2.584629701888228</v>
      </c>
      <c r="AO80" s="34">
        <v>1.5507778211329371</v>
      </c>
      <c r="AP80" s="34">
        <v>15.50777821132937</v>
      </c>
      <c r="AQ80" s="34">
        <v>8.2708150460423298</v>
      </c>
      <c r="AR80" s="39"/>
    </row>
    <row r="81" spans="1:44" ht="19.5" customHeight="1">
      <c r="A81" s="55">
        <v>4</v>
      </c>
      <c r="B81" s="102" t="s">
        <v>1590</v>
      </c>
      <c r="C81" s="99" t="s">
        <v>230</v>
      </c>
      <c r="D81" s="101" t="s">
        <v>1593</v>
      </c>
      <c r="E81" s="30"/>
      <c r="F81" s="32">
        <v>120723.20884092709</v>
      </c>
      <c r="G81" s="32">
        <v>16720.05387675864</v>
      </c>
      <c r="H81" s="32">
        <v>137443.26271768581</v>
      </c>
      <c r="I81" s="33">
        <v>41.988846779392759</v>
      </c>
      <c r="J81" s="33">
        <v>41.988846779392759</v>
      </c>
      <c r="K81" s="34">
        <v>13.99628225979759</v>
      </c>
      <c r="L81" s="33">
        <v>22.39405161567614</v>
      </c>
      <c r="M81" s="34">
        <v>27.99256451959517</v>
      </c>
      <c r="N81" s="34">
        <v>16.7955387117571</v>
      </c>
      <c r="O81" s="33">
        <v>16.7955387117571</v>
      </c>
      <c r="P81" s="34">
        <v>33.591077423514207</v>
      </c>
      <c r="Q81" s="33">
        <v>27.99256451959517</v>
      </c>
      <c r="R81" s="33">
        <v>33.591077423514207</v>
      </c>
      <c r="S81" s="33">
        <v>19.594795163716618</v>
      </c>
      <c r="T81" s="34">
        <v>19.594795163716618</v>
      </c>
      <c r="U81" s="34">
        <v>8.3977693558785518</v>
      </c>
      <c r="V81" s="34">
        <v>13.99628225979759</v>
      </c>
      <c r="W81" s="34">
        <v>8.3977693558785518</v>
      </c>
      <c r="X81" s="34">
        <v>83.977693558785518</v>
      </c>
      <c r="Y81" s="34">
        <v>44.788103231352281</v>
      </c>
      <c r="Z81" s="34"/>
      <c r="AA81" s="33">
        <v>5.8154168292485124</v>
      </c>
      <c r="AB81" s="33">
        <v>5.8154168292485124</v>
      </c>
      <c r="AC81" s="34">
        <v>1.938472276416171</v>
      </c>
      <c r="AD81" s="33">
        <v>3.1015556422658741</v>
      </c>
      <c r="AE81" s="34">
        <v>3.8769445528323412</v>
      </c>
      <c r="AF81" s="34">
        <v>2.3261667316994048</v>
      </c>
      <c r="AG81" s="33">
        <v>2.3261667316994048</v>
      </c>
      <c r="AH81" s="34">
        <v>4.6523334633988096</v>
      </c>
      <c r="AI81" s="33">
        <v>3.8769445528323412</v>
      </c>
      <c r="AJ81" s="33">
        <v>4.6523334633988096</v>
      </c>
      <c r="AK81" s="33">
        <v>2.7138611869826388</v>
      </c>
      <c r="AL81" s="34">
        <v>2.7138611869826388</v>
      </c>
      <c r="AM81" s="34">
        <v>1.1630833658497031</v>
      </c>
      <c r="AN81" s="34">
        <v>1.938472276416171</v>
      </c>
      <c r="AO81" s="34">
        <v>1.1630833658497031</v>
      </c>
      <c r="AP81" s="34">
        <v>11.63083365849702</v>
      </c>
      <c r="AQ81" s="34">
        <v>6.2031112845317473</v>
      </c>
      <c r="AR81" s="39"/>
    </row>
    <row r="82" spans="1:44" ht="19.5" customHeight="1">
      <c r="A82" s="55">
        <v>5</v>
      </c>
      <c r="B82" s="102" t="s">
        <v>1602</v>
      </c>
      <c r="C82" s="103" t="s">
        <v>362</v>
      </c>
      <c r="D82" s="102" t="s">
        <v>1605</v>
      </c>
      <c r="E82" s="30"/>
      <c r="F82" s="32">
        <v>22101.098609855329</v>
      </c>
      <c r="G82" s="32">
        <v>21219.688910157551</v>
      </c>
      <c r="H82" s="32">
        <v>43320.787520012876</v>
      </c>
      <c r="I82" s="33">
        <v>7.687002790062178</v>
      </c>
      <c r="J82" s="33">
        <v>7.687002790062178</v>
      </c>
      <c r="K82" s="34">
        <v>2.5623342633540589</v>
      </c>
      <c r="L82" s="33">
        <v>4.0997348213664946</v>
      </c>
      <c r="M82" s="34">
        <v>5.1246685267081187</v>
      </c>
      <c r="N82" s="34">
        <v>3.0748011160248709</v>
      </c>
      <c r="O82" s="33">
        <v>3.0748011160248709</v>
      </c>
      <c r="P82" s="34">
        <v>6.1496022320497428</v>
      </c>
      <c r="Q82" s="33">
        <v>5.1246685267081187</v>
      </c>
      <c r="R82" s="33">
        <v>6.1496022320497428</v>
      </c>
      <c r="S82" s="33">
        <v>3.587267968695683</v>
      </c>
      <c r="T82" s="34">
        <v>3.587267968695683</v>
      </c>
      <c r="U82" s="34">
        <v>1.5374005580124359</v>
      </c>
      <c r="V82" s="34">
        <v>2.5623342633540589</v>
      </c>
      <c r="W82" s="34">
        <v>1.5374005580124359</v>
      </c>
      <c r="X82" s="34">
        <v>15.37400558012436</v>
      </c>
      <c r="Y82" s="34">
        <v>8.1994696427329909</v>
      </c>
      <c r="Z82" s="34"/>
      <c r="AA82" s="33">
        <v>7.3804388974535353</v>
      </c>
      <c r="AB82" s="33">
        <v>7.3804388974535353</v>
      </c>
      <c r="AC82" s="34">
        <v>2.460146299151178</v>
      </c>
      <c r="AD82" s="33">
        <v>3.9362340786418848</v>
      </c>
      <c r="AE82" s="34">
        <v>4.920292598302356</v>
      </c>
      <c r="AF82" s="34">
        <v>2.952175558981414</v>
      </c>
      <c r="AG82" s="33">
        <v>2.952175558981414</v>
      </c>
      <c r="AH82" s="34">
        <v>5.9043511179628281</v>
      </c>
      <c r="AI82" s="33">
        <v>4.920292598302356</v>
      </c>
      <c r="AJ82" s="33">
        <v>5.9043511179628281</v>
      </c>
      <c r="AK82" s="33">
        <v>3.4442048188116501</v>
      </c>
      <c r="AL82" s="34">
        <v>3.4442048188116501</v>
      </c>
      <c r="AM82" s="34">
        <v>1.476087779490707</v>
      </c>
      <c r="AN82" s="34">
        <v>2.460146299151178</v>
      </c>
      <c r="AO82" s="34">
        <v>1.476087779490707</v>
      </c>
      <c r="AP82" s="34">
        <v>14.760877794907071</v>
      </c>
      <c r="AQ82" s="34">
        <v>7.8724681572837696</v>
      </c>
      <c r="AR82" s="39"/>
    </row>
    <row r="83" spans="1:44" ht="19.5" customHeight="1">
      <c r="A83" s="62"/>
      <c r="B83" s="76" t="s">
        <v>1612</v>
      </c>
      <c r="C83" s="51" t="s">
        <v>389</v>
      </c>
      <c r="D83" s="104" t="s">
        <v>1615</v>
      </c>
      <c r="E83" s="51">
        <v>5</v>
      </c>
      <c r="F83" s="52">
        <v>476040.29354933591</v>
      </c>
      <c r="G83" s="52">
        <v>121540.01217070939</v>
      </c>
      <c r="H83" s="52">
        <v>597580.30572004523</v>
      </c>
      <c r="I83" s="53">
        <v>165.57199844644811</v>
      </c>
      <c r="J83" s="53">
        <v>165.57199844644811</v>
      </c>
      <c r="K83" s="54">
        <v>55.190666148816021</v>
      </c>
      <c r="L83" s="53">
        <v>88.305065838105648</v>
      </c>
      <c r="M83" s="54">
        <v>110.381332297632</v>
      </c>
      <c r="N83" s="54">
        <v>66.228799378579239</v>
      </c>
      <c r="O83" s="53">
        <v>66.228799378579239</v>
      </c>
      <c r="P83" s="54">
        <v>132.45759875715851</v>
      </c>
      <c r="Q83" s="53">
        <v>110.381332297632</v>
      </c>
      <c r="R83" s="53">
        <v>132.45759875715851</v>
      </c>
      <c r="S83" s="53">
        <v>77.266932608342444</v>
      </c>
      <c r="T83" s="54">
        <v>77.266932608342444</v>
      </c>
      <c r="U83" s="54">
        <v>33.11439968928962</v>
      </c>
      <c r="V83" s="54">
        <v>55.190666148816021</v>
      </c>
      <c r="W83" s="54">
        <v>33.11439968928962</v>
      </c>
      <c r="X83" s="54">
        <v>331.14399689289621</v>
      </c>
      <c r="Y83" s="54">
        <v>176.6101316762113</v>
      </c>
      <c r="Z83" s="54"/>
      <c r="AA83" s="53">
        <v>42.272939872944612</v>
      </c>
      <c r="AB83" s="53">
        <v>42.272939872944612</v>
      </c>
      <c r="AC83" s="54">
        <v>14.0909799576482</v>
      </c>
      <c r="AD83" s="53">
        <v>22.54556793223713</v>
      </c>
      <c r="AE83" s="54">
        <v>28.1819599152964</v>
      </c>
      <c r="AF83" s="54">
        <v>16.90917594917785</v>
      </c>
      <c r="AG83" s="53">
        <v>16.90917594917785</v>
      </c>
      <c r="AH83" s="54">
        <v>33.818351898355687</v>
      </c>
      <c r="AI83" s="53">
        <v>28.1819599152964</v>
      </c>
      <c r="AJ83" s="53">
        <v>33.818351898355687</v>
      </c>
      <c r="AK83" s="53">
        <v>19.727371940707489</v>
      </c>
      <c r="AL83" s="54">
        <v>19.727371940707489</v>
      </c>
      <c r="AM83" s="54">
        <v>8.4545879745889234</v>
      </c>
      <c r="AN83" s="54">
        <v>14.0909799576482</v>
      </c>
      <c r="AO83" s="54">
        <v>8.4545879745889234</v>
      </c>
      <c r="AP83" s="54">
        <v>84.545879745889223</v>
      </c>
      <c r="AQ83" s="54">
        <v>45.091135864474253</v>
      </c>
      <c r="AR83" s="37"/>
    </row>
    <row r="84" spans="1:44" ht="19.5" customHeight="1">
      <c r="A84" s="55">
        <v>6</v>
      </c>
      <c r="B84" s="100" t="s">
        <v>1627</v>
      </c>
      <c r="C84" s="79" t="s">
        <v>94</v>
      </c>
      <c r="D84" s="105" t="s">
        <v>1628</v>
      </c>
      <c r="E84" s="30"/>
      <c r="F84" s="32">
        <v>110505.4930492767</v>
      </c>
      <c r="G84" s="32">
        <v>27866.756461264398</v>
      </c>
      <c r="H84" s="32">
        <v>138372.24951054109</v>
      </c>
      <c r="I84" s="33">
        <v>38.435013950310889</v>
      </c>
      <c r="J84" s="33">
        <v>38.435013950310889</v>
      </c>
      <c r="K84" s="34">
        <v>12.811671316770299</v>
      </c>
      <c r="L84" s="33">
        <v>20.498674106832471</v>
      </c>
      <c r="M84" s="34">
        <v>25.623342633540592</v>
      </c>
      <c r="N84" s="34">
        <v>15.37400558012436</v>
      </c>
      <c r="O84" s="33">
        <v>15.37400558012436</v>
      </c>
      <c r="P84" s="34">
        <v>30.748011160248719</v>
      </c>
      <c r="Q84" s="33">
        <v>25.623342633540592</v>
      </c>
      <c r="R84" s="33">
        <v>30.748011160248719</v>
      </c>
      <c r="S84" s="33">
        <v>17.936339843478411</v>
      </c>
      <c r="T84" s="34">
        <v>17.936339843478411</v>
      </c>
      <c r="U84" s="34">
        <v>7.6870027900621789</v>
      </c>
      <c r="V84" s="34">
        <v>12.811671316770299</v>
      </c>
      <c r="W84" s="34">
        <v>7.6870027900621789</v>
      </c>
      <c r="X84" s="34">
        <v>76.870027900621778</v>
      </c>
      <c r="Y84" s="34">
        <v>40.997348213664949</v>
      </c>
      <c r="Z84" s="34"/>
      <c r="AA84" s="33">
        <v>9.6923613820808523</v>
      </c>
      <c r="AB84" s="33">
        <v>9.6923613820808523</v>
      </c>
      <c r="AC84" s="34">
        <v>3.230787127360284</v>
      </c>
      <c r="AD84" s="33">
        <v>5.1692594037764552</v>
      </c>
      <c r="AE84" s="34">
        <v>6.4615742547205679</v>
      </c>
      <c r="AF84" s="34">
        <v>3.8769445528323412</v>
      </c>
      <c r="AG84" s="33">
        <v>3.8769445528323412</v>
      </c>
      <c r="AH84" s="34">
        <v>7.7538891056646824</v>
      </c>
      <c r="AI84" s="33">
        <v>6.4615742547205679</v>
      </c>
      <c r="AJ84" s="33">
        <v>7.7538891056646824</v>
      </c>
      <c r="AK84" s="33">
        <v>4.523101978304398</v>
      </c>
      <c r="AL84" s="34">
        <v>4.523101978304398</v>
      </c>
      <c r="AM84" s="34">
        <v>1.938472276416171</v>
      </c>
      <c r="AN84" s="34">
        <v>3.230787127360284</v>
      </c>
      <c r="AO84" s="34">
        <v>1.938472276416171</v>
      </c>
      <c r="AP84" s="34">
        <v>19.384722764161701</v>
      </c>
      <c r="AQ84" s="34">
        <v>10.33851880755291</v>
      </c>
      <c r="AR84" s="39"/>
    </row>
    <row r="85" spans="1:44" ht="19.5" customHeight="1">
      <c r="A85" s="55">
        <v>7</v>
      </c>
      <c r="B85" s="41" t="s">
        <v>133</v>
      </c>
      <c r="C85" s="79" t="s">
        <v>94</v>
      </c>
      <c r="D85" s="105" t="s">
        <v>1636</v>
      </c>
      <c r="E85" s="30"/>
      <c r="F85" s="32">
        <v>10452.225873673349</v>
      </c>
      <c r="G85" s="32">
        <v>68963.988958012022</v>
      </c>
      <c r="H85" s="32">
        <v>79416.214831685371</v>
      </c>
      <c r="I85" s="33">
        <v>3.635397989557815</v>
      </c>
      <c r="J85" s="33">
        <v>3.635397989557815</v>
      </c>
      <c r="K85" s="34">
        <v>1.2117993298526051</v>
      </c>
      <c r="L85" s="33">
        <v>1.938878927764168</v>
      </c>
      <c r="M85" s="34">
        <v>2.4235986597052102</v>
      </c>
      <c r="N85" s="34">
        <v>1.4541591958231259</v>
      </c>
      <c r="O85" s="33">
        <v>1.4541591958231259</v>
      </c>
      <c r="P85" s="34">
        <v>2.9083183916462518</v>
      </c>
      <c r="Q85" s="33">
        <v>2.4235986597052102</v>
      </c>
      <c r="R85" s="33">
        <v>2.9083183916462518</v>
      </c>
      <c r="S85" s="33">
        <v>1.696519061793647</v>
      </c>
      <c r="T85" s="34">
        <v>1.696519061793647</v>
      </c>
      <c r="U85" s="34">
        <v>0.72707959791156307</v>
      </c>
      <c r="V85" s="34">
        <v>1.2117993298526051</v>
      </c>
      <c r="W85" s="34">
        <v>0.72707959791156307</v>
      </c>
      <c r="X85" s="34">
        <v>7.27079597911563</v>
      </c>
      <c r="Y85" s="34">
        <v>3.8777578555283361</v>
      </c>
      <c r="Z85" s="34"/>
      <c r="AA85" s="33">
        <v>23.98642641672398</v>
      </c>
      <c r="AB85" s="33">
        <v>23.98642641672398</v>
      </c>
      <c r="AC85" s="34">
        <v>7.9954754722413268</v>
      </c>
      <c r="AD85" s="33">
        <v>12.792760755586119</v>
      </c>
      <c r="AE85" s="34">
        <v>15.99095094448265</v>
      </c>
      <c r="AF85" s="34">
        <v>9.594570566689594</v>
      </c>
      <c r="AG85" s="33">
        <v>9.594570566689594</v>
      </c>
      <c r="AH85" s="34">
        <v>19.189141133379191</v>
      </c>
      <c r="AI85" s="33">
        <v>15.99095094448265</v>
      </c>
      <c r="AJ85" s="33">
        <v>19.189141133379191</v>
      </c>
      <c r="AK85" s="33">
        <v>11.19366566113786</v>
      </c>
      <c r="AL85" s="34">
        <v>11.19366566113786</v>
      </c>
      <c r="AM85" s="34">
        <v>4.797285283344797</v>
      </c>
      <c r="AN85" s="34">
        <v>7.9954754722413268</v>
      </c>
      <c r="AO85" s="34">
        <v>4.797285283344797</v>
      </c>
      <c r="AP85" s="34">
        <v>47.972852833447973</v>
      </c>
      <c r="AQ85" s="34">
        <v>25.585521511172249</v>
      </c>
      <c r="AR85" s="39"/>
    </row>
    <row r="86" spans="1:44" ht="19.5" customHeight="1">
      <c r="A86" s="55">
        <v>8</v>
      </c>
      <c r="B86" s="100" t="s">
        <v>1645</v>
      </c>
      <c r="C86" s="99" t="s">
        <v>159</v>
      </c>
      <c r="D86" s="105" t="s">
        <v>1647</v>
      </c>
      <c r="E86" s="30"/>
      <c r="F86" s="32">
        <v>120200.59754724349</v>
      </c>
      <c r="G86" s="32">
        <v>27055.103360450881</v>
      </c>
      <c r="H86" s="32">
        <v>147255.70090769441</v>
      </c>
      <c r="I86" s="33">
        <v>41.807076879914867</v>
      </c>
      <c r="J86" s="33">
        <v>41.807076879914867</v>
      </c>
      <c r="K86" s="34">
        <v>13.93569229330495</v>
      </c>
      <c r="L86" s="33">
        <v>22.297107669287929</v>
      </c>
      <c r="M86" s="34">
        <v>27.87138458660991</v>
      </c>
      <c r="N86" s="34">
        <v>16.722830751965951</v>
      </c>
      <c r="O86" s="33">
        <v>16.722830751965951</v>
      </c>
      <c r="P86" s="34">
        <v>33.445661503931888</v>
      </c>
      <c r="Q86" s="33">
        <v>27.87138458660991</v>
      </c>
      <c r="R86" s="33">
        <v>33.445661503931888</v>
      </c>
      <c r="S86" s="33">
        <v>19.509969210626942</v>
      </c>
      <c r="T86" s="34">
        <v>19.509969210626942</v>
      </c>
      <c r="U86" s="34">
        <v>8.3614153759829737</v>
      </c>
      <c r="V86" s="34">
        <v>13.93569229330495</v>
      </c>
      <c r="W86" s="34">
        <v>8.3614153759829737</v>
      </c>
      <c r="X86" s="34">
        <v>83.614153759829733</v>
      </c>
      <c r="Y86" s="34">
        <v>44.594215338575857</v>
      </c>
      <c r="Z86" s="34"/>
      <c r="AA86" s="33">
        <v>9.4100595942532586</v>
      </c>
      <c r="AB86" s="33">
        <v>9.4100595942532586</v>
      </c>
      <c r="AC86" s="34">
        <v>3.136686531417753</v>
      </c>
      <c r="AD86" s="33">
        <v>5.0186984502684053</v>
      </c>
      <c r="AE86" s="34">
        <v>6.2733730628355051</v>
      </c>
      <c r="AF86" s="34">
        <v>3.7640238377013042</v>
      </c>
      <c r="AG86" s="33">
        <v>3.7640238377013042</v>
      </c>
      <c r="AH86" s="34">
        <v>7.5280476754026084</v>
      </c>
      <c r="AI86" s="33">
        <v>6.2733730628355051</v>
      </c>
      <c r="AJ86" s="33">
        <v>7.5280476754026084</v>
      </c>
      <c r="AK86" s="33">
        <v>4.3913611439848541</v>
      </c>
      <c r="AL86" s="34">
        <v>4.3913611439848541</v>
      </c>
      <c r="AM86" s="34">
        <v>1.8820119188506521</v>
      </c>
      <c r="AN86" s="34">
        <v>3.136686531417753</v>
      </c>
      <c r="AO86" s="34">
        <v>1.8820119188506521</v>
      </c>
      <c r="AP86" s="34">
        <v>18.820119188506521</v>
      </c>
      <c r="AQ86" s="34">
        <v>10.037396900536811</v>
      </c>
      <c r="AR86" s="39"/>
    </row>
    <row r="87" spans="1:44" ht="19.5" customHeight="1">
      <c r="A87" s="55">
        <v>9</v>
      </c>
      <c r="B87" s="100" t="s">
        <v>1657</v>
      </c>
      <c r="C87" s="99" t="s">
        <v>159</v>
      </c>
      <c r="D87" s="105" t="s">
        <v>1659</v>
      </c>
      <c r="E87" s="30"/>
      <c r="F87" s="32">
        <v>122723</v>
      </c>
      <c r="G87" s="32">
        <v>27866.756461264398</v>
      </c>
      <c r="H87" s="32">
        <v>150589.75646126439</v>
      </c>
      <c r="I87" s="33">
        <v>42.684395923383271</v>
      </c>
      <c r="J87" s="33">
        <v>42.684395923383271</v>
      </c>
      <c r="K87" s="34">
        <v>14.228131974461091</v>
      </c>
      <c r="L87" s="33">
        <v>22.76501115913775</v>
      </c>
      <c r="M87" s="34">
        <v>28.456263948922182</v>
      </c>
      <c r="N87" s="34">
        <v>17.07375836935331</v>
      </c>
      <c r="O87" s="33">
        <v>17.07375836935331</v>
      </c>
      <c r="P87" s="34">
        <v>34.147516738706621</v>
      </c>
      <c r="Q87" s="33">
        <v>28.456263948922182</v>
      </c>
      <c r="R87" s="33">
        <v>34.147516738706621</v>
      </c>
      <c r="S87" s="33">
        <v>19.919384764245532</v>
      </c>
      <c r="T87" s="34">
        <v>19.919384764245532</v>
      </c>
      <c r="U87" s="34">
        <v>8.5368791846766552</v>
      </c>
      <c r="V87" s="34">
        <v>14.228131974461091</v>
      </c>
      <c r="W87" s="34">
        <v>8.5368791846766552</v>
      </c>
      <c r="X87" s="34">
        <v>85.368791846766541</v>
      </c>
      <c r="Y87" s="34">
        <v>45.530022318275492</v>
      </c>
      <c r="Z87" s="54"/>
      <c r="AA87" s="33">
        <v>9.6923613820808523</v>
      </c>
      <c r="AB87" s="33">
        <v>9.6923613820808523</v>
      </c>
      <c r="AC87" s="34">
        <v>3.230787127360284</v>
      </c>
      <c r="AD87" s="33">
        <v>5.1692594037764552</v>
      </c>
      <c r="AE87" s="34">
        <v>6.4615742547205679</v>
      </c>
      <c r="AF87" s="34">
        <v>3.8769445528323412</v>
      </c>
      <c r="AG87" s="33">
        <v>3.8769445528323412</v>
      </c>
      <c r="AH87" s="34">
        <v>7.7538891056646824</v>
      </c>
      <c r="AI87" s="33">
        <v>6.4615742547205679</v>
      </c>
      <c r="AJ87" s="33">
        <v>7.7538891056646824</v>
      </c>
      <c r="AK87" s="33">
        <v>4.523101978304398</v>
      </c>
      <c r="AL87" s="34">
        <v>4.523101978304398</v>
      </c>
      <c r="AM87" s="34">
        <v>1.938472276416171</v>
      </c>
      <c r="AN87" s="34">
        <v>3.230787127360284</v>
      </c>
      <c r="AO87" s="34">
        <v>1.938472276416171</v>
      </c>
      <c r="AP87" s="34">
        <v>19.384722764161701</v>
      </c>
      <c r="AQ87" s="34">
        <v>10.33851880755291</v>
      </c>
      <c r="AR87" s="37"/>
    </row>
    <row r="88" spans="1:44" ht="19.5" customHeight="1">
      <c r="A88" s="55">
        <v>10</v>
      </c>
      <c r="B88" s="100" t="s">
        <v>1668</v>
      </c>
      <c r="C88" s="79" t="s">
        <v>94</v>
      </c>
      <c r="D88" s="105" t="s">
        <v>1669</v>
      </c>
      <c r="E88" s="30"/>
      <c r="F88" s="32">
        <v>110505.4930492767</v>
      </c>
      <c r="G88" s="32">
        <v>37877.144704631231</v>
      </c>
      <c r="H88" s="32">
        <v>148382.63775390791</v>
      </c>
      <c r="I88" s="33">
        <v>38.435013950310889</v>
      </c>
      <c r="J88" s="33">
        <v>38.435013950310889</v>
      </c>
      <c r="K88" s="34">
        <v>12.811671316770299</v>
      </c>
      <c r="L88" s="33">
        <v>20.498674106832471</v>
      </c>
      <c r="M88" s="34">
        <v>25.623342633540592</v>
      </c>
      <c r="N88" s="34">
        <v>15.37400558012436</v>
      </c>
      <c r="O88" s="33">
        <v>15.37400558012436</v>
      </c>
      <c r="P88" s="34">
        <v>30.748011160248719</v>
      </c>
      <c r="Q88" s="33">
        <v>25.623342633540592</v>
      </c>
      <c r="R88" s="33">
        <v>30.748011160248719</v>
      </c>
      <c r="S88" s="33">
        <v>17.936339843478411</v>
      </c>
      <c r="T88" s="34">
        <v>17.936339843478411</v>
      </c>
      <c r="U88" s="34">
        <v>7.6870027900621789</v>
      </c>
      <c r="V88" s="34">
        <v>12.811671316770299</v>
      </c>
      <c r="W88" s="34">
        <v>7.6870027900621789</v>
      </c>
      <c r="X88" s="34">
        <v>76.870027900621778</v>
      </c>
      <c r="Y88" s="34">
        <v>40.997348213664949</v>
      </c>
      <c r="Z88" s="54"/>
      <c r="AA88" s="33">
        <v>13.174083431954561</v>
      </c>
      <c r="AB88" s="33">
        <v>13.174083431954561</v>
      </c>
      <c r="AC88" s="34">
        <v>4.3913611439848532</v>
      </c>
      <c r="AD88" s="33">
        <v>7.026177830375766</v>
      </c>
      <c r="AE88" s="34">
        <v>8.7827222879697064</v>
      </c>
      <c r="AF88" s="34">
        <v>5.2696333727818248</v>
      </c>
      <c r="AG88" s="33">
        <v>5.2696333727818248</v>
      </c>
      <c r="AH88" s="34">
        <v>10.53926674556365</v>
      </c>
      <c r="AI88" s="33">
        <v>8.7827222879697064</v>
      </c>
      <c r="AJ88" s="33">
        <v>10.53926674556365</v>
      </c>
      <c r="AK88" s="33">
        <v>6.1479056015787954</v>
      </c>
      <c r="AL88" s="34">
        <v>6.1479056015787954</v>
      </c>
      <c r="AM88" s="34">
        <v>2.6348166863909119</v>
      </c>
      <c r="AN88" s="34">
        <v>4.3913611439848532</v>
      </c>
      <c r="AO88" s="34">
        <v>2.6348166863909119</v>
      </c>
      <c r="AP88" s="34">
        <v>26.348166863909121</v>
      </c>
      <c r="AQ88" s="34">
        <v>14.05235566075153</v>
      </c>
      <c r="AR88" s="37"/>
    </row>
    <row r="89" spans="1:44" ht="19.5" customHeight="1">
      <c r="A89" s="62"/>
      <c r="B89" s="80" t="s">
        <v>1680</v>
      </c>
      <c r="C89" s="89" t="s">
        <v>997</v>
      </c>
      <c r="D89" s="80" t="s">
        <v>1682</v>
      </c>
      <c r="E89" s="51">
        <v>5</v>
      </c>
      <c r="F89" s="52">
        <v>474386.8095194702</v>
      </c>
      <c r="G89" s="52">
        <v>189629.7499456229</v>
      </c>
      <c r="H89" s="52">
        <v>664016.55946509307</v>
      </c>
      <c r="I89" s="53">
        <v>164.99689869347779</v>
      </c>
      <c r="J89" s="53">
        <v>164.99689869347779</v>
      </c>
      <c r="K89" s="54">
        <v>54.998966231159251</v>
      </c>
      <c r="L89" s="53">
        <v>87.99834596985481</v>
      </c>
      <c r="M89" s="54">
        <v>109.9979324623185</v>
      </c>
      <c r="N89" s="54">
        <v>65.998759477391104</v>
      </c>
      <c r="O89" s="53">
        <v>65.998759477391104</v>
      </c>
      <c r="P89" s="54">
        <v>131.99751895478221</v>
      </c>
      <c r="Q89" s="53">
        <v>109.9979324623185</v>
      </c>
      <c r="R89" s="53">
        <v>131.99751895478221</v>
      </c>
      <c r="S89" s="53">
        <v>76.998552723622964</v>
      </c>
      <c r="T89" s="54">
        <v>76.998552723622964</v>
      </c>
      <c r="U89" s="54">
        <v>32.999379738695552</v>
      </c>
      <c r="V89" s="54">
        <v>54.998966231159251</v>
      </c>
      <c r="W89" s="54">
        <v>32.999379738695552</v>
      </c>
      <c r="X89" s="54">
        <v>329.99379738695552</v>
      </c>
      <c r="Y89" s="54">
        <v>175.99669193970959</v>
      </c>
      <c r="Z89" s="54"/>
      <c r="AA89" s="53">
        <v>65.955292207093507</v>
      </c>
      <c r="AB89" s="53">
        <v>65.955292207093507</v>
      </c>
      <c r="AC89" s="54">
        <v>21.985097402364499</v>
      </c>
      <c r="AD89" s="53">
        <v>35.176155843783206</v>
      </c>
      <c r="AE89" s="54">
        <v>43.970194804728997</v>
      </c>
      <c r="AF89" s="54">
        <v>26.382116882837401</v>
      </c>
      <c r="AG89" s="53">
        <v>26.382116882837401</v>
      </c>
      <c r="AH89" s="54">
        <v>52.76423376567481</v>
      </c>
      <c r="AI89" s="53">
        <v>43.970194804728997</v>
      </c>
      <c r="AJ89" s="53">
        <v>52.76423376567481</v>
      </c>
      <c r="AK89" s="53">
        <v>30.7791363633103</v>
      </c>
      <c r="AL89" s="54">
        <v>30.7791363633103</v>
      </c>
      <c r="AM89" s="54">
        <v>13.191058441418701</v>
      </c>
      <c r="AN89" s="54">
        <v>21.985097402364499</v>
      </c>
      <c r="AO89" s="54">
        <v>13.191058441418701</v>
      </c>
      <c r="AP89" s="54">
        <v>131.91058441418701</v>
      </c>
      <c r="AQ89" s="54">
        <v>70.352311687566413</v>
      </c>
      <c r="AR89" s="37"/>
    </row>
    <row r="90" spans="1:44" ht="19.5" customHeight="1">
      <c r="A90" s="55">
        <v>11</v>
      </c>
      <c r="B90" s="100" t="s">
        <v>1691</v>
      </c>
      <c r="C90" s="99" t="s">
        <v>159</v>
      </c>
      <c r="D90" s="105" t="s">
        <v>1692</v>
      </c>
      <c r="E90" s="30"/>
      <c r="F90" s="32">
        <v>114974.4846104068</v>
      </c>
      <c r="G90" s="32">
        <v>21644.082688360701</v>
      </c>
      <c r="H90" s="32">
        <v>136618.56729876751</v>
      </c>
      <c r="I90" s="33">
        <v>39.989377885135973</v>
      </c>
      <c r="J90" s="33">
        <v>39.989377885135973</v>
      </c>
      <c r="K90" s="34">
        <v>13.32979262837865</v>
      </c>
      <c r="L90" s="33">
        <v>21.32766820540585</v>
      </c>
      <c r="M90" s="34">
        <v>26.65958525675731</v>
      </c>
      <c r="N90" s="34">
        <v>15.995751154054391</v>
      </c>
      <c r="O90" s="33">
        <v>15.995751154054391</v>
      </c>
      <c r="P90" s="34">
        <v>31.991502308108771</v>
      </c>
      <c r="Q90" s="33">
        <v>26.65958525675731</v>
      </c>
      <c r="R90" s="33">
        <v>31.991502308108771</v>
      </c>
      <c r="S90" s="33">
        <v>18.661709679730119</v>
      </c>
      <c r="T90" s="34">
        <v>18.661709679730119</v>
      </c>
      <c r="U90" s="34">
        <v>7.9978755770271928</v>
      </c>
      <c r="V90" s="34">
        <v>13.32979262837865</v>
      </c>
      <c r="W90" s="34">
        <v>7.9978755770271928</v>
      </c>
      <c r="X90" s="34">
        <v>79.978755770271931</v>
      </c>
      <c r="Y90" s="34">
        <v>42.655336410811692</v>
      </c>
      <c r="Z90" s="34"/>
      <c r="AA90" s="33">
        <v>7.5280476754026058</v>
      </c>
      <c r="AB90" s="33">
        <v>7.5280476754026058</v>
      </c>
      <c r="AC90" s="34">
        <v>2.5093492251342022</v>
      </c>
      <c r="AD90" s="33">
        <v>4.0149587602147232</v>
      </c>
      <c r="AE90" s="34">
        <v>5.0186984502684044</v>
      </c>
      <c r="AF90" s="34">
        <v>3.011219070161042</v>
      </c>
      <c r="AG90" s="33">
        <v>3.011219070161042</v>
      </c>
      <c r="AH90" s="34">
        <v>6.0224381403220848</v>
      </c>
      <c r="AI90" s="33">
        <v>5.0186984502684044</v>
      </c>
      <c r="AJ90" s="33">
        <v>6.0224381403220848</v>
      </c>
      <c r="AK90" s="33">
        <v>3.513088915187883</v>
      </c>
      <c r="AL90" s="34">
        <v>3.513088915187883</v>
      </c>
      <c r="AM90" s="34">
        <v>1.505609535080521</v>
      </c>
      <c r="AN90" s="34">
        <v>2.5093492251342022</v>
      </c>
      <c r="AO90" s="34">
        <v>1.505609535080521</v>
      </c>
      <c r="AP90" s="34">
        <v>15.05609535080521</v>
      </c>
      <c r="AQ90" s="34">
        <v>8.0299175204294464</v>
      </c>
      <c r="AR90" s="39"/>
    </row>
    <row r="91" spans="1:44" ht="19.5" customHeight="1">
      <c r="A91" s="55">
        <v>12</v>
      </c>
      <c r="B91" s="78" t="s">
        <v>1702</v>
      </c>
      <c r="C91" s="30" t="s">
        <v>94</v>
      </c>
      <c r="D91" s="105" t="s">
        <v>1704</v>
      </c>
      <c r="E91" s="16"/>
      <c r="F91" s="32">
        <v>114974.4846104068</v>
      </c>
      <c r="G91" s="32">
        <v>21644.082688360701</v>
      </c>
      <c r="H91" s="32">
        <v>136618.56729876751</v>
      </c>
      <c r="I91" s="33">
        <v>39.989377885135973</v>
      </c>
      <c r="J91" s="33">
        <v>39.989377885135973</v>
      </c>
      <c r="K91" s="34">
        <v>13.32979262837865</v>
      </c>
      <c r="L91" s="33">
        <v>21.32766820540585</v>
      </c>
      <c r="M91" s="34">
        <v>26.65958525675731</v>
      </c>
      <c r="N91" s="34">
        <v>15.995751154054391</v>
      </c>
      <c r="O91" s="33">
        <v>15.995751154054391</v>
      </c>
      <c r="P91" s="34">
        <v>31.991502308108771</v>
      </c>
      <c r="Q91" s="33">
        <v>26.65958525675731</v>
      </c>
      <c r="R91" s="33">
        <v>31.991502308108771</v>
      </c>
      <c r="S91" s="33">
        <v>18.661709679730119</v>
      </c>
      <c r="T91" s="34">
        <v>18.661709679730119</v>
      </c>
      <c r="U91" s="34">
        <v>7.9978755770271928</v>
      </c>
      <c r="V91" s="34">
        <v>13.32979262837865</v>
      </c>
      <c r="W91" s="34">
        <v>7.9978755770271928</v>
      </c>
      <c r="X91" s="34">
        <v>79.978755770271931</v>
      </c>
      <c r="Y91" s="34">
        <v>42.655336410811692</v>
      </c>
      <c r="Z91" s="54"/>
      <c r="AA91" s="33">
        <v>7.5280476754026058</v>
      </c>
      <c r="AB91" s="33">
        <v>7.5280476754026058</v>
      </c>
      <c r="AC91" s="34">
        <v>2.5093492251342022</v>
      </c>
      <c r="AD91" s="33">
        <v>4.0149587602147232</v>
      </c>
      <c r="AE91" s="34">
        <v>5.0186984502684044</v>
      </c>
      <c r="AF91" s="34">
        <v>3.011219070161042</v>
      </c>
      <c r="AG91" s="33">
        <v>3.011219070161042</v>
      </c>
      <c r="AH91" s="34">
        <v>6.0224381403220848</v>
      </c>
      <c r="AI91" s="33">
        <v>5.0186984502684044</v>
      </c>
      <c r="AJ91" s="33">
        <v>6.0224381403220848</v>
      </c>
      <c r="AK91" s="33">
        <v>3.513088915187883</v>
      </c>
      <c r="AL91" s="34">
        <v>3.513088915187883</v>
      </c>
      <c r="AM91" s="34">
        <v>1.505609535080521</v>
      </c>
      <c r="AN91" s="34">
        <v>2.5093492251342022</v>
      </c>
      <c r="AO91" s="34">
        <v>1.505609535080521</v>
      </c>
      <c r="AP91" s="34">
        <v>15.05609535080521</v>
      </c>
      <c r="AQ91" s="34">
        <v>8.0299175204294464</v>
      </c>
      <c r="AR91" s="37"/>
    </row>
    <row r="92" spans="1:44" ht="19.5" customHeight="1">
      <c r="A92" s="55">
        <v>13</v>
      </c>
      <c r="B92" s="106" t="s">
        <v>133</v>
      </c>
      <c r="C92" s="30" t="s">
        <v>94</v>
      </c>
      <c r="D92" s="56" t="s">
        <v>1717</v>
      </c>
      <c r="E92" s="30"/>
      <c r="F92" s="32">
        <v>20904.451747346691</v>
      </c>
      <c r="G92" s="32">
        <v>32784.419366193411</v>
      </c>
      <c r="H92" s="32">
        <v>53688.871113540103</v>
      </c>
      <c r="I92" s="33">
        <v>7.27079597911563</v>
      </c>
      <c r="J92" s="33">
        <v>7.27079597911563</v>
      </c>
      <c r="K92" s="34">
        <v>2.4235986597052102</v>
      </c>
      <c r="L92" s="33">
        <v>3.8777578555283361</v>
      </c>
      <c r="M92" s="34">
        <v>4.8471973194104194</v>
      </c>
      <c r="N92" s="34">
        <v>2.9083183916462518</v>
      </c>
      <c r="O92" s="33">
        <v>2.9083183916462518</v>
      </c>
      <c r="P92" s="34">
        <v>5.8166367832925054</v>
      </c>
      <c r="Q92" s="33">
        <v>4.8471973194104194</v>
      </c>
      <c r="R92" s="33">
        <v>5.8166367832925054</v>
      </c>
      <c r="S92" s="33">
        <v>3.393038123587294</v>
      </c>
      <c r="T92" s="34">
        <v>3.393038123587294</v>
      </c>
      <c r="U92" s="34">
        <v>1.4541591958231259</v>
      </c>
      <c r="V92" s="34">
        <v>2.4235986597052102</v>
      </c>
      <c r="W92" s="34">
        <v>1.4541591958231259</v>
      </c>
      <c r="X92" s="34">
        <v>14.54159195823126</v>
      </c>
      <c r="Y92" s="34">
        <v>7.7555157110566721</v>
      </c>
      <c r="Z92" s="54"/>
      <c r="AA92" s="33">
        <v>11.40277809656571</v>
      </c>
      <c r="AB92" s="33">
        <v>11.40277809656571</v>
      </c>
      <c r="AC92" s="34">
        <v>3.8009260321885701</v>
      </c>
      <c r="AD92" s="33">
        <v>6.0814816515017123</v>
      </c>
      <c r="AE92" s="34">
        <v>7.6018520643771392</v>
      </c>
      <c r="AF92" s="34">
        <v>4.5611112386262844</v>
      </c>
      <c r="AG92" s="33">
        <v>4.5611112386262844</v>
      </c>
      <c r="AH92" s="34">
        <v>9.1222224772525689</v>
      </c>
      <c r="AI92" s="33">
        <v>7.6018520643771392</v>
      </c>
      <c r="AJ92" s="33">
        <v>9.1222224772525689</v>
      </c>
      <c r="AK92" s="33">
        <v>5.3212964450639983</v>
      </c>
      <c r="AL92" s="34">
        <v>5.3212964450639983</v>
      </c>
      <c r="AM92" s="34">
        <v>2.2805556193131422</v>
      </c>
      <c r="AN92" s="34">
        <v>3.8009260321885701</v>
      </c>
      <c r="AO92" s="34">
        <v>2.2805556193131422</v>
      </c>
      <c r="AP92" s="34">
        <v>22.805556193131419</v>
      </c>
      <c r="AQ92" s="34">
        <v>12.162963303003419</v>
      </c>
      <c r="AR92" s="73"/>
    </row>
    <row r="93" spans="1:44" ht="19.5" customHeight="1">
      <c r="A93" s="55">
        <v>14</v>
      </c>
      <c r="B93" s="102" t="s">
        <v>1723</v>
      </c>
      <c r="C93" s="30" t="s">
        <v>94</v>
      </c>
      <c r="D93" s="56" t="s">
        <v>1724</v>
      </c>
      <c r="E93" s="30"/>
      <c r="F93" s="32">
        <v>110505.4930492767</v>
      </c>
      <c r="G93" s="32">
        <v>16749.157463368701</v>
      </c>
      <c r="H93" s="32">
        <v>127254.6505126454</v>
      </c>
      <c r="I93" s="33">
        <v>38.435013950310889</v>
      </c>
      <c r="J93" s="33">
        <v>38.435013950310889</v>
      </c>
      <c r="K93" s="34">
        <v>12.811671316770299</v>
      </c>
      <c r="L93" s="33">
        <v>20.498674106832471</v>
      </c>
      <c r="M93" s="34">
        <v>25.623342633540592</v>
      </c>
      <c r="N93" s="34">
        <v>15.37400558012436</v>
      </c>
      <c r="O93" s="33">
        <v>15.37400558012436</v>
      </c>
      <c r="P93" s="34">
        <v>30.748011160248719</v>
      </c>
      <c r="Q93" s="33">
        <v>25.623342633540592</v>
      </c>
      <c r="R93" s="33">
        <v>30.748011160248719</v>
      </c>
      <c r="S93" s="33">
        <v>17.936339843478411</v>
      </c>
      <c r="T93" s="34">
        <v>17.936339843478411</v>
      </c>
      <c r="U93" s="34">
        <v>7.6870027900621789</v>
      </c>
      <c r="V93" s="34">
        <v>12.811671316770299</v>
      </c>
      <c r="W93" s="34">
        <v>7.6870027900621789</v>
      </c>
      <c r="X93" s="34">
        <v>76.870027900621778</v>
      </c>
      <c r="Y93" s="34">
        <v>40.997348213664949</v>
      </c>
      <c r="Z93" s="34"/>
      <c r="AA93" s="33">
        <v>5.8255393736261301</v>
      </c>
      <c r="AB93" s="33">
        <v>5.8255393736261301</v>
      </c>
      <c r="AC93" s="34">
        <v>1.941846457875376</v>
      </c>
      <c r="AD93" s="33">
        <v>3.1069543326006031</v>
      </c>
      <c r="AE93" s="34">
        <v>3.8836929157507529</v>
      </c>
      <c r="AF93" s="34">
        <v>2.3302157494504518</v>
      </c>
      <c r="AG93" s="33">
        <v>2.3302157494504518</v>
      </c>
      <c r="AH93" s="34">
        <v>4.6604314989009046</v>
      </c>
      <c r="AI93" s="33">
        <v>3.8836929157507529</v>
      </c>
      <c r="AJ93" s="33">
        <v>4.6604314989009046</v>
      </c>
      <c r="AK93" s="33">
        <v>2.718585041025527</v>
      </c>
      <c r="AL93" s="34">
        <v>2.718585041025527</v>
      </c>
      <c r="AM93" s="34">
        <v>1.1651078747252259</v>
      </c>
      <c r="AN93" s="34">
        <v>1.941846457875376</v>
      </c>
      <c r="AO93" s="34">
        <v>1.1651078747252259</v>
      </c>
      <c r="AP93" s="34">
        <v>11.65107874725226</v>
      </c>
      <c r="AQ93" s="34">
        <v>6.2139086652012052</v>
      </c>
      <c r="AR93" s="39"/>
    </row>
    <row r="94" spans="1:44" ht="19.5" customHeight="1">
      <c r="A94" s="55">
        <v>15</v>
      </c>
      <c r="B94" s="100" t="s">
        <v>1732</v>
      </c>
      <c r="C94" s="99" t="s">
        <v>230</v>
      </c>
      <c r="D94" s="28" t="s">
        <v>1734</v>
      </c>
      <c r="E94" s="30"/>
      <c r="F94" s="32">
        <v>122359.0246788801</v>
      </c>
      <c r="G94" s="32">
        <v>22293.405169011519</v>
      </c>
      <c r="H94" s="32">
        <v>144652.42984789159</v>
      </c>
      <c r="I94" s="33">
        <v>42.557801342799173</v>
      </c>
      <c r="J94" s="33">
        <v>42.557801342799173</v>
      </c>
      <c r="K94" s="34">
        <v>14.18593378093305</v>
      </c>
      <c r="L94" s="33">
        <v>22.697494049492889</v>
      </c>
      <c r="M94" s="34">
        <v>28.371867561866111</v>
      </c>
      <c r="N94" s="34">
        <v>17.02312053711967</v>
      </c>
      <c r="O94" s="33">
        <v>17.02312053711967</v>
      </c>
      <c r="P94" s="34">
        <v>34.046241074239333</v>
      </c>
      <c r="Q94" s="33">
        <v>28.371867561866111</v>
      </c>
      <c r="R94" s="33">
        <v>34.046241074239333</v>
      </c>
      <c r="S94" s="33">
        <v>19.860307293306281</v>
      </c>
      <c r="T94" s="34">
        <v>19.860307293306281</v>
      </c>
      <c r="U94" s="34">
        <v>8.5115602685598333</v>
      </c>
      <c r="V94" s="34">
        <v>14.18593378093305</v>
      </c>
      <c r="W94" s="34">
        <v>8.5115602685598333</v>
      </c>
      <c r="X94" s="34">
        <v>85.115602685598333</v>
      </c>
      <c r="Y94" s="34">
        <v>45.394988098985777</v>
      </c>
      <c r="Z94" s="34"/>
      <c r="AA94" s="33">
        <v>7.7538891056646833</v>
      </c>
      <c r="AB94" s="33">
        <v>7.7538891056646833</v>
      </c>
      <c r="AC94" s="34">
        <v>2.584629701888228</v>
      </c>
      <c r="AD94" s="33">
        <v>4.1354075230211649</v>
      </c>
      <c r="AE94" s="34">
        <v>5.1692594037764552</v>
      </c>
      <c r="AF94" s="34">
        <v>3.1015556422658741</v>
      </c>
      <c r="AG94" s="33">
        <v>3.1015556422658741</v>
      </c>
      <c r="AH94" s="34">
        <v>6.2031112845317473</v>
      </c>
      <c r="AI94" s="33">
        <v>5.1692594037764552</v>
      </c>
      <c r="AJ94" s="33">
        <v>6.2031112845317473</v>
      </c>
      <c r="AK94" s="33">
        <v>3.6184815826435188</v>
      </c>
      <c r="AL94" s="34">
        <v>3.6184815826435188</v>
      </c>
      <c r="AM94" s="34">
        <v>1.5507778211329371</v>
      </c>
      <c r="AN94" s="34">
        <v>2.584629701888228</v>
      </c>
      <c r="AO94" s="34">
        <v>1.5507778211329371</v>
      </c>
      <c r="AP94" s="34">
        <v>15.50777821132937</v>
      </c>
      <c r="AQ94" s="34">
        <v>8.2708150460423298</v>
      </c>
      <c r="AR94" s="39"/>
    </row>
    <row r="95" spans="1:44" ht="19.5" customHeight="1">
      <c r="A95" s="62"/>
      <c r="B95" s="14" t="s">
        <v>1742</v>
      </c>
      <c r="C95" s="49" t="s">
        <v>185</v>
      </c>
      <c r="D95" s="107" t="s">
        <v>1747</v>
      </c>
      <c r="E95" s="51">
        <v>5</v>
      </c>
      <c r="F95" s="52">
        <v>483717.93869631708</v>
      </c>
      <c r="G95" s="52">
        <v>115115.147375295</v>
      </c>
      <c r="H95" s="52">
        <v>598833.08607161208</v>
      </c>
      <c r="I95" s="53">
        <v>168.24236704249759</v>
      </c>
      <c r="J95" s="53">
        <v>168.24236704249759</v>
      </c>
      <c r="K95" s="54">
        <v>56.080789014165873</v>
      </c>
      <c r="L95" s="53">
        <v>89.7292624226654</v>
      </c>
      <c r="M95" s="54">
        <v>112.1615780283317</v>
      </c>
      <c r="N95" s="54">
        <v>67.296946816999053</v>
      </c>
      <c r="O95" s="53">
        <v>67.296946816999053</v>
      </c>
      <c r="P95" s="54">
        <v>134.59389363399811</v>
      </c>
      <c r="Q95" s="53">
        <v>112.1615780283317</v>
      </c>
      <c r="R95" s="53">
        <v>134.59389363399811</v>
      </c>
      <c r="S95" s="53">
        <v>78.51310461983222</v>
      </c>
      <c r="T95" s="54">
        <v>78.51310461983222</v>
      </c>
      <c r="U95" s="54">
        <v>33.648473408499527</v>
      </c>
      <c r="V95" s="54">
        <v>56.080789014165873</v>
      </c>
      <c r="W95" s="54">
        <v>33.648473408499527</v>
      </c>
      <c r="X95" s="54">
        <v>336.48473408499518</v>
      </c>
      <c r="Y95" s="54">
        <v>179.4585248453308</v>
      </c>
      <c r="Z95" s="54"/>
      <c r="AA95" s="53">
        <v>40.038301926661731</v>
      </c>
      <c r="AB95" s="53">
        <v>40.038301926661731</v>
      </c>
      <c r="AC95" s="54">
        <v>13.346100642220581</v>
      </c>
      <c r="AD95" s="53">
        <v>21.35376102755292</v>
      </c>
      <c r="AE95" s="54">
        <v>26.69220128444115</v>
      </c>
      <c r="AF95" s="54">
        <v>16.01532077066469</v>
      </c>
      <c r="AG95" s="53">
        <v>16.01532077066469</v>
      </c>
      <c r="AH95" s="54">
        <v>32.030641541329381</v>
      </c>
      <c r="AI95" s="53">
        <v>26.69220128444115</v>
      </c>
      <c r="AJ95" s="53">
        <v>32.030641541329381</v>
      </c>
      <c r="AK95" s="53">
        <v>18.684540899108811</v>
      </c>
      <c r="AL95" s="54">
        <v>18.684540899108811</v>
      </c>
      <c r="AM95" s="54">
        <v>8.0076603853323451</v>
      </c>
      <c r="AN95" s="54">
        <v>13.346100642220581</v>
      </c>
      <c r="AO95" s="54">
        <v>8.0076603853323451</v>
      </c>
      <c r="AP95" s="54">
        <v>80.076603853323462</v>
      </c>
      <c r="AQ95" s="54">
        <v>42.707522055105841</v>
      </c>
      <c r="AR95" s="37"/>
    </row>
    <row r="96" spans="1:44" ht="19.5" customHeight="1">
      <c r="A96" s="108">
        <v>16</v>
      </c>
      <c r="B96" s="109" t="s">
        <v>1766</v>
      </c>
      <c r="C96" s="79" t="s">
        <v>94</v>
      </c>
      <c r="D96" s="78" t="s">
        <v>1770</v>
      </c>
      <c r="E96" s="30"/>
      <c r="F96" s="32">
        <v>110505.4930492767</v>
      </c>
      <c r="G96" s="32">
        <v>27866.756461264398</v>
      </c>
      <c r="H96" s="32">
        <v>138372.24951054109</v>
      </c>
      <c r="I96" s="33">
        <v>38.435013950310889</v>
      </c>
      <c r="J96" s="33">
        <v>38.435013950310889</v>
      </c>
      <c r="K96" s="34">
        <v>12.811671316770299</v>
      </c>
      <c r="L96" s="33">
        <v>20.498674106832471</v>
      </c>
      <c r="M96" s="34">
        <v>25.623342633540592</v>
      </c>
      <c r="N96" s="34">
        <v>15.37400558012436</v>
      </c>
      <c r="O96" s="33">
        <v>15.37400558012436</v>
      </c>
      <c r="P96" s="34">
        <v>30.748011160248719</v>
      </c>
      <c r="Q96" s="33">
        <v>25.623342633540592</v>
      </c>
      <c r="R96" s="33">
        <v>30.748011160248719</v>
      </c>
      <c r="S96" s="33">
        <v>17.936339843478411</v>
      </c>
      <c r="T96" s="34">
        <v>17.936339843478411</v>
      </c>
      <c r="U96" s="34">
        <v>7.6870027900621789</v>
      </c>
      <c r="V96" s="34">
        <v>12.811671316770299</v>
      </c>
      <c r="W96" s="34">
        <v>7.6870027900621789</v>
      </c>
      <c r="X96" s="34">
        <v>76.870027900621778</v>
      </c>
      <c r="Y96" s="34">
        <v>40.997348213664949</v>
      </c>
      <c r="Z96" s="54"/>
      <c r="AA96" s="33">
        <v>9.6923613820808523</v>
      </c>
      <c r="AB96" s="33">
        <v>9.6923613820808523</v>
      </c>
      <c r="AC96" s="34">
        <v>3.230787127360284</v>
      </c>
      <c r="AD96" s="33">
        <v>5.1692594037764552</v>
      </c>
      <c r="AE96" s="34">
        <v>6.4615742547205679</v>
      </c>
      <c r="AF96" s="34">
        <v>3.8769445528323412</v>
      </c>
      <c r="AG96" s="33">
        <v>3.8769445528323412</v>
      </c>
      <c r="AH96" s="34">
        <v>7.7538891056646824</v>
      </c>
      <c r="AI96" s="33">
        <v>6.4615742547205679</v>
      </c>
      <c r="AJ96" s="33">
        <v>7.7538891056646824</v>
      </c>
      <c r="AK96" s="33">
        <v>4.523101978304398</v>
      </c>
      <c r="AL96" s="34">
        <v>4.523101978304398</v>
      </c>
      <c r="AM96" s="34">
        <v>1.938472276416171</v>
      </c>
      <c r="AN96" s="34">
        <v>3.230787127360284</v>
      </c>
      <c r="AO96" s="34">
        <v>1.938472276416171</v>
      </c>
      <c r="AP96" s="34">
        <v>19.384722764161701</v>
      </c>
      <c r="AQ96" s="34">
        <v>10.33851880755291</v>
      </c>
      <c r="AR96" s="37"/>
    </row>
    <row r="97" spans="1:44" ht="19.5" customHeight="1">
      <c r="A97" s="110">
        <v>17</v>
      </c>
      <c r="B97" s="106" t="s">
        <v>133</v>
      </c>
      <c r="C97" s="30" t="s">
        <v>94</v>
      </c>
      <c r="D97" s="78" t="s">
        <v>1779</v>
      </c>
      <c r="E97" s="30"/>
      <c r="F97" s="32">
        <v>20904.451747346691</v>
      </c>
      <c r="G97" s="32">
        <v>53579.71449814782</v>
      </c>
      <c r="H97" s="32">
        <v>74484.166245494504</v>
      </c>
      <c r="I97" s="33">
        <v>7.27079597911563</v>
      </c>
      <c r="J97" s="33">
        <v>7.27079597911563</v>
      </c>
      <c r="K97" s="34">
        <v>2.4235986597052102</v>
      </c>
      <c r="L97" s="33">
        <v>3.8777578555283361</v>
      </c>
      <c r="M97" s="34">
        <v>4.8471973194104194</v>
      </c>
      <c r="N97" s="34">
        <v>2.9083183916462518</v>
      </c>
      <c r="O97" s="33">
        <v>2.9083183916462518</v>
      </c>
      <c r="P97" s="34">
        <v>5.8166367832925054</v>
      </c>
      <c r="Q97" s="33">
        <v>4.8471973194104194</v>
      </c>
      <c r="R97" s="33">
        <v>5.8166367832925054</v>
      </c>
      <c r="S97" s="33">
        <v>3.393038123587294</v>
      </c>
      <c r="T97" s="34">
        <v>3.393038123587294</v>
      </c>
      <c r="U97" s="34">
        <v>1.4541591958231259</v>
      </c>
      <c r="V97" s="34">
        <v>2.4235986597052102</v>
      </c>
      <c r="W97" s="34">
        <v>1.4541591958231259</v>
      </c>
      <c r="X97" s="34">
        <v>14.54159195823126</v>
      </c>
      <c r="Y97" s="34">
        <v>7.7555157110566721</v>
      </c>
      <c r="Z97" s="34"/>
      <c r="AA97" s="33">
        <v>18.635608216070182</v>
      </c>
      <c r="AB97" s="33">
        <v>18.635608216070182</v>
      </c>
      <c r="AC97" s="34">
        <v>6.2118694053567252</v>
      </c>
      <c r="AD97" s="33">
        <v>9.9389910485707613</v>
      </c>
      <c r="AE97" s="34">
        <v>12.42373881071345</v>
      </c>
      <c r="AF97" s="34">
        <v>7.4542432864280714</v>
      </c>
      <c r="AG97" s="33">
        <v>7.4542432864280714</v>
      </c>
      <c r="AH97" s="34">
        <v>14.908486572856139</v>
      </c>
      <c r="AI97" s="33">
        <v>12.42373881071345</v>
      </c>
      <c r="AJ97" s="33">
        <v>14.908486572856139</v>
      </c>
      <c r="AK97" s="33">
        <v>8.6966171674994168</v>
      </c>
      <c r="AL97" s="34">
        <v>8.6966171674994168</v>
      </c>
      <c r="AM97" s="34">
        <v>3.7271216432140362</v>
      </c>
      <c r="AN97" s="34">
        <v>6.2118694053567252</v>
      </c>
      <c r="AO97" s="34">
        <v>3.7271216432140362</v>
      </c>
      <c r="AP97" s="34">
        <v>37.271216432140363</v>
      </c>
      <c r="AQ97" s="34">
        <v>19.877982097141519</v>
      </c>
      <c r="AR97" s="39"/>
    </row>
    <row r="98" spans="1:44" ht="19.5" customHeight="1">
      <c r="A98" s="110">
        <v>18</v>
      </c>
      <c r="B98" s="106" t="s">
        <v>133</v>
      </c>
      <c r="C98" s="30" t="s">
        <v>94</v>
      </c>
      <c r="D98" s="78" t="s">
        <v>1789</v>
      </c>
      <c r="E98" s="30"/>
      <c r="F98" s="32">
        <v>33151.647914783003</v>
      </c>
      <c r="G98" s="32">
        <v>31066.756461264398</v>
      </c>
      <c r="H98" s="32">
        <v>64218.404376047401</v>
      </c>
      <c r="I98" s="33">
        <v>11.530504185093269</v>
      </c>
      <c r="J98" s="33">
        <v>11.530504185093269</v>
      </c>
      <c r="K98" s="34">
        <v>3.843501395031089</v>
      </c>
      <c r="L98" s="33">
        <v>6.1496022320497437</v>
      </c>
      <c r="M98" s="34">
        <v>7.6870027900621789</v>
      </c>
      <c r="N98" s="34">
        <v>4.6122016740373084</v>
      </c>
      <c r="O98" s="33">
        <v>4.6122016740373084</v>
      </c>
      <c r="P98" s="34">
        <v>9.224403348074615</v>
      </c>
      <c r="Q98" s="33">
        <v>7.6870027900621789</v>
      </c>
      <c r="R98" s="33">
        <v>9.224403348074615</v>
      </c>
      <c r="S98" s="33">
        <v>5.3809019530435256</v>
      </c>
      <c r="T98" s="34">
        <v>5.3809019530435256</v>
      </c>
      <c r="U98" s="34">
        <v>2.3061008370186542</v>
      </c>
      <c r="V98" s="34">
        <v>3.843501395031089</v>
      </c>
      <c r="W98" s="34">
        <v>2.3061008370186542</v>
      </c>
      <c r="X98" s="34">
        <v>23.061008370186538</v>
      </c>
      <c r="Y98" s="34">
        <v>12.299204464099491</v>
      </c>
      <c r="Z98" s="34"/>
      <c r="AA98" s="33">
        <v>10.80535623190384</v>
      </c>
      <c r="AB98" s="33">
        <v>10.80535623190384</v>
      </c>
      <c r="AC98" s="34">
        <v>3.601785410634613</v>
      </c>
      <c r="AD98" s="33">
        <v>5.7628566570153819</v>
      </c>
      <c r="AE98" s="34">
        <v>7.2035708212692269</v>
      </c>
      <c r="AF98" s="34">
        <v>4.3221424927615368</v>
      </c>
      <c r="AG98" s="33">
        <v>4.3221424927615368</v>
      </c>
      <c r="AH98" s="34">
        <v>8.6442849855230737</v>
      </c>
      <c r="AI98" s="33">
        <v>7.2035708212692269</v>
      </c>
      <c r="AJ98" s="33">
        <v>8.6442849855230737</v>
      </c>
      <c r="AK98" s="33">
        <v>5.0424995748884589</v>
      </c>
      <c r="AL98" s="34">
        <v>5.0424995748884589</v>
      </c>
      <c r="AM98" s="34">
        <v>2.161071246380768</v>
      </c>
      <c r="AN98" s="34">
        <v>3.601785410634613</v>
      </c>
      <c r="AO98" s="34">
        <v>2.161071246380768</v>
      </c>
      <c r="AP98" s="34">
        <v>21.61071246380768</v>
      </c>
      <c r="AQ98" s="34">
        <v>11.52571331403076</v>
      </c>
      <c r="AR98" s="39"/>
    </row>
    <row r="99" spans="1:44" ht="19.5" customHeight="1">
      <c r="A99" s="110">
        <v>19</v>
      </c>
      <c r="B99" s="109" t="s">
        <v>1797</v>
      </c>
      <c r="C99" s="30" t="s">
        <v>94</v>
      </c>
      <c r="D99" s="78" t="s">
        <v>1798</v>
      </c>
      <c r="E99" s="30"/>
      <c r="F99" s="32">
        <v>100000</v>
      </c>
      <c r="G99" s="32">
        <v>21219.688910157551</v>
      </c>
      <c r="H99" s="32">
        <v>121219.68891015759</v>
      </c>
      <c r="I99" s="33">
        <v>34.781089056968348</v>
      </c>
      <c r="J99" s="33">
        <v>34.781089056968348</v>
      </c>
      <c r="K99" s="34">
        <v>11.59369635232278</v>
      </c>
      <c r="L99" s="33">
        <v>18.549914163716451</v>
      </c>
      <c r="M99" s="34">
        <v>23.187392704645561</v>
      </c>
      <c r="N99" s="34">
        <v>13.91243562278734</v>
      </c>
      <c r="O99" s="33">
        <v>13.91243562278734</v>
      </c>
      <c r="P99" s="34">
        <v>27.824871245574681</v>
      </c>
      <c r="Q99" s="33">
        <v>23.187392704645561</v>
      </c>
      <c r="R99" s="33">
        <v>27.824871245574681</v>
      </c>
      <c r="S99" s="33">
        <v>16.2311748932519</v>
      </c>
      <c r="T99" s="34">
        <v>16.2311748932519</v>
      </c>
      <c r="U99" s="34">
        <v>6.9562178113936701</v>
      </c>
      <c r="V99" s="34">
        <v>11.59369635232278</v>
      </c>
      <c r="W99" s="34">
        <v>6.9562178113936701</v>
      </c>
      <c r="X99" s="34">
        <v>69.562178113936696</v>
      </c>
      <c r="Y99" s="34">
        <v>37.09982832743291</v>
      </c>
      <c r="Z99" s="34"/>
      <c r="AA99" s="33">
        <v>7.3804388974535353</v>
      </c>
      <c r="AB99" s="33">
        <v>7.3804388974535353</v>
      </c>
      <c r="AC99" s="34">
        <v>2.460146299151178</v>
      </c>
      <c r="AD99" s="33">
        <v>3.9362340786418848</v>
      </c>
      <c r="AE99" s="34">
        <v>4.920292598302356</v>
      </c>
      <c r="AF99" s="34">
        <v>2.952175558981414</v>
      </c>
      <c r="AG99" s="33">
        <v>2.952175558981414</v>
      </c>
      <c r="AH99" s="34">
        <v>5.9043511179628281</v>
      </c>
      <c r="AI99" s="33">
        <v>4.920292598302356</v>
      </c>
      <c r="AJ99" s="33">
        <v>5.9043511179628281</v>
      </c>
      <c r="AK99" s="33">
        <v>3.4442048188116501</v>
      </c>
      <c r="AL99" s="34">
        <v>3.4442048188116501</v>
      </c>
      <c r="AM99" s="34">
        <v>1.476087779490707</v>
      </c>
      <c r="AN99" s="34">
        <v>2.460146299151178</v>
      </c>
      <c r="AO99" s="34">
        <v>1.476087779490707</v>
      </c>
      <c r="AP99" s="34">
        <v>14.760877794907071</v>
      </c>
      <c r="AQ99" s="34">
        <v>7.8724681572837696</v>
      </c>
      <c r="AR99" s="39"/>
    </row>
    <row r="100" spans="1:44" ht="19.5" customHeight="1">
      <c r="A100" s="26">
        <v>20</v>
      </c>
      <c r="B100" s="109" t="s">
        <v>1807</v>
      </c>
      <c r="C100" s="30" t="s">
        <v>94</v>
      </c>
      <c r="D100" s="56" t="s">
        <v>1808</v>
      </c>
      <c r="E100" s="30"/>
      <c r="F100" s="32">
        <v>110505.4930492767</v>
      </c>
      <c r="G100" s="32">
        <v>27866.756461264398</v>
      </c>
      <c r="H100" s="32">
        <v>138372.24951054109</v>
      </c>
      <c r="I100" s="33">
        <v>38.435013950310889</v>
      </c>
      <c r="J100" s="33">
        <v>38.435013950310889</v>
      </c>
      <c r="K100" s="34">
        <v>12.811671316770299</v>
      </c>
      <c r="L100" s="33">
        <v>20.498674106832471</v>
      </c>
      <c r="M100" s="34">
        <v>25.623342633540592</v>
      </c>
      <c r="N100" s="34">
        <v>15.37400558012436</v>
      </c>
      <c r="O100" s="33">
        <v>15.37400558012436</v>
      </c>
      <c r="P100" s="34">
        <v>30.748011160248719</v>
      </c>
      <c r="Q100" s="33">
        <v>25.623342633540592</v>
      </c>
      <c r="R100" s="33">
        <v>30.748011160248719</v>
      </c>
      <c r="S100" s="33">
        <v>17.936339843478411</v>
      </c>
      <c r="T100" s="34">
        <v>17.936339843478411</v>
      </c>
      <c r="U100" s="34">
        <v>7.6870027900621789</v>
      </c>
      <c r="V100" s="34">
        <v>12.811671316770299</v>
      </c>
      <c r="W100" s="34">
        <v>7.6870027900621789</v>
      </c>
      <c r="X100" s="34">
        <v>76.870027900621778</v>
      </c>
      <c r="Y100" s="34">
        <v>40.997348213664949</v>
      </c>
      <c r="Z100" s="34"/>
      <c r="AA100" s="33">
        <v>9.6923613820808523</v>
      </c>
      <c r="AB100" s="33">
        <v>9.6923613820808523</v>
      </c>
      <c r="AC100" s="34">
        <v>3.230787127360284</v>
      </c>
      <c r="AD100" s="33">
        <v>5.1692594037764552</v>
      </c>
      <c r="AE100" s="34">
        <v>6.4615742547205679</v>
      </c>
      <c r="AF100" s="34">
        <v>3.8769445528323412</v>
      </c>
      <c r="AG100" s="33">
        <v>3.8769445528323412</v>
      </c>
      <c r="AH100" s="34">
        <v>7.7538891056646824</v>
      </c>
      <c r="AI100" s="33">
        <v>6.4615742547205679</v>
      </c>
      <c r="AJ100" s="33">
        <v>7.7538891056646824</v>
      </c>
      <c r="AK100" s="33">
        <v>4.523101978304398</v>
      </c>
      <c r="AL100" s="34">
        <v>4.523101978304398</v>
      </c>
      <c r="AM100" s="34">
        <v>1.938472276416171</v>
      </c>
      <c r="AN100" s="34">
        <v>3.230787127360284</v>
      </c>
      <c r="AO100" s="34">
        <v>1.938472276416171</v>
      </c>
      <c r="AP100" s="34">
        <v>19.384722764161701</v>
      </c>
      <c r="AQ100" s="34">
        <v>10.33851880755291</v>
      </c>
      <c r="AR100" s="39"/>
    </row>
    <row r="101" spans="1:44" ht="19.5" customHeight="1">
      <c r="A101" s="111"/>
      <c r="B101" s="112" t="s">
        <v>1817</v>
      </c>
      <c r="C101" s="89" t="s">
        <v>185</v>
      </c>
      <c r="D101" s="80" t="s">
        <v>1821</v>
      </c>
      <c r="E101" s="51">
        <v>5</v>
      </c>
      <c r="F101" s="52">
        <v>375067.08576068311</v>
      </c>
      <c r="G101" s="52">
        <v>161599.67279209851</v>
      </c>
      <c r="H101" s="52">
        <v>536666.75855278154</v>
      </c>
      <c r="I101" s="53">
        <v>130.45241712179899</v>
      </c>
      <c r="J101" s="53">
        <v>130.45241712179899</v>
      </c>
      <c r="K101" s="54">
        <v>43.484139040599679</v>
      </c>
      <c r="L101" s="53">
        <v>69.574622464959489</v>
      </c>
      <c r="M101" s="54">
        <v>86.968278081199358</v>
      </c>
      <c r="N101" s="54">
        <v>52.180966848719621</v>
      </c>
      <c r="O101" s="53">
        <v>52.180966848719621</v>
      </c>
      <c r="P101" s="54">
        <v>104.3619336974392</v>
      </c>
      <c r="Q101" s="53">
        <v>86.968278081199358</v>
      </c>
      <c r="R101" s="53">
        <v>104.3619336974392</v>
      </c>
      <c r="S101" s="53">
        <v>60.877794656839562</v>
      </c>
      <c r="T101" s="54">
        <v>60.877794656839562</v>
      </c>
      <c r="U101" s="54">
        <v>26.09048342435981</v>
      </c>
      <c r="V101" s="54">
        <v>43.484139040599679</v>
      </c>
      <c r="W101" s="54">
        <v>26.09048342435981</v>
      </c>
      <c r="X101" s="54">
        <v>260.90483424359809</v>
      </c>
      <c r="Y101" s="54">
        <v>139.14924492991901</v>
      </c>
      <c r="Z101" s="34"/>
      <c r="AA101" s="33">
        <v>56.206126109589263</v>
      </c>
      <c r="AB101" s="33">
        <v>56.206126109589263</v>
      </c>
      <c r="AC101" s="34">
        <v>18.735375369863078</v>
      </c>
      <c r="AD101" s="33">
        <v>29.97660059178094</v>
      </c>
      <c r="AE101" s="34">
        <v>37.470750739726157</v>
      </c>
      <c r="AF101" s="34">
        <v>22.482450443835699</v>
      </c>
      <c r="AG101" s="33">
        <v>22.482450443835699</v>
      </c>
      <c r="AH101" s="34">
        <v>44.964900887671398</v>
      </c>
      <c r="AI101" s="33">
        <v>37.470750739726157</v>
      </c>
      <c r="AJ101" s="33">
        <v>44.964900887671398</v>
      </c>
      <c r="AK101" s="33">
        <v>26.22952551780832</v>
      </c>
      <c r="AL101" s="34">
        <v>26.22952551780832</v>
      </c>
      <c r="AM101" s="34">
        <v>11.241225221917849</v>
      </c>
      <c r="AN101" s="34">
        <v>18.735375369863078</v>
      </c>
      <c r="AO101" s="34">
        <v>11.241225221917849</v>
      </c>
      <c r="AP101" s="34">
        <v>112.4122522191785</v>
      </c>
      <c r="AQ101" s="34">
        <v>59.953201183561873</v>
      </c>
      <c r="AR101" s="39"/>
    </row>
    <row r="102" spans="1:44" ht="19.5" customHeight="1">
      <c r="A102" s="26">
        <v>21</v>
      </c>
      <c r="B102" s="16" t="s">
        <v>902</v>
      </c>
      <c r="C102" s="30" t="s">
        <v>159</v>
      </c>
      <c r="D102" s="56" t="s">
        <v>1833</v>
      </c>
      <c r="E102" s="30"/>
      <c r="F102" s="32">
        <v>100000</v>
      </c>
      <c r="G102" s="32">
        <v>30000</v>
      </c>
      <c r="H102" s="32">
        <v>130000</v>
      </c>
      <c r="I102" s="33">
        <v>34.781089056968348</v>
      </c>
      <c r="J102" s="33">
        <v>34.781089056968348</v>
      </c>
      <c r="K102" s="34">
        <v>11.59369635232278</v>
      </c>
      <c r="L102" s="33">
        <v>18.549914163716451</v>
      </c>
      <c r="M102" s="34">
        <v>23.187392704645561</v>
      </c>
      <c r="N102" s="34">
        <v>13.91243562278734</v>
      </c>
      <c r="O102" s="33">
        <v>13.91243562278734</v>
      </c>
      <c r="P102" s="34">
        <v>27.824871245574681</v>
      </c>
      <c r="Q102" s="33">
        <v>23.187392704645561</v>
      </c>
      <c r="R102" s="33">
        <v>27.824871245574681</v>
      </c>
      <c r="S102" s="33">
        <v>16.2311748932519</v>
      </c>
      <c r="T102" s="34">
        <v>16.2311748932519</v>
      </c>
      <c r="U102" s="34">
        <v>6.9562178113936701</v>
      </c>
      <c r="V102" s="34">
        <v>11.59369635232278</v>
      </c>
      <c r="W102" s="34">
        <v>6.9562178113936701</v>
      </c>
      <c r="X102" s="34">
        <v>69.562178113936696</v>
      </c>
      <c r="Y102" s="34">
        <v>37.09982832743291</v>
      </c>
      <c r="Z102" s="34"/>
      <c r="AA102" s="33">
        <v>10.43432671709051</v>
      </c>
      <c r="AB102" s="33">
        <v>10.43432671709051</v>
      </c>
      <c r="AC102" s="34">
        <v>3.4781089056968351</v>
      </c>
      <c r="AD102" s="33">
        <v>5.564974249114937</v>
      </c>
      <c r="AE102" s="34">
        <v>6.9562178113936701</v>
      </c>
      <c r="AF102" s="34">
        <v>4.173730686836203</v>
      </c>
      <c r="AG102" s="33">
        <v>4.173730686836203</v>
      </c>
      <c r="AH102" s="34">
        <v>8.3474613736724059</v>
      </c>
      <c r="AI102" s="33">
        <v>6.9562178113936701</v>
      </c>
      <c r="AJ102" s="33">
        <v>8.3474613736724059</v>
      </c>
      <c r="AK102" s="33">
        <v>4.8693524679755704</v>
      </c>
      <c r="AL102" s="34">
        <v>4.8693524679755704</v>
      </c>
      <c r="AM102" s="34">
        <v>2.086865343418101</v>
      </c>
      <c r="AN102" s="34">
        <v>3.4781089056968351</v>
      </c>
      <c r="AO102" s="34">
        <v>2.086865343418101</v>
      </c>
      <c r="AP102" s="34">
        <v>20.868653434181009</v>
      </c>
      <c r="AQ102" s="34">
        <v>11.12994849822987</v>
      </c>
      <c r="AR102" s="39"/>
    </row>
    <row r="103" spans="1:44" ht="19.5" customHeight="1">
      <c r="A103" s="26">
        <v>22</v>
      </c>
      <c r="B103" s="16" t="s">
        <v>1845</v>
      </c>
      <c r="C103" s="30" t="s">
        <v>159</v>
      </c>
      <c r="D103" s="16" t="s">
        <v>1846</v>
      </c>
      <c r="E103" s="30"/>
      <c r="F103" s="32">
        <v>120723.20884092709</v>
      </c>
      <c r="G103" s="32">
        <v>27866.756461264398</v>
      </c>
      <c r="H103" s="32">
        <v>148589.9653021915</v>
      </c>
      <c r="I103" s="33">
        <v>41.988846779392759</v>
      </c>
      <c r="J103" s="33">
        <v>41.988846779392759</v>
      </c>
      <c r="K103" s="34">
        <v>13.99628225979759</v>
      </c>
      <c r="L103" s="33">
        <v>22.39405161567614</v>
      </c>
      <c r="M103" s="34">
        <v>27.99256451959517</v>
      </c>
      <c r="N103" s="34">
        <v>16.7955387117571</v>
      </c>
      <c r="O103" s="33">
        <v>16.7955387117571</v>
      </c>
      <c r="P103" s="34">
        <v>33.591077423514207</v>
      </c>
      <c r="Q103" s="33">
        <v>27.99256451959517</v>
      </c>
      <c r="R103" s="33">
        <v>33.591077423514207</v>
      </c>
      <c r="S103" s="33">
        <v>19.594795163716618</v>
      </c>
      <c r="T103" s="34">
        <v>19.594795163716618</v>
      </c>
      <c r="U103" s="34">
        <v>8.3977693558785518</v>
      </c>
      <c r="V103" s="34">
        <v>13.99628225979759</v>
      </c>
      <c r="W103" s="34">
        <v>8.3977693558785518</v>
      </c>
      <c r="X103" s="34">
        <v>83.977693558785518</v>
      </c>
      <c r="Y103" s="34">
        <v>44.788103231352281</v>
      </c>
      <c r="Z103" s="34"/>
      <c r="AA103" s="33">
        <v>9.6923613820808523</v>
      </c>
      <c r="AB103" s="33">
        <v>9.6923613820808523</v>
      </c>
      <c r="AC103" s="34">
        <v>3.230787127360284</v>
      </c>
      <c r="AD103" s="33">
        <v>5.1692594037764552</v>
      </c>
      <c r="AE103" s="34">
        <v>6.4615742547205679</v>
      </c>
      <c r="AF103" s="34">
        <v>3.8769445528323412</v>
      </c>
      <c r="AG103" s="33">
        <v>3.8769445528323412</v>
      </c>
      <c r="AH103" s="34">
        <v>7.7538891056646824</v>
      </c>
      <c r="AI103" s="33">
        <v>6.4615742547205679</v>
      </c>
      <c r="AJ103" s="33">
        <v>7.7538891056646824</v>
      </c>
      <c r="AK103" s="33">
        <v>4.523101978304398</v>
      </c>
      <c r="AL103" s="34">
        <v>4.523101978304398</v>
      </c>
      <c r="AM103" s="34">
        <v>1.938472276416171</v>
      </c>
      <c r="AN103" s="34">
        <v>3.230787127360284</v>
      </c>
      <c r="AO103" s="34">
        <v>1.938472276416171</v>
      </c>
      <c r="AP103" s="34">
        <v>19.384722764161701</v>
      </c>
      <c r="AQ103" s="34">
        <v>10.33851880755291</v>
      </c>
      <c r="AR103" s="39"/>
    </row>
    <row r="104" spans="1:44" ht="19.5" customHeight="1">
      <c r="A104" s="26">
        <v>23</v>
      </c>
      <c r="B104" s="16" t="s">
        <v>532</v>
      </c>
      <c r="C104" s="30" t="s">
        <v>94</v>
      </c>
      <c r="D104" s="78" t="s">
        <v>1854</v>
      </c>
      <c r="E104" s="30"/>
      <c r="F104" s="32">
        <v>105000</v>
      </c>
      <c r="G104" s="32">
        <v>18456.371860461379</v>
      </c>
      <c r="H104" s="32">
        <v>123456.3718604614</v>
      </c>
      <c r="I104" s="33">
        <v>36.520143509816769</v>
      </c>
      <c r="J104" s="33">
        <v>36.520143509816769</v>
      </c>
      <c r="K104" s="34">
        <v>12.173381169938921</v>
      </c>
      <c r="L104" s="33">
        <v>19.477409871902282</v>
      </c>
      <c r="M104" s="34">
        <v>24.346762339877841</v>
      </c>
      <c r="N104" s="34">
        <v>14.608057403926709</v>
      </c>
      <c r="O104" s="33">
        <v>14.608057403926709</v>
      </c>
      <c r="P104" s="34">
        <v>29.216114807853419</v>
      </c>
      <c r="Q104" s="33">
        <v>24.346762339877841</v>
      </c>
      <c r="R104" s="33">
        <v>29.216114807853419</v>
      </c>
      <c r="S104" s="33">
        <v>17.042733637914491</v>
      </c>
      <c r="T104" s="34">
        <v>17.042733637914491</v>
      </c>
      <c r="U104" s="34">
        <v>7.3040287019633539</v>
      </c>
      <c r="V104" s="34">
        <v>12.173381169938921</v>
      </c>
      <c r="W104" s="34">
        <v>7.3040287019633539</v>
      </c>
      <c r="X104" s="34">
        <v>73.040287019633539</v>
      </c>
      <c r="Y104" s="34">
        <v>38.954819743804563</v>
      </c>
      <c r="Z104" s="34"/>
      <c r="AA104" s="33">
        <v>6.4193271334723203</v>
      </c>
      <c r="AB104" s="33">
        <v>6.4193271334723203</v>
      </c>
      <c r="AC104" s="34">
        <v>2.1397757111574398</v>
      </c>
      <c r="AD104" s="33">
        <v>3.423641137851904</v>
      </c>
      <c r="AE104" s="34">
        <v>4.2795514223148796</v>
      </c>
      <c r="AF104" s="34">
        <v>2.567730853388928</v>
      </c>
      <c r="AG104" s="33">
        <v>2.567730853388928</v>
      </c>
      <c r="AH104" s="34">
        <v>5.1354617067778561</v>
      </c>
      <c r="AI104" s="33">
        <v>4.2795514223148796</v>
      </c>
      <c r="AJ104" s="33">
        <v>5.1354617067778561</v>
      </c>
      <c r="AK104" s="33">
        <v>2.9956859956204158</v>
      </c>
      <c r="AL104" s="34">
        <v>2.9956859956204158</v>
      </c>
      <c r="AM104" s="34">
        <v>1.283865426694464</v>
      </c>
      <c r="AN104" s="34">
        <v>2.1397757111574398</v>
      </c>
      <c r="AO104" s="34">
        <v>1.283865426694464</v>
      </c>
      <c r="AP104" s="34">
        <v>12.838654266944641</v>
      </c>
      <c r="AQ104" s="34">
        <v>6.8472822757038081</v>
      </c>
      <c r="AR104" s="39"/>
    </row>
    <row r="105" spans="1:44" ht="19.5" customHeight="1">
      <c r="A105" s="26">
        <v>24</v>
      </c>
      <c r="B105" s="16" t="s">
        <v>1863</v>
      </c>
      <c r="C105" s="30" t="s">
        <v>159</v>
      </c>
      <c r="D105" s="56" t="s">
        <v>1864</v>
      </c>
      <c r="E105" s="30"/>
      <c r="F105" s="32">
        <v>118019.707197774</v>
      </c>
      <c r="G105" s="32">
        <v>27866.756461264398</v>
      </c>
      <c r="H105" s="32">
        <v>145886.46365903839</v>
      </c>
      <c r="I105" s="33">
        <v>41.048539465231059</v>
      </c>
      <c r="J105" s="33">
        <v>41.048539465231059</v>
      </c>
      <c r="K105" s="34">
        <v>13.68284648841035</v>
      </c>
      <c r="L105" s="33">
        <v>21.89255438145657</v>
      </c>
      <c r="M105" s="34">
        <v>27.3656929768207</v>
      </c>
      <c r="N105" s="34">
        <v>16.419415786092429</v>
      </c>
      <c r="O105" s="33">
        <v>16.419415786092429</v>
      </c>
      <c r="P105" s="34">
        <v>32.838831572184851</v>
      </c>
      <c r="Q105" s="33">
        <v>27.3656929768207</v>
      </c>
      <c r="R105" s="33">
        <v>32.838831572184851</v>
      </c>
      <c r="S105" s="33">
        <v>19.1559850837745</v>
      </c>
      <c r="T105" s="34">
        <v>19.1559850837745</v>
      </c>
      <c r="U105" s="34">
        <v>8.2097078930462128</v>
      </c>
      <c r="V105" s="34">
        <v>13.68284648841035</v>
      </c>
      <c r="W105" s="34">
        <v>8.2097078930462128</v>
      </c>
      <c r="X105" s="34">
        <v>82.097078930462118</v>
      </c>
      <c r="Y105" s="34">
        <v>43.785108762913133</v>
      </c>
      <c r="Z105" s="34"/>
      <c r="AA105" s="33">
        <v>9.6923613820808523</v>
      </c>
      <c r="AB105" s="33">
        <v>9.6923613820808523</v>
      </c>
      <c r="AC105" s="34">
        <v>3.230787127360284</v>
      </c>
      <c r="AD105" s="33">
        <v>5.1692594037764552</v>
      </c>
      <c r="AE105" s="34">
        <v>6.4615742547205679</v>
      </c>
      <c r="AF105" s="34">
        <v>3.8769445528323412</v>
      </c>
      <c r="AG105" s="33">
        <v>3.8769445528323412</v>
      </c>
      <c r="AH105" s="34">
        <v>7.7538891056646824</v>
      </c>
      <c r="AI105" s="33">
        <v>6.4615742547205679</v>
      </c>
      <c r="AJ105" s="33">
        <v>7.7538891056646824</v>
      </c>
      <c r="AK105" s="33">
        <v>4.523101978304398</v>
      </c>
      <c r="AL105" s="34">
        <v>4.523101978304398</v>
      </c>
      <c r="AM105" s="34">
        <v>1.938472276416171</v>
      </c>
      <c r="AN105" s="34">
        <v>3.230787127360284</v>
      </c>
      <c r="AO105" s="34">
        <v>1.938472276416171</v>
      </c>
      <c r="AP105" s="34">
        <v>19.384722764161701</v>
      </c>
      <c r="AQ105" s="34">
        <v>10.33851880755291</v>
      </c>
      <c r="AR105" s="39"/>
    </row>
    <row r="106" spans="1:44" ht="19.5" customHeight="1">
      <c r="A106" s="26">
        <v>25</v>
      </c>
      <c r="B106" s="16" t="s">
        <v>1873</v>
      </c>
      <c r="C106" s="30" t="s">
        <v>230</v>
      </c>
      <c r="D106" s="56" t="s">
        <v>1874</v>
      </c>
      <c r="E106" s="30"/>
      <c r="F106" s="32">
        <v>124359.02467888</v>
      </c>
      <c r="G106" s="32">
        <v>27055.103360450881</v>
      </c>
      <c r="H106" s="32">
        <v>151414.12803933091</v>
      </c>
      <c r="I106" s="33">
        <v>43.253423123938497</v>
      </c>
      <c r="J106" s="33">
        <v>43.253423123938497</v>
      </c>
      <c r="K106" s="34">
        <v>14.417807707979501</v>
      </c>
      <c r="L106" s="33">
        <v>23.0684923327672</v>
      </c>
      <c r="M106" s="34">
        <v>28.835615415959001</v>
      </c>
      <c r="N106" s="34">
        <v>17.301369249575401</v>
      </c>
      <c r="O106" s="33">
        <v>17.301369249575401</v>
      </c>
      <c r="P106" s="34">
        <v>34.602738499150803</v>
      </c>
      <c r="Q106" s="33">
        <v>28.835615415959001</v>
      </c>
      <c r="R106" s="33">
        <v>34.602738499150803</v>
      </c>
      <c r="S106" s="33">
        <v>20.184930791171301</v>
      </c>
      <c r="T106" s="34">
        <v>20.184930791171301</v>
      </c>
      <c r="U106" s="34">
        <v>8.6506846247877007</v>
      </c>
      <c r="V106" s="34">
        <v>14.417807707979501</v>
      </c>
      <c r="W106" s="34">
        <v>8.6506846247877007</v>
      </c>
      <c r="X106" s="34">
        <v>86.506846247877007</v>
      </c>
      <c r="Y106" s="34">
        <v>46.136984665534413</v>
      </c>
      <c r="Z106" s="54"/>
      <c r="AA106" s="33">
        <v>9.4100595942532586</v>
      </c>
      <c r="AB106" s="33">
        <v>9.4100595942532586</v>
      </c>
      <c r="AC106" s="34">
        <v>3.136686531417753</v>
      </c>
      <c r="AD106" s="33">
        <v>5.0186984502684053</v>
      </c>
      <c r="AE106" s="34">
        <v>6.2733730628355051</v>
      </c>
      <c r="AF106" s="34">
        <v>3.7640238377013042</v>
      </c>
      <c r="AG106" s="33">
        <v>3.7640238377013042</v>
      </c>
      <c r="AH106" s="34">
        <v>7.5280476754026084</v>
      </c>
      <c r="AI106" s="33">
        <v>6.2733730628355051</v>
      </c>
      <c r="AJ106" s="33">
        <v>7.5280476754026084</v>
      </c>
      <c r="AK106" s="33">
        <v>4.3913611439848541</v>
      </c>
      <c r="AL106" s="34">
        <v>4.3913611439848541</v>
      </c>
      <c r="AM106" s="34">
        <v>1.8820119188506521</v>
      </c>
      <c r="AN106" s="34">
        <v>3.136686531417753</v>
      </c>
      <c r="AO106" s="34">
        <v>1.8820119188506521</v>
      </c>
      <c r="AP106" s="34">
        <v>18.820119188506521</v>
      </c>
      <c r="AQ106" s="34">
        <v>10.037396900536811</v>
      </c>
      <c r="AR106" s="37"/>
    </row>
    <row r="107" spans="1:44" ht="19.5" customHeight="1">
      <c r="A107" s="62"/>
      <c r="B107" s="112" t="s">
        <v>1881</v>
      </c>
      <c r="C107" s="89" t="s">
        <v>185</v>
      </c>
      <c r="D107" s="63" t="s">
        <v>1884</v>
      </c>
      <c r="E107" s="51">
        <v>5</v>
      </c>
      <c r="F107" s="52">
        <v>568101.94071758108</v>
      </c>
      <c r="G107" s="52">
        <v>131244.98814344109</v>
      </c>
      <c r="H107" s="52">
        <v>699346.92886102211</v>
      </c>
      <c r="I107" s="53">
        <v>197.59204193534751</v>
      </c>
      <c r="J107" s="53">
        <v>197.59204193534751</v>
      </c>
      <c r="K107" s="54">
        <v>65.864013978449137</v>
      </c>
      <c r="L107" s="53">
        <v>105.38242236551859</v>
      </c>
      <c r="M107" s="54">
        <v>131.7280279568983</v>
      </c>
      <c r="N107" s="54">
        <v>79.036816774138984</v>
      </c>
      <c r="O107" s="53">
        <v>79.036816774138984</v>
      </c>
      <c r="P107" s="54">
        <v>158.073633548278</v>
      </c>
      <c r="Q107" s="53">
        <v>131.7280279568983</v>
      </c>
      <c r="R107" s="53">
        <v>158.073633548278</v>
      </c>
      <c r="S107" s="53">
        <v>92.209619569828803</v>
      </c>
      <c r="T107" s="54">
        <v>92.209619569828803</v>
      </c>
      <c r="U107" s="54">
        <v>39.518408387069492</v>
      </c>
      <c r="V107" s="54">
        <v>65.864013978449137</v>
      </c>
      <c r="W107" s="54">
        <v>39.518408387069492</v>
      </c>
      <c r="X107" s="54">
        <v>395.18408387069491</v>
      </c>
      <c r="Y107" s="54">
        <v>210.7648447310373</v>
      </c>
      <c r="Z107" s="54"/>
      <c r="AA107" s="53">
        <v>45.648436208977792</v>
      </c>
      <c r="AB107" s="53">
        <v>45.648436208977792</v>
      </c>
      <c r="AC107" s="54">
        <v>15.21614540299259</v>
      </c>
      <c r="AD107" s="53">
        <v>24.34583264478816</v>
      </c>
      <c r="AE107" s="54">
        <v>30.43229080598519</v>
      </c>
      <c r="AF107" s="54">
        <v>18.25937448359112</v>
      </c>
      <c r="AG107" s="53">
        <v>18.25937448359112</v>
      </c>
      <c r="AH107" s="54">
        <v>36.518748967182233</v>
      </c>
      <c r="AI107" s="53">
        <v>30.43229080598519</v>
      </c>
      <c r="AJ107" s="53">
        <v>36.518748967182233</v>
      </c>
      <c r="AK107" s="53">
        <v>21.302603564189631</v>
      </c>
      <c r="AL107" s="54">
        <v>21.302603564189631</v>
      </c>
      <c r="AM107" s="54">
        <v>9.1296872417955584</v>
      </c>
      <c r="AN107" s="54">
        <v>15.21614540299259</v>
      </c>
      <c r="AO107" s="54">
        <v>9.1296872417955584</v>
      </c>
      <c r="AP107" s="54">
        <v>91.296872417955584</v>
      </c>
      <c r="AQ107" s="54">
        <v>48.691665289576306</v>
      </c>
      <c r="AR107" s="37"/>
    </row>
    <row r="108" spans="1:44" ht="19.5" customHeight="1">
      <c r="A108" s="108">
        <v>26</v>
      </c>
      <c r="B108" s="113" t="s">
        <v>1895</v>
      </c>
      <c r="C108" s="30" t="s">
        <v>159</v>
      </c>
      <c r="D108" s="114" t="s">
        <v>1901</v>
      </c>
      <c r="E108" s="30"/>
      <c r="F108" s="32">
        <v>110505.4930492767</v>
      </c>
      <c r="G108" s="32">
        <v>27866.756461264398</v>
      </c>
      <c r="H108" s="32">
        <v>138372.24951054109</v>
      </c>
      <c r="I108" s="33">
        <v>38.435013950310889</v>
      </c>
      <c r="J108" s="33">
        <v>38.435013950310889</v>
      </c>
      <c r="K108" s="34">
        <v>12.811671316770299</v>
      </c>
      <c r="L108" s="33">
        <v>20.498674106832471</v>
      </c>
      <c r="M108" s="34">
        <v>25.623342633540592</v>
      </c>
      <c r="N108" s="34">
        <v>15.37400558012436</v>
      </c>
      <c r="O108" s="33">
        <v>15.37400558012436</v>
      </c>
      <c r="P108" s="34">
        <v>30.748011160248719</v>
      </c>
      <c r="Q108" s="33">
        <v>25.623342633540592</v>
      </c>
      <c r="R108" s="33">
        <v>30.748011160248719</v>
      </c>
      <c r="S108" s="33">
        <v>17.936339843478411</v>
      </c>
      <c r="T108" s="34">
        <v>17.936339843478411</v>
      </c>
      <c r="U108" s="34">
        <v>7.6870027900621789</v>
      </c>
      <c r="V108" s="34">
        <v>12.811671316770299</v>
      </c>
      <c r="W108" s="34">
        <v>7.6870027900621789</v>
      </c>
      <c r="X108" s="34">
        <v>76.870027900621778</v>
      </c>
      <c r="Y108" s="34">
        <v>40.997348213664949</v>
      </c>
      <c r="Z108" s="34"/>
      <c r="AA108" s="33">
        <v>9.6923613820808523</v>
      </c>
      <c r="AB108" s="33">
        <v>9.6923613820808523</v>
      </c>
      <c r="AC108" s="34">
        <v>3.230787127360284</v>
      </c>
      <c r="AD108" s="33">
        <v>5.1692594037764552</v>
      </c>
      <c r="AE108" s="34">
        <v>6.4615742547205679</v>
      </c>
      <c r="AF108" s="34">
        <v>3.8769445528323412</v>
      </c>
      <c r="AG108" s="33">
        <v>3.8769445528323412</v>
      </c>
      <c r="AH108" s="34">
        <v>7.7538891056646824</v>
      </c>
      <c r="AI108" s="33">
        <v>6.4615742547205679</v>
      </c>
      <c r="AJ108" s="33">
        <v>7.7538891056646824</v>
      </c>
      <c r="AK108" s="33">
        <v>4.523101978304398</v>
      </c>
      <c r="AL108" s="34">
        <v>4.523101978304398</v>
      </c>
      <c r="AM108" s="34">
        <v>1.938472276416171</v>
      </c>
      <c r="AN108" s="34">
        <v>3.230787127360284</v>
      </c>
      <c r="AO108" s="34">
        <v>1.938472276416171</v>
      </c>
      <c r="AP108" s="34">
        <v>19.384722764161701</v>
      </c>
      <c r="AQ108" s="34">
        <v>10.33851880755291</v>
      </c>
      <c r="AR108" s="39"/>
    </row>
    <row r="109" spans="1:44" ht="19.5" customHeight="1">
      <c r="A109" s="110">
        <v>27</v>
      </c>
      <c r="B109" s="113" t="s">
        <v>1906</v>
      </c>
      <c r="C109" s="30" t="s">
        <v>94</v>
      </c>
      <c r="D109" s="114" t="s">
        <v>1907</v>
      </c>
      <c r="E109" s="30"/>
      <c r="F109" s="32">
        <v>110505.4930492767</v>
      </c>
      <c r="G109" s="32">
        <v>21219.688910157551</v>
      </c>
      <c r="H109" s="32">
        <v>131725.18195943421</v>
      </c>
      <c r="I109" s="33">
        <v>38.435013950310889</v>
      </c>
      <c r="J109" s="33">
        <v>38.435013950310889</v>
      </c>
      <c r="K109" s="34">
        <v>12.811671316770299</v>
      </c>
      <c r="L109" s="33">
        <v>20.498674106832471</v>
      </c>
      <c r="M109" s="34">
        <v>25.623342633540592</v>
      </c>
      <c r="N109" s="34">
        <v>15.37400558012436</v>
      </c>
      <c r="O109" s="33">
        <v>15.37400558012436</v>
      </c>
      <c r="P109" s="34">
        <v>30.748011160248719</v>
      </c>
      <c r="Q109" s="33">
        <v>25.623342633540592</v>
      </c>
      <c r="R109" s="33">
        <v>30.748011160248719</v>
      </c>
      <c r="S109" s="33">
        <v>17.936339843478411</v>
      </c>
      <c r="T109" s="34">
        <v>17.936339843478411</v>
      </c>
      <c r="U109" s="34">
        <v>7.6870027900621789</v>
      </c>
      <c r="V109" s="34">
        <v>12.811671316770299</v>
      </c>
      <c r="W109" s="34">
        <v>7.6870027900621789</v>
      </c>
      <c r="X109" s="34">
        <v>76.870027900621778</v>
      </c>
      <c r="Y109" s="34">
        <v>40.997348213664949</v>
      </c>
      <c r="Z109" s="54"/>
      <c r="AA109" s="33">
        <v>7.3804388974535353</v>
      </c>
      <c r="AB109" s="33">
        <v>7.3804388974535353</v>
      </c>
      <c r="AC109" s="34">
        <v>2.460146299151178</v>
      </c>
      <c r="AD109" s="33">
        <v>3.9362340786418848</v>
      </c>
      <c r="AE109" s="34">
        <v>4.920292598302356</v>
      </c>
      <c r="AF109" s="34">
        <v>2.952175558981414</v>
      </c>
      <c r="AG109" s="33">
        <v>2.952175558981414</v>
      </c>
      <c r="AH109" s="34">
        <v>5.9043511179628281</v>
      </c>
      <c r="AI109" s="33">
        <v>4.920292598302356</v>
      </c>
      <c r="AJ109" s="33">
        <v>5.9043511179628281</v>
      </c>
      <c r="AK109" s="33">
        <v>3.4442048188116501</v>
      </c>
      <c r="AL109" s="34">
        <v>3.4442048188116501</v>
      </c>
      <c r="AM109" s="34">
        <v>1.476087779490707</v>
      </c>
      <c r="AN109" s="34">
        <v>2.460146299151178</v>
      </c>
      <c r="AO109" s="34">
        <v>1.476087779490707</v>
      </c>
      <c r="AP109" s="34">
        <v>14.760877794907071</v>
      </c>
      <c r="AQ109" s="34">
        <v>7.8724681572837696</v>
      </c>
      <c r="AR109" s="37"/>
    </row>
    <row r="110" spans="1:44" ht="19.5" customHeight="1">
      <c r="A110" s="110">
        <v>28</v>
      </c>
      <c r="B110" s="106" t="s">
        <v>133</v>
      </c>
      <c r="C110" s="30" t="s">
        <v>94</v>
      </c>
      <c r="D110" s="114" t="s">
        <v>1917</v>
      </c>
      <c r="E110" s="30"/>
      <c r="F110" s="32">
        <v>33151.647914783003</v>
      </c>
      <c r="G110" s="32">
        <v>30166.756461264398</v>
      </c>
      <c r="H110" s="32">
        <v>63318.404376047401</v>
      </c>
      <c r="I110" s="33">
        <v>11.530504185093269</v>
      </c>
      <c r="J110" s="33">
        <v>11.530504185093269</v>
      </c>
      <c r="K110" s="34">
        <v>3.843501395031089</v>
      </c>
      <c r="L110" s="33">
        <v>6.1496022320497437</v>
      </c>
      <c r="M110" s="34">
        <v>7.6870027900621789</v>
      </c>
      <c r="N110" s="34">
        <v>4.6122016740373084</v>
      </c>
      <c r="O110" s="33">
        <v>4.6122016740373084</v>
      </c>
      <c r="P110" s="34">
        <v>9.224403348074615</v>
      </c>
      <c r="Q110" s="33">
        <v>7.6870027900621789</v>
      </c>
      <c r="R110" s="33">
        <v>9.224403348074615</v>
      </c>
      <c r="S110" s="33">
        <v>5.3809019530435256</v>
      </c>
      <c r="T110" s="34">
        <v>5.3809019530435256</v>
      </c>
      <c r="U110" s="34">
        <v>2.3061008370186542</v>
      </c>
      <c r="V110" s="34">
        <v>3.843501395031089</v>
      </c>
      <c r="W110" s="34">
        <v>2.3061008370186542</v>
      </c>
      <c r="X110" s="34">
        <v>23.061008370186538</v>
      </c>
      <c r="Y110" s="34">
        <v>12.299204464099491</v>
      </c>
      <c r="Z110" s="54"/>
      <c r="AA110" s="33">
        <v>10.492326430391129</v>
      </c>
      <c r="AB110" s="33">
        <v>10.492326430391129</v>
      </c>
      <c r="AC110" s="34">
        <v>3.497442143463708</v>
      </c>
      <c r="AD110" s="33">
        <v>5.595907429541934</v>
      </c>
      <c r="AE110" s="34">
        <v>6.9948842869274159</v>
      </c>
      <c r="AF110" s="34">
        <v>4.1969305721564503</v>
      </c>
      <c r="AG110" s="33">
        <v>4.1969305721564503</v>
      </c>
      <c r="AH110" s="34">
        <v>8.3938611443129005</v>
      </c>
      <c r="AI110" s="33">
        <v>6.9948842869274159</v>
      </c>
      <c r="AJ110" s="33">
        <v>8.3938611443129005</v>
      </c>
      <c r="AK110" s="33">
        <v>4.8964190008491917</v>
      </c>
      <c r="AL110" s="34">
        <v>4.8964190008491917</v>
      </c>
      <c r="AM110" s="34">
        <v>2.0984652860782251</v>
      </c>
      <c r="AN110" s="34">
        <v>3.497442143463708</v>
      </c>
      <c r="AO110" s="34">
        <v>2.0984652860782251</v>
      </c>
      <c r="AP110" s="34">
        <v>20.984652860782251</v>
      </c>
      <c r="AQ110" s="34">
        <v>11.19181485908387</v>
      </c>
      <c r="AR110" s="48"/>
    </row>
    <row r="111" spans="1:44" ht="19.5" customHeight="1">
      <c r="A111" s="110">
        <v>29</v>
      </c>
      <c r="B111" s="113" t="s">
        <v>1928</v>
      </c>
      <c r="C111" s="110" t="s">
        <v>94</v>
      </c>
      <c r="D111" s="114" t="s">
        <v>1929</v>
      </c>
      <c r="E111" s="30"/>
      <c r="F111" s="32">
        <v>114974.4846104068</v>
      </c>
      <c r="G111" s="32">
        <v>22293.405169011519</v>
      </c>
      <c r="H111" s="32">
        <v>137267.8897794183</v>
      </c>
      <c r="I111" s="33">
        <v>39.989377885135973</v>
      </c>
      <c r="J111" s="33">
        <v>39.989377885135973</v>
      </c>
      <c r="K111" s="34">
        <v>13.32979262837865</v>
      </c>
      <c r="L111" s="33">
        <v>21.32766820540585</v>
      </c>
      <c r="M111" s="34">
        <v>26.65958525675731</v>
      </c>
      <c r="N111" s="34">
        <v>15.995751154054391</v>
      </c>
      <c r="O111" s="33">
        <v>15.995751154054391</v>
      </c>
      <c r="P111" s="34">
        <v>31.991502308108771</v>
      </c>
      <c r="Q111" s="33">
        <v>26.65958525675731</v>
      </c>
      <c r="R111" s="33">
        <v>31.991502308108771</v>
      </c>
      <c r="S111" s="33">
        <v>18.661709679730119</v>
      </c>
      <c r="T111" s="34">
        <v>18.661709679730119</v>
      </c>
      <c r="U111" s="34">
        <v>7.9978755770271928</v>
      </c>
      <c r="V111" s="34">
        <v>13.32979262837865</v>
      </c>
      <c r="W111" s="34">
        <v>7.9978755770271928</v>
      </c>
      <c r="X111" s="34">
        <v>79.978755770271931</v>
      </c>
      <c r="Y111" s="34">
        <v>42.655336410811692</v>
      </c>
      <c r="Z111" s="34"/>
      <c r="AA111" s="33">
        <v>7.7538891056646833</v>
      </c>
      <c r="AB111" s="33">
        <v>7.7538891056646833</v>
      </c>
      <c r="AC111" s="34">
        <v>2.584629701888228</v>
      </c>
      <c r="AD111" s="33">
        <v>4.1354075230211649</v>
      </c>
      <c r="AE111" s="34">
        <v>5.1692594037764552</v>
      </c>
      <c r="AF111" s="34">
        <v>3.1015556422658741</v>
      </c>
      <c r="AG111" s="33">
        <v>3.1015556422658741</v>
      </c>
      <c r="AH111" s="34">
        <v>6.2031112845317473</v>
      </c>
      <c r="AI111" s="33">
        <v>5.1692594037764552</v>
      </c>
      <c r="AJ111" s="33">
        <v>6.2031112845317473</v>
      </c>
      <c r="AK111" s="33">
        <v>3.6184815826435188</v>
      </c>
      <c r="AL111" s="34">
        <v>3.6184815826435188</v>
      </c>
      <c r="AM111" s="34">
        <v>1.5507778211329371</v>
      </c>
      <c r="AN111" s="34">
        <v>2.584629701888228</v>
      </c>
      <c r="AO111" s="34">
        <v>1.5507778211329371</v>
      </c>
      <c r="AP111" s="34">
        <v>15.50777821132937</v>
      </c>
      <c r="AQ111" s="34">
        <v>8.2708150460423298</v>
      </c>
      <c r="AR111" s="39"/>
    </row>
    <row r="112" spans="1:44" ht="19.5" customHeight="1">
      <c r="A112" s="110">
        <v>30</v>
      </c>
      <c r="B112" s="109" t="s">
        <v>1936</v>
      </c>
      <c r="C112" s="110" t="s">
        <v>94</v>
      </c>
      <c r="D112" s="114" t="s">
        <v>1938</v>
      </c>
      <c r="E112" s="30"/>
      <c r="F112" s="32">
        <v>114974.4846104068</v>
      </c>
      <c r="G112" s="32">
        <v>22293.405169011519</v>
      </c>
      <c r="H112" s="32">
        <v>137267.8897794183</v>
      </c>
      <c r="I112" s="33">
        <v>39.989377885135973</v>
      </c>
      <c r="J112" s="33">
        <v>39.989377885135973</v>
      </c>
      <c r="K112" s="34">
        <v>13.32979262837865</v>
      </c>
      <c r="L112" s="33">
        <v>21.32766820540585</v>
      </c>
      <c r="M112" s="34">
        <v>26.65958525675731</v>
      </c>
      <c r="N112" s="34">
        <v>15.995751154054391</v>
      </c>
      <c r="O112" s="33">
        <v>15.995751154054391</v>
      </c>
      <c r="P112" s="34">
        <v>31.991502308108771</v>
      </c>
      <c r="Q112" s="33">
        <v>26.65958525675731</v>
      </c>
      <c r="R112" s="33">
        <v>31.991502308108771</v>
      </c>
      <c r="S112" s="33">
        <v>18.661709679730119</v>
      </c>
      <c r="T112" s="34">
        <v>18.661709679730119</v>
      </c>
      <c r="U112" s="34">
        <v>7.9978755770271928</v>
      </c>
      <c r="V112" s="34">
        <v>13.32979262837865</v>
      </c>
      <c r="W112" s="34">
        <v>7.9978755770271928</v>
      </c>
      <c r="X112" s="34">
        <v>79.978755770271931</v>
      </c>
      <c r="Y112" s="34">
        <v>42.655336410811692</v>
      </c>
      <c r="Z112" s="34"/>
      <c r="AA112" s="33">
        <v>7.7538891056646833</v>
      </c>
      <c r="AB112" s="33">
        <v>7.7538891056646833</v>
      </c>
      <c r="AC112" s="34">
        <v>2.584629701888228</v>
      </c>
      <c r="AD112" s="33">
        <v>4.1354075230211649</v>
      </c>
      <c r="AE112" s="34">
        <v>5.1692594037764552</v>
      </c>
      <c r="AF112" s="34">
        <v>3.1015556422658741</v>
      </c>
      <c r="AG112" s="33">
        <v>3.1015556422658741</v>
      </c>
      <c r="AH112" s="34">
        <v>6.2031112845317473</v>
      </c>
      <c r="AI112" s="33">
        <v>5.1692594037764552</v>
      </c>
      <c r="AJ112" s="33">
        <v>6.2031112845317473</v>
      </c>
      <c r="AK112" s="33">
        <v>3.6184815826435188</v>
      </c>
      <c r="AL112" s="34">
        <v>3.6184815826435188</v>
      </c>
      <c r="AM112" s="34">
        <v>1.5507778211329371</v>
      </c>
      <c r="AN112" s="34">
        <v>2.584629701888228</v>
      </c>
      <c r="AO112" s="34">
        <v>1.5507778211329371</v>
      </c>
      <c r="AP112" s="34">
        <v>15.50777821132937</v>
      </c>
      <c r="AQ112" s="34">
        <v>8.2708150460423298</v>
      </c>
      <c r="AR112" s="39"/>
    </row>
    <row r="113" spans="1:44" ht="19.5" customHeight="1">
      <c r="A113" s="111"/>
      <c r="B113" s="115" t="s">
        <v>1948</v>
      </c>
      <c r="C113" s="111" t="s">
        <v>185</v>
      </c>
      <c r="D113" s="116" t="s">
        <v>1950</v>
      </c>
      <c r="E113" s="51">
        <v>5</v>
      </c>
      <c r="F113" s="52">
        <v>484111.60323414998</v>
      </c>
      <c r="G113" s="52">
        <v>123840.01217070939</v>
      </c>
      <c r="H113" s="52">
        <v>607951.61540485942</v>
      </c>
      <c r="I113" s="53">
        <v>168.379287855987</v>
      </c>
      <c r="J113" s="53">
        <v>168.379287855987</v>
      </c>
      <c r="K113" s="54">
        <v>56.126429285328989</v>
      </c>
      <c r="L113" s="53">
        <v>89.802286856526393</v>
      </c>
      <c r="M113" s="54">
        <v>112.25285857065801</v>
      </c>
      <c r="N113" s="54">
        <v>67.351715142394795</v>
      </c>
      <c r="O113" s="53">
        <v>67.351715142394795</v>
      </c>
      <c r="P113" s="54">
        <v>134.70343028478959</v>
      </c>
      <c r="Q113" s="53">
        <v>112.25285857065801</v>
      </c>
      <c r="R113" s="53">
        <v>134.70343028478959</v>
      </c>
      <c r="S113" s="53">
        <v>78.577000999460594</v>
      </c>
      <c r="T113" s="54">
        <v>78.577000999460594</v>
      </c>
      <c r="U113" s="54">
        <v>33.675857571197398</v>
      </c>
      <c r="V113" s="54">
        <v>56.126429285328989</v>
      </c>
      <c r="W113" s="54">
        <v>33.675857571197398</v>
      </c>
      <c r="X113" s="54">
        <v>336.75857571197389</v>
      </c>
      <c r="Y113" s="54">
        <v>179.60457371305279</v>
      </c>
      <c r="Z113" s="34"/>
      <c r="AA113" s="33">
        <v>43.072904921254889</v>
      </c>
      <c r="AB113" s="33">
        <v>43.072904921254889</v>
      </c>
      <c r="AC113" s="34">
        <v>14.35763497375163</v>
      </c>
      <c r="AD113" s="33">
        <v>22.972215958002611</v>
      </c>
      <c r="AE113" s="34">
        <v>28.715269947503259</v>
      </c>
      <c r="AF113" s="34">
        <v>17.229161968501959</v>
      </c>
      <c r="AG113" s="33">
        <v>17.229161968501959</v>
      </c>
      <c r="AH113" s="34">
        <v>34.458323937003911</v>
      </c>
      <c r="AI113" s="33">
        <v>28.715269947503259</v>
      </c>
      <c r="AJ113" s="33">
        <v>34.458323937003911</v>
      </c>
      <c r="AK113" s="33">
        <v>20.100688963252281</v>
      </c>
      <c r="AL113" s="34">
        <v>20.100688963252281</v>
      </c>
      <c r="AM113" s="34">
        <v>8.6145809842509777</v>
      </c>
      <c r="AN113" s="34">
        <v>14.35763497375163</v>
      </c>
      <c r="AO113" s="34">
        <v>8.6145809842509777</v>
      </c>
      <c r="AP113" s="34">
        <v>86.145809842509777</v>
      </c>
      <c r="AQ113" s="34">
        <v>45.944431916005207</v>
      </c>
      <c r="AR113" s="39"/>
    </row>
    <row r="114" spans="1:44" ht="19.5" customHeight="1">
      <c r="A114" s="110">
        <v>31</v>
      </c>
      <c r="B114" s="109" t="s">
        <v>1959</v>
      </c>
      <c r="C114" s="89" t="s">
        <v>1822</v>
      </c>
      <c r="D114" s="78" t="s">
        <v>1960</v>
      </c>
      <c r="E114" s="30"/>
      <c r="F114" s="32">
        <v>0</v>
      </c>
      <c r="G114" s="32">
        <v>0</v>
      </c>
      <c r="H114" s="32">
        <v>0</v>
      </c>
      <c r="I114" s="33">
        <v>0</v>
      </c>
      <c r="J114" s="33">
        <v>0</v>
      </c>
      <c r="K114" s="34">
        <v>0</v>
      </c>
      <c r="L114" s="33">
        <v>0</v>
      </c>
      <c r="M114" s="34">
        <v>0</v>
      </c>
      <c r="N114" s="34">
        <v>0</v>
      </c>
      <c r="O114" s="33">
        <v>0</v>
      </c>
      <c r="P114" s="34">
        <v>0</v>
      </c>
      <c r="Q114" s="33">
        <v>0</v>
      </c>
      <c r="R114" s="33">
        <v>0</v>
      </c>
      <c r="S114" s="33">
        <v>0</v>
      </c>
      <c r="T114" s="34">
        <v>0</v>
      </c>
      <c r="U114" s="34">
        <v>0</v>
      </c>
      <c r="V114" s="34">
        <v>0</v>
      </c>
      <c r="W114" s="34">
        <v>0</v>
      </c>
      <c r="X114" s="34">
        <v>0</v>
      </c>
      <c r="Y114" s="34">
        <v>0</v>
      </c>
      <c r="Z114" s="34"/>
      <c r="AA114" s="33">
        <v>0</v>
      </c>
      <c r="AB114" s="33">
        <v>0</v>
      </c>
      <c r="AC114" s="34">
        <v>0</v>
      </c>
      <c r="AD114" s="33">
        <v>0</v>
      </c>
      <c r="AE114" s="34">
        <v>0</v>
      </c>
      <c r="AF114" s="34">
        <v>0</v>
      </c>
      <c r="AG114" s="33">
        <v>0</v>
      </c>
      <c r="AH114" s="34">
        <v>0</v>
      </c>
      <c r="AI114" s="33">
        <v>0</v>
      </c>
      <c r="AJ114" s="33">
        <v>0</v>
      </c>
      <c r="AK114" s="33">
        <v>0</v>
      </c>
      <c r="AL114" s="34">
        <v>0</v>
      </c>
      <c r="AM114" s="34">
        <v>0</v>
      </c>
      <c r="AN114" s="34">
        <v>0</v>
      </c>
      <c r="AO114" s="34">
        <v>0</v>
      </c>
      <c r="AP114" s="34">
        <v>0</v>
      </c>
      <c r="AQ114" s="34">
        <v>0</v>
      </c>
      <c r="AR114" s="39"/>
    </row>
    <row r="115" spans="1:44" ht="19.5" customHeight="1">
      <c r="A115" s="117"/>
      <c r="B115" s="118" t="s">
        <v>1971</v>
      </c>
      <c r="C115" s="67" t="s">
        <v>1974</v>
      </c>
      <c r="D115" s="93" t="s">
        <v>1976</v>
      </c>
      <c r="E115" s="67">
        <f>E114+E113+E107+E101+E95+E89+E83</f>
        <v>30</v>
      </c>
      <c r="F115" s="68">
        <v>2861425.6714775381</v>
      </c>
      <c r="G115" s="68">
        <v>842969.58259787643</v>
      </c>
      <c r="H115" s="68">
        <v>3704395.254075414</v>
      </c>
      <c r="I115" s="119">
        <v>995.23501109555718</v>
      </c>
      <c r="J115" s="119">
        <v>995.23501109555718</v>
      </c>
      <c r="K115" s="120">
        <v>331.74500369851899</v>
      </c>
      <c r="L115" s="119">
        <v>530.79200591763049</v>
      </c>
      <c r="M115" s="120">
        <v>663.49000739703797</v>
      </c>
      <c r="N115" s="120">
        <v>398.09400443822278</v>
      </c>
      <c r="O115" s="119">
        <v>398.09400443822278</v>
      </c>
      <c r="P115" s="120">
        <v>796.18800887644568</v>
      </c>
      <c r="Q115" s="119">
        <v>663.49000739703797</v>
      </c>
      <c r="R115" s="119">
        <v>796.18800887644568</v>
      </c>
      <c r="S115" s="119">
        <v>464.44300517792669</v>
      </c>
      <c r="T115" s="120">
        <v>464.44300517792669</v>
      </c>
      <c r="U115" s="120">
        <v>199.04700221911139</v>
      </c>
      <c r="V115" s="120">
        <v>331.74500369851899</v>
      </c>
      <c r="W115" s="120">
        <v>199.04700221911139</v>
      </c>
      <c r="X115" s="120">
        <v>1990.4700221911139</v>
      </c>
      <c r="Y115" s="120">
        <v>1061.584011835261</v>
      </c>
      <c r="Z115" s="120"/>
      <c r="AA115" s="119">
        <v>293.19400124652179</v>
      </c>
      <c r="AB115" s="119">
        <v>293.19400124652179</v>
      </c>
      <c r="AC115" s="120">
        <v>97.731333748840584</v>
      </c>
      <c r="AD115" s="119">
        <v>156.37013399814501</v>
      </c>
      <c r="AE115" s="120">
        <v>195.4626674976812</v>
      </c>
      <c r="AF115" s="120">
        <v>117.27760049860871</v>
      </c>
      <c r="AG115" s="119">
        <v>117.27760049860871</v>
      </c>
      <c r="AH115" s="120">
        <v>234.55520099721741</v>
      </c>
      <c r="AI115" s="119">
        <v>195.4626674976812</v>
      </c>
      <c r="AJ115" s="119">
        <v>234.55520099721741</v>
      </c>
      <c r="AK115" s="119">
        <v>136.82386724837681</v>
      </c>
      <c r="AL115" s="120">
        <v>136.82386724837681</v>
      </c>
      <c r="AM115" s="120">
        <v>58.63880024930436</v>
      </c>
      <c r="AN115" s="120">
        <v>97.731333748840584</v>
      </c>
      <c r="AO115" s="120">
        <v>58.63880024930436</v>
      </c>
      <c r="AP115" s="120">
        <v>586.38800249304359</v>
      </c>
      <c r="AQ115" s="120">
        <v>312.7402679962899</v>
      </c>
      <c r="AR115" s="121"/>
    </row>
    <row r="116" spans="1:44" ht="19.5" customHeight="1">
      <c r="A116" s="62"/>
      <c r="B116" s="76"/>
      <c r="C116" s="51"/>
      <c r="D116" s="63"/>
      <c r="E116" s="51"/>
      <c r="F116" s="32"/>
      <c r="G116" s="32"/>
      <c r="H116" s="32">
        <v>0</v>
      </c>
      <c r="I116" s="33">
        <v>0</v>
      </c>
      <c r="J116" s="33">
        <v>0</v>
      </c>
      <c r="K116" s="34">
        <v>0</v>
      </c>
      <c r="L116" s="33">
        <v>0</v>
      </c>
      <c r="M116" s="34">
        <v>0</v>
      </c>
      <c r="N116" s="34">
        <v>0</v>
      </c>
      <c r="O116" s="33">
        <v>0</v>
      </c>
      <c r="P116" s="34">
        <v>0</v>
      </c>
      <c r="Q116" s="33">
        <v>0</v>
      </c>
      <c r="R116" s="33">
        <v>0</v>
      </c>
      <c r="S116" s="33">
        <v>0</v>
      </c>
      <c r="T116" s="34">
        <v>0</v>
      </c>
      <c r="U116" s="34">
        <v>0</v>
      </c>
      <c r="V116" s="34">
        <v>0</v>
      </c>
      <c r="W116" s="34">
        <v>0</v>
      </c>
      <c r="X116" s="34">
        <v>0</v>
      </c>
      <c r="Y116" s="34">
        <v>0</v>
      </c>
      <c r="Z116" s="54"/>
      <c r="AA116" s="53">
        <v>0</v>
      </c>
      <c r="AB116" s="53">
        <v>0</v>
      </c>
      <c r="AC116" s="54">
        <v>0</v>
      </c>
      <c r="AD116" s="53">
        <v>0</v>
      </c>
      <c r="AE116" s="54">
        <v>0</v>
      </c>
      <c r="AF116" s="54">
        <v>0</v>
      </c>
      <c r="AG116" s="53">
        <v>0</v>
      </c>
      <c r="AH116" s="54">
        <v>0</v>
      </c>
      <c r="AI116" s="53">
        <v>0</v>
      </c>
      <c r="AJ116" s="53">
        <v>0</v>
      </c>
      <c r="AK116" s="53">
        <v>0</v>
      </c>
      <c r="AL116" s="54">
        <v>0</v>
      </c>
      <c r="AM116" s="54">
        <v>0</v>
      </c>
      <c r="AN116" s="54">
        <v>0</v>
      </c>
      <c r="AO116" s="54">
        <v>0</v>
      </c>
      <c r="AP116" s="54">
        <v>0</v>
      </c>
      <c r="AQ116" s="54">
        <v>0</v>
      </c>
      <c r="AR116" s="37"/>
    </row>
    <row r="117" spans="1:44" ht="19.5" customHeight="1">
      <c r="A117" s="14" t="s">
        <v>2005</v>
      </c>
      <c r="B117" s="122"/>
      <c r="C117" s="123"/>
      <c r="D117" s="122"/>
      <c r="E117" s="30"/>
      <c r="F117" s="32"/>
      <c r="G117" s="32"/>
      <c r="H117" s="32">
        <v>0</v>
      </c>
      <c r="I117" s="33">
        <v>0</v>
      </c>
      <c r="J117" s="33">
        <v>0</v>
      </c>
      <c r="K117" s="34">
        <v>0</v>
      </c>
      <c r="L117" s="33">
        <v>0</v>
      </c>
      <c r="M117" s="34">
        <v>0</v>
      </c>
      <c r="N117" s="34">
        <v>0</v>
      </c>
      <c r="O117" s="33">
        <v>0</v>
      </c>
      <c r="P117" s="34">
        <v>0</v>
      </c>
      <c r="Q117" s="33">
        <v>0</v>
      </c>
      <c r="R117" s="33">
        <v>0</v>
      </c>
      <c r="S117" s="33">
        <v>0</v>
      </c>
      <c r="T117" s="34">
        <v>0</v>
      </c>
      <c r="U117" s="34">
        <v>0</v>
      </c>
      <c r="V117" s="34">
        <v>0</v>
      </c>
      <c r="W117" s="34">
        <v>0</v>
      </c>
      <c r="X117" s="34">
        <v>0</v>
      </c>
      <c r="Y117" s="34">
        <v>0</v>
      </c>
      <c r="Z117" s="54"/>
      <c r="AA117" s="53">
        <v>0</v>
      </c>
      <c r="AB117" s="53">
        <v>0</v>
      </c>
      <c r="AC117" s="54">
        <v>0</v>
      </c>
      <c r="AD117" s="53">
        <v>0</v>
      </c>
      <c r="AE117" s="54">
        <v>0</v>
      </c>
      <c r="AF117" s="54">
        <v>0</v>
      </c>
      <c r="AG117" s="53">
        <v>0</v>
      </c>
      <c r="AH117" s="54">
        <v>0</v>
      </c>
      <c r="AI117" s="53">
        <v>0</v>
      </c>
      <c r="AJ117" s="53">
        <v>0</v>
      </c>
      <c r="AK117" s="53">
        <v>0</v>
      </c>
      <c r="AL117" s="54">
        <v>0</v>
      </c>
      <c r="AM117" s="54">
        <v>0</v>
      </c>
      <c r="AN117" s="54">
        <v>0</v>
      </c>
      <c r="AO117" s="54">
        <v>0</v>
      </c>
      <c r="AP117" s="54">
        <v>0</v>
      </c>
      <c r="AQ117" s="54">
        <v>0</v>
      </c>
      <c r="AR117" s="37"/>
    </row>
    <row r="118" spans="1:44" ht="19.5" customHeight="1">
      <c r="A118" s="55">
        <v>1</v>
      </c>
      <c r="B118" s="28" t="s">
        <v>2019</v>
      </c>
      <c r="C118" s="99" t="s">
        <v>94</v>
      </c>
      <c r="D118" s="28" t="s">
        <v>2022</v>
      </c>
      <c r="E118" s="124"/>
      <c r="F118" s="32">
        <v>120723.20884092709</v>
      </c>
      <c r="G118" s="32">
        <v>16720.05387675864</v>
      </c>
      <c r="H118" s="32">
        <v>137443.26271768581</v>
      </c>
      <c r="I118" s="33">
        <v>41.988846779392759</v>
      </c>
      <c r="J118" s="33">
        <v>41.988846779392759</v>
      </c>
      <c r="K118" s="34">
        <v>13.99628225979759</v>
      </c>
      <c r="L118" s="33">
        <v>22.39405161567614</v>
      </c>
      <c r="M118" s="34">
        <v>27.99256451959517</v>
      </c>
      <c r="N118" s="34">
        <v>16.7955387117571</v>
      </c>
      <c r="O118" s="33">
        <v>16.7955387117571</v>
      </c>
      <c r="P118" s="34">
        <v>33.591077423514207</v>
      </c>
      <c r="Q118" s="33">
        <v>27.99256451959517</v>
      </c>
      <c r="R118" s="33">
        <v>33.591077423514207</v>
      </c>
      <c r="S118" s="33">
        <v>19.594795163716618</v>
      </c>
      <c r="T118" s="34">
        <v>19.594795163716618</v>
      </c>
      <c r="U118" s="34">
        <v>8.3977693558785518</v>
      </c>
      <c r="V118" s="34">
        <v>13.99628225979759</v>
      </c>
      <c r="W118" s="34">
        <v>8.3977693558785518</v>
      </c>
      <c r="X118" s="34">
        <v>83.977693558785518</v>
      </c>
      <c r="Y118" s="34">
        <v>44.788103231352281</v>
      </c>
      <c r="Z118" s="34"/>
      <c r="AA118" s="33">
        <v>5.8154168292485124</v>
      </c>
      <c r="AB118" s="33">
        <v>5.8154168292485124</v>
      </c>
      <c r="AC118" s="34">
        <v>1.938472276416171</v>
      </c>
      <c r="AD118" s="33">
        <v>3.1015556422658741</v>
      </c>
      <c r="AE118" s="34">
        <v>3.8769445528323412</v>
      </c>
      <c r="AF118" s="34">
        <v>2.3261667316994048</v>
      </c>
      <c r="AG118" s="33">
        <v>2.3261667316994048</v>
      </c>
      <c r="AH118" s="34">
        <v>4.6523334633988096</v>
      </c>
      <c r="AI118" s="33">
        <v>3.8769445528323412</v>
      </c>
      <c r="AJ118" s="33">
        <v>4.6523334633988096</v>
      </c>
      <c r="AK118" s="33">
        <v>2.7138611869826388</v>
      </c>
      <c r="AL118" s="34">
        <v>2.7138611869826388</v>
      </c>
      <c r="AM118" s="34">
        <v>1.1630833658497031</v>
      </c>
      <c r="AN118" s="34">
        <v>1.938472276416171</v>
      </c>
      <c r="AO118" s="34">
        <v>1.1630833658497031</v>
      </c>
      <c r="AP118" s="34">
        <v>11.63083365849702</v>
      </c>
      <c r="AQ118" s="34">
        <v>6.2031112845317473</v>
      </c>
      <c r="AR118" s="39"/>
    </row>
    <row r="119" spans="1:44" ht="19.5" customHeight="1">
      <c r="A119" s="55">
        <v>2</v>
      </c>
      <c r="B119" s="81" t="s">
        <v>133</v>
      </c>
      <c r="C119" s="30" t="s">
        <v>94</v>
      </c>
      <c r="D119" s="28" t="s">
        <v>2032</v>
      </c>
      <c r="E119" s="30"/>
      <c r="F119" s="32">
        <v>44202.197219710673</v>
      </c>
      <c r="G119" s="32">
        <v>16720.05387675864</v>
      </c>
      <c r="H119" s="32">
        <v>60922.251096469307</v>
      </c>
      <c r="I119" s="33">
        <v>15.37400558012436</v>
      </c>
      <c r="J119" s="33">
        <v>15.37400558012436</v>
      </c>
      <c r="K119" s="34">
        <v>5.1246685267081187</v>
      </c>
      <c r="L119" s="33">
        <v>8.1994696427329909</v>
      </c>
      <c r="M119" s="34">
        <v>10.249337053416239</v>
      </c>
      <c r="N119" s="34">
        <v>6.1496022320497428</v>
      </c>
      <c r="O119" s="33">
        <v>6.1496022320497428</v>
      </c>
      <c r="P119" s="34">
        <v>12.299204464099491</v>
      </c>
      <c r="Q119" s="33">
        <v>10.249337053416239</v>
      </c>
      <c r="R119" s="33">
        <v>12.299204464099491</v>
      </c>
      <c r="S119" s="33">
        <v>7.1745359373913669</v>
      </c>
      <c r="T119" s="34">
        <v>7.1745359373913669</v>
      </c>
      <c r="U119" s="34">
        <v>3.0748011160248709</v>
      </c>
      <c r="V119" s="34">
        <v>5.1246685267081187</v>
      </c>
      <c r="W119" s="34">
        <v>3.0748011160248709</v>
      </c>
      <c r="X119" s="34">
        <v>30.748011160248709</v>
      </c>
      <c r="Y119" s="34">
        <v>16.398939285465978</v>
      </c>
      <c r="Z119" s="34"/>
      <c r="AA119" s="33">
        <v>5.8154168292485124</v>
      </c>
      <c r="AB119" s="33">
        <v>5.8154168292485124</v>
      </c>
      <c r="AC119" s="34">
        <v>1.938472276416171</v>
      </c>
      <c r="AD119" s="33">
        <v>3.1015556422658741</v>
      </c>
      <c r="AE119" s="34">
        <v>3.8769445528323412</v>
      </c>
      <c r="AF119" s="34">
        <v>2.3261667316994048</v>
      </c>
      <c r="AG119" s="33">
        <v>2.3261667316994048</v>
      </c>
      <c r="AH119" s="34">
        <v>4.6523334633988096</v>
      </c>
      <c r="AI119" s="33">
        <v>3.8769445528323412</v>
      </c>
      <c r="AJ119" s="33">
        <v>4.6523334633988096</v>
      </c>
      <c r="AK119" s="33">
        <v>2.7138611869826388</v>
      </c>
      <c r="AL119" s="34">
        <v>2.7138611869826388</v>
      </c>
      <c r="AM119" s="34">
        <v>1.1630833658497031</v>
      </c>
      <c r="AN119" s="34">
        <v>1.938472276416171</v>
      </c>
      <c r="AO119" s="34">
        <v>1.1630833658497031</v>
      </c>
      <c r="AP119" s="34">
        <v>11.63083365849702</v>
      </c>
      <c r="AQ119" s="34">
        <v>6.2031112845317473</v>
      </c>
      <c r="AR119" s="39"/>
    </row>
    <row r="120" spans="1:44" ht="19.5" customHeight="1">
      <c r="A120" s="55">
        <v>3</v>
      </c>
      <c r="B120" s="56" t="s">
        <v>2040</v>
      </c>
      <c r="C120" s="79" t="s">
        <v>94</v>
      </c>
      <c r="D120" s="101" t="s">
        <v>2042</v>
      </c>
      <c r="E120" s="30"/>
      <c r="F120" s="32">
        <v>110505.4930492767</v>
      </c>
      <c r="G120" s="32">
        <v>21219.688910157551</v>
      </c>
      <c r="H120" s="32">
        <v>131725.18195943421</v>
      </c>
      <c r="I120" s="33">
        <v>38.435013950310889</v>
      </c>
      <c r="J120" s="33">
        <v>38.435013950310889</v>
      </c>
      <c r="K120" s="34">
        <v>12.811671316770299</v>
      </c>
      <c r="L120" s="33">
        <v>20.498674106832471</v>
      </c>
      <c r="M120" s="34">
        <v>25.623342633540592</v>
      </c>
      <c r="N120" s="34">
        <v>15.37400558012436</v>
      </c>
      <c r="O120" s="33">
        <v>15.37400558012436</v>
      </c>
      <c r="P120" s="34">
        <v>30.748011160248719</v>
      </c>
      <c r="Q120" s="33">
        <v>25.623342633540592</v>
      </c>
      <c r="R120" s="33">
        <v>30.748011160248719</v>
      </c>
      <c r="S120" s="33">
        <v>17.936339843478411</v>
      </c>
      <c r="T120" s="34">
        <v>17.936339843478411</v>
      </c>
      <c r="U120" s="34">
        <v>7.6870027900621789</v>
      </c>
      <c r="V120" s="34">
        <v>12.811671316770299</v>
      </c>
      <c r="W120" s="34">
        <v>7.6870027900621789</v>
      </c>
      <c r="X120" s="34">
        <v>76.870027900621778</v>
      </c>
      <c r="Y120" s="34">
        <v>40.997348213664949</v>
      </c>
      <c r="Z120" s="34"/>
      <c r="AA120" s="33">
        <v>7.3804388974535353</v>
      </c>
      <c r="AB120" s="33">
        <v>7.3804388974535353</v>
      </c>
      <c r="AC120" s="34">
        <v>2.460146299151178</v>
      </c>
      <c r="AD120" s="33">
        <v>3.9362340786418848</v>
      </c>
      <c r="AE120" s="34">
        <v>4.920292598302356</v>
      </c>
      <c r="AF120" s="34">
        <v>2.952175558981414</v>
      </c>
      <c r="AG120" s="33">
        <v>2.952175558981414</v>
      </c>
      <c r="AH120" s="34">
        <v>5.9043511179628281</v>
      </c>
      <c r="AI120" s="33">
        <v>4.920292598302356</v>
      </c>
      <c r="AJ120" s="33">
        <v>5.9043511179628281</v>
      </c>
      <c r="AK120" s="33">
        <v>3.4442048188116501</v>
      </c>
      <c r="AL120" s="34">
        <v>3.4442048188116501</v>
      </c>
      <c r="AM120" s="34">
        <v>1.476087779490707</v>
      </c>
      <c r="AN120" s="34">
        <v>2.460146299151178</v>
      </c>
      <c r="AO120" s="34">
        <v>1.476087779490707</v>
      </c>
      <c r="AP120" s="34">
        <v>14.760877794907071</v>
      </c>
      <c r="AQ120" s="34">
        <v>7.8724681572837696</v>
      </c>
      <c r="AR120" s="39"/>
    </row>
    <row r="121" spans="1:44" ht="19.5" customHeight="1">
      <c r="A121" s="55">
        <v>4</v>
      </c>
      <c r="B121" s="28" t="s">
        <v>2052</v>
      </c>
      <c r="C121" s="79" t="s">
        <v>94</v>
      </c>
      <c r="D121" s="100" t="s">
        <v>2054</v>
      </c>
      <c r="E121" s="30"/>
      <c r="F121" s="32">
        <v>120723.20884092709</v>
      </c>
      <c r="G121" s="32">
        <v>16720.05387675864</v>
      </c>
      <c r="H121" s="32">
        <v>137443.26271768581</v>
      </c>
      <c r="I121" s="33">
        <v>41.988846779392759</v>
      </c>
      <c r="J121" s="33">
        <v>41.988846779392759</v>
      </c>
      <c r="K121" s="34">
        <v>13.99628225979759</v>
      </c>
      <c r="L121" s="33">
        <v>22.39405161567614</v>
      </c>
      <c r="M121" s="34">
        <v>27.99256451959517</v>
      </c>
      <c r="N121" s="34">
        <v>16.7955387117571</v>
      </c>
      <c r="O121" s="33">
        <v>16.7955387117571</v>
      </c>
      <c r="P121" s="34">
        <v>33.591077423514207</v>
      </c>
      <c r="Q121" s="33">
        <v>27.99256451959517</v>
      </c>
      <c r="R121" s="33">
        <v>33.591077423514207</v>
      </c>
      <c r="S121" s="33">
        <v>19.594795163716618</v>
      </c>
      <c r="T121" s="34">
        <v>19.594795163716618</v>
      </c>
      <c r="U121" s="34">
        <v>8.3977693558785518</v>
      </c>
      <c r="V121" s="34">
        <v>13.99628225979759</v>
      </c>
      <c r="W121" s="34">
        <v>8.3977693558785518</v>
      </c>
      <c r="X121" s="34">
        <v>83.977693558785518</v>
      </c>
      <c r="Y121" s="34">
        <v>44.788103231352281</v>
      </c>
      <c r="Z121" s="34"/>
      <c r="AA121" s="33">
        <v>5.8154168292485124</v>
      </c>
      <c r="AB121" s="33">
        <v>5.8154168292485124</v>
      </c>
      <c r="AC121" s="34">
        <v>1.938472276416171</v>
      </c>
      <c r="AD121" s="33">
        <v>3.1015556422658741</v>
      </c>
      <c r="AE121" s="34">
        <v>3.8769445528323412</v>
      </c>
      <c r="AF121" s="34">
        <v>2.3261667316994048</v>
      </c>
      <c r="AG121" s="33">
        <v>2.3261667316994048</v>
      </c>
      <c r="AH121" s="34">
        <v>4.6523334633988096</v>
      </c>
      <c r="AI121" s="33">
        <v>3.8769445528323412</v>
      </c>
      <c r="AJ121" s="33">
        <v>4.6523334633988096</v>
      </c>
      <c r="AK121" s="33">
        <v>2.7138611869826388</v>
      </c>
      <c r="AL121" s="34">
        <v>2.7138611869826388</v>
      </c>
      <c r="AM121" s="34">
        <v>1.1630833658497031</v>
      </c>
      <c r="AN121" s="34">
        <v>1.938472276416171</v>
      </c>
      <c r="AO121" s="34">
        <v>1.1630833658497031</v>
      </c>
      <c r="AP121" s="34">
        <v>11.63083365849702</v>
      </c>
      <c r="AQ121" s="34">
        <v>6.2031112845317473</v>
      </c>
      <c r="AR121" s="39"/>
    </row>
    <row r="122" spans="1:44" ht="19.5" customHeight="1">
      <c r="A122" s="55">
        <v>5</v>
      </c>
      <c r="B122" s="28" t="s">
        <v>2063</v>
      </c>
      <c r="C122" s="79" t="s">
        <v>159</v>
      </c>
      <c r="D122" s="28" t="s">
        <v>2064</v>
      </c>
      <c r="E122" s="30"/>
      <c r="F122" s="32">
        <v>120723.20884092709</v>
      </c>
      <c r="G122" s="32">
        <v>16720.05387675864</v>
      </c>
      <c r="H122" s="32">
        <v>137443.26271768581</v>
      </c>
      <c r="I122" s="33">
        <v>41.988846779392759</v>
      </c>
      <c r="J122" s="33">
        <v>41.988846779392759</v>
      </c>
      <c r="K122" s="34">
        <v>13.99628225979759</v>
      </c>
      <c r="L122" s="33">
        <v>22.39405161567614</v>
      </c>
      <c r="M122" s="34">
        <v>27.99256451959517</v>
      </c>
      <c r="N122" s="34">
        <v>16.7955387117571</v>
      </c>
      <c r="O122" s="33">
        <v>16.7955387117571</v>
      </c>
      <c r="P122" s="34">
        <v>33.591077423514207</v>
      </c>
      <c r="Q122" s="33">
        <v>27.99256451959517</v>
      </c>
      <c r="R122" s="33">
        <v>33.591077423514207</v>
      </c>
      <c r="S122" s="33">
        <v>19.594795163716618</v>
      </c>
      <c r="T122" s="34">
        <v>19.594795163716618</v>
      </c>
      <c r="U122" s="34">
        <v>8.3977693558785518</v>
      </c>
      <c r="V122" s="34">
        <v>13.99628225979759</v>
      </c>
      <c r="W122" s="34">
        <v>8.3977693558785518</v>
      </c>
      <c r="X122" s="34">
        <v>83.977693558785518</v>
      </c>
      <c r="Y122" s="34">
        <v>44.788103231352281</v>
      </c>
      <c r="Z122" s="34"/>
      <c r="AA122" s="33">
        <v>5.8154168292485124</v>
      </c>
      <c r="AB122" s="33">
        <v>5.8154168292485124</v>
      </c>
      <c r="AC122" s="34">
        <v>1.938472276416171</v>
      </c>
      <c r="AD122" s="33">
        <v>3.1015556422658741</v>
      </c>
      <c r="AE122" s="34">
        <v>3.8769445528323412</v>
      </c>
      <c r="AF122" s="34">
        <v>2.3261667316994048</v>
      </c>
      <c r="AG122" s="33">
        <v>2.3261667316994048</v>
      </c>
      <c r="AH122" s="34">
        <v>4.6523334633988096</v>
      </c>
      <c r="AI122" s="33">
        <v>3.8769445528323412</v>
      </c>
      <c r="AJ122" s="33">
        <v>4.6523334633988096</v>
      </c>
      <c r="AK122" s="33">
        <v>2.7138611869826388</v>
      </c>
      <c r="AL122" s="34">
        <v>2.7138611869826388</v>
      </c>
      <c r="AM122" s="34">
        <v>1.1630833658497031</v>
      </c>
      <c r="AN122" s="34">
        <v>1.938472276416171</v>
      </c>
      <c r="AO122" s="34">
        <v>1.1630833658497031</v>
      </c>
      <c r="AP122" s="34">
        <v>11.63083365849702</v>
      </c>
      <c r="AQ122" s="34">
        <v>6.2031112845317473</v>
      </c>
      <c r="AR122" s="39"/>
    </row>
    <row r="123" spans="1:44" ht="19.5" customHeight="1">
      <c r="A123" s="62"/>
      <c r="B123" s="63" t="s">
        <v>1091</v>
      </c>
      <c r="C123" s="89" t="s">
        <v>997</v>
      </c>
      <c r="D123" s="63" t="s">
        <v>2076</v>
      </c>
      <c r="E123" s="51">
        <v>5</v>
      </c>
      <c r="F123" s="52">
        <v>516877.31679176871</v>
      </c>
      <c r="G123" s="52">
        <v>88099.904417192112</v>
      </c>
      <c r="H123" s="52">
        <v>604977.22120896075</v>
      </c>
      <c r="I123" s="53">
        <v>179.7755598686135</v>
      </c>
      <c r="J123" s="53">
        <v>179.7755598686135</v>
      </c>
      <c r="K123" s="54">
        <v>59.925186622871159</v>
      </c>
      <c r="L123" s="53">
        <v>95.88029859659386</v>
      </c>
      <c r="M123" s="54">
        <v>119.8503732457423</v>
      </c>
      <c r="N123" s="54">
        <v>71.910223947445402</v>
      </c>
      <c r="O123" s="53">
        <v>71.910223947445402</v>
      </c>
      <c r="P123" s="54">
        <v>143.8204478948908</v>
      </c>
      <c r="Q123" s="53">
        <v>119.8503732457423</v>
      </c>
      <c r="R123" s="53">
        <v>143.8204478948908</v>
      </c>
      <c r="S123" s="53">
        <v>83.895261272019638</v>
      </c>
      <c r="T123" s="54">
        <v>83.895261272019638</v>
      </c>
      <c r="U123" s="54">
        <v>35.955111973722701</v>
      </c>
      <c r="V123" s="54">
        <v>59.925186622871159</v>
      </c>
      <c r="W123" s="54">
        <v>35.955111973722701</v>
      </c>
      <c r="X123" s="54">
        <v>359.551119737227</v>
      </c>
      <c r="Y123" s="54">
        <v>191.76059719318769</v>
      </c>
      <c r="Z123" s="34"/>
      <c r="AA123" s="33">
        <v>30.64210621444758</v>
      </c>
      <c r="AB123" s="33">
        <v>30.64210621444758</v>
      </c>
      <c r="AC123" s="34">
        <v>10.21403540481586</v>
      </c>
      <c r="AD123" s="33">
        <v>16.342456647705379</v>
      </c>
      <c r="AE123" s="34">
        <v>20.42807080963172</v>
      </c>
      <c r="AF123" s="34">
        <v>12.25684248577903</v>
      </c>
      <c r="AG123" s="33">
        <v>12.25684248577903</v>
      </c>
      <c r="AH123" s="34">
        <v>24.513684971558071</v>
      </c>
      <c r="AI123" s="33">
        <v>20.42807080963172</v>
      </c>
      <c r="AJ123" s="33">
        <v>24.513684971558071</v>
      </c>
      <c r="AK123" s="33">
        <v>14.299649566742209</v>
      </c>
      <c r="AL123" s="34">
        <v>14.299649566742209</v>
      </c>
      <c r="AM123" s="34">
        <v>6.1284212428895168</v>
      </c>
      <c r="AN123" s="34">
        <v>10.21403540481586</v>
      </c>
      <c r="AO123" s="34">
        <v>6.1284212428895168</v>
      </c>
      <c r="AP123" s="34">
        <v>61.284212428895167</v>
      </c>
      <c r="AQ123" s="34">
        <v>32.684913295410752</v>
      </c>
      <c r="AR123" s="39"/>
    </row>
    <row r="124" spans="1:44" ht="19.5" customHeight="1">
      <c r="A124" s="55">
        <v>6</v>
      </c>
      <c r="B124" s="28" t="s">
        <v>2090</v>
      </c>
      <c r="C124" s="99" t="s">
        <v>159</v>
      </c>
      <c r="D124" s="28" t="s">
        <v>2092</v>
      </c>
      <c r="E124" s="124"/>
      <c r="F124" s="32">
        <v>120723.20884092709</v>
      </c>
      <c r="G124" s="32">
        <v>16720.05387675864</v>
      </c>
      <c r="H124" s="32">
        <v>137443.26271768581</v>
      </c>
      <c r="I124" s="33">
        <v>41.988846779392759</v>
      </c>
      <c r="J124" s="33">
        <v>41.988846779392759</v>
      </c>
      <c r="K124" s="34">
        <v>13.99628225979759</v>
      </c>
      <c r="L124" s="33">
        <v>22.39405161567614</v>
      </c>
      <c r="M124" s="34">
        <v>27.99256451959517</v>
      </c>
      <c r="N124" s="34">
        <v>16.7955387117571</v>
      </c>
      <c r="O124" s="33">
        <v>16.7955387117571</v>
      </c>
      <c r="P124" s="34">
        <v>33.591077423514207</v>
      </c>
      <c r="Q124" s="33">
        <v>27.99256451959517</v>
      </c>
      <c r="R124" s="33">
        <v>33.591077423514207</v>
      </c>
      <c r="S124" s="33">
        <v>19.594795163716618</v>
      </c>
      <c r="T124" s="34">
        <v>19.594795163716618</v>
      </c>
      <c r="U124" s="34">
        <v>8.3977693558785518</v>
      </c>
      <c r="V124" s="34">
        <v>13.99628225979759</v>
      </c>
      <c r="W124" s="34">
        <v>8.3977693558785518</v>
      </c>
      <c r="X124" s="34">
        <v>83.977693558785518</v>
      </c>
      <c r="Y124" s="34">
        <v>44.788103231352281</v>
      </c>
      <c r="Z124" s="54"/>
      <c r="AA124" s="33">
        <v>5.8154168292485124</v>
      </c>
      <c r="AB124" s="33">
        <v>5.8154168292485124</v>
      </c>
      <c r="AC124" s="34">
        <v>1.938472276416171</v>
      </c>
      <c r="AD124" s="33">
        <v>3.1015556422658741</v>
      </c>
      <c r="AE124" s="34">
        <v>3.8769445528323412</v>
      </c>
      <c r="AF124" s="34">
        <v>2.3261667316994048</v>
      </c>
      <c r="AG124" s="33">
        <v>2.3261667316994048</v>
      </c>
      <c r="AH124" s="34">
        <v>4.6523334633988096</v>
      </c>
      <c r="AI124" s="33">
        <v>3.8769445528323412</v>
      </c>
      <c r="AJ124" s="33">
        <v>4.6523334633988096</v>
      </c>
      <c r="AK124" s="33">
        <v>2.7138611869826388</v>
      </c>
      <c r="AL124" s="34">
        <v>2.7138611869826388</v>
      </c>
      <c r="AM124" s="34">
        <v>1.1630833658497031</v>
      </c>
      <c r="AN124" s="34">
        <v>1.938472276416171</v>
      </c>
      <c r="AO124" s="34">
        <v>1.1630833658497031</v>
      </c>
      <c r="AP124" s="34">
        <v>11.63083365849702</v>
      </c>
      <c r="AQ124" s="34">
        <v>6.2031112845317473</v>
      </c>
      <c r="AR124" s="37"/>
    </row>
    <row r="125" spans="1:44" ht="19.5" customHeight="1">
      <c r="A125" s="55">
        <v>7</v>
      </c>
      <c r="B125" s="28" t="s">
        <v>2104</v>
      </c>
      <c r="C125" s="79" t="s">
        <v>159</v>
      </c>
      <c r="D125" s="28" t="s">
        <v>2105</v>
      </c>
      <c r="E125" s="30"/>
      <c r="F125" s="32">
        <v>128888.2667520808</v>
      </c>
      <c r="G125" s="32">
        <v>22293.405169011519</v>
      </c>
      <c r="H125" s="32">
        <v>151181.67192109229</v>
      </c>
      <c r="I125" s="33">
        <v>44.828742843024173</v>
      </c>
      <c r="J125" s="33">
        <v>44.828742843024173</v>
      </c>
      <c r="K125" s="34">
        <v>14.942914281008051</v>
      </c>
      <c r="L125" s="33">
        <v>23.908662849612892</v>
      </c>
      <c r="M125" s="34">
        <v>29.885828562016108</v>
      </c>
      <c r="N125" s="34">
        <v>17.931497137209671</v>
      </c>
      <c r="O125" s="33">
        <v>17.931497137209671</v>
      </c>
      <c r="P125" s="34">
        <v>35.862994274419343</v>
      </c>
      <c r="Q125" s="33">
        <v>29.885828562016108</v>
      </c>
      <c r="R125" s="33">
        <v>35.862994274419343</v>
      </c>
      <c r="S125" s="33">
        <v>20.920079993411282</v>
      </c>
      <c r="T125" s="34">
        <v>20.920079993411282</v>
      </c>
      <c r="U125" s="34">
        <v>8.9657485686048339</v>
      </c>
      <c r="V125" s="34">
        <v>14.942914281008051</v>
      </c>
      <c r="W125" s="34">
        <v>8.9657485686048339</v>
      </c>
      <c r="X125" s="34">
        <v>89.657485686048346</v>
      </c>
      <c r="Y125" s="34">
        <v>47.817325699225783</v>
      </c>
      <c r="Z125" s="54"/>
      <c r="AA125" s="33">
        <v>7.7538891056646833</v>
      </c>
      <c r="AB125" s="33">
        <v>7.7538891056646833</v>
      </c>
      <c r="AC125" s="34">
        <v>2.584629701888228</v>
      </c>
      <c r="AD125" s="33">
        <v>4.1354075230211649</v>
      </c>
      <c r="AE125" s="34">
        <v>5.1692594037764552</v>
      </c>
      <c r="AF125" s="34">
        <v>3.1015556422658741</v>
      </c>
      <c r="AG125" s="33">
        <v>3.1015556422658741</v>
      </c>
      <c r="AH125" s="34">
        <v>6.2031112845317473</v>
      </c>
      <c r="AI125" s="33">
        <v>5.1692594037764552</v>
      </c>
      <c r="AJ125" s="33">
        <v>6.2031112845317473</v>
      </c>
      <c r="AK125" s="33">
        <v>3.6184815826435188</v>
      </c>
      <c r="AL125" s="34">
        <v>3.6184815826435188</v>
      </c>
      <c r="AM125" s="34">
        <v>1.5507778211329371</v>
      </c>
      <c r="AN125" s="34">
        <v>2.584629701888228</v>
      </c>
      <c r="AO125" s="34">
        <v>1.5507778211329371</v>
      </c>
      <c r="AP125" s="34">
        <v>15.50777821132937</v>
      </c>
      <c r="AQ125" s="34">
        <v>8.2708150460423298</v>
      </c>
      <c r="AR125" s="37"/>
    </row>
    <row r="126" spans="1:44" ht="19.5" customHeight="1">
      <c r="A126" s="55">
        <v>8</v>
      </c>
      <c r="B126" s="28" t="s">
        <v>2112</v>
      </c>
      <c r="C126" s="79" t="s">
        <v>94</v>
      </c>
      <c r="D126" s="56" t="s">
        <v>2113</v>
      </c>
      <c r="E126" s="30"/>
      <c r="F126" s="32">
        <v>110505.4930492767</v>
      </c>
      <c r="G126" s="32">
        <v>13166.104975579099</v>
      </c>
      <c r="H126" s="32">
        <v>123671.5980248558</v>
      </c>
      <c r="I126" s="33">
        <v>38.435013950310889</v>
      </c>
      <c r="J126" s="33">
        <v>38.435013950310889</v>
      </c>
      <c r="K126" s="34">
        <v>12.811671316770299</v>
      </c>
      <c r="L126" s="33">
        <v>20.498674106832471</v>
      </c>
      <c r="M126" s="34">
        <v>25.623342633540592</v>
      </c>
      <c r="N126" s="34">
        <v>15.37400558012436</v>
      </c>
      <c r="O126" s="33">
        <v>15.37400558012436</v>
      </c>
      <c r="P126" s="34">
        <v>30.748011160248719</v>
      </c>
      <c r="Q126" s="33">
        <v>25.623342633540592</v>
      </c>
      <c r="R126" s="33">
        <v>30.748011160248719</v>
      </c>
      <c r="S126" s="33">
        <v>17.936339843478411</v>
      </c>
      <c r="T126" s="34">
        <v>17.936339843478411</v>
      </c>
      <c r="U126" s="34">
        <v>7.6870027900621789</v>
      </c>
      <c r="V126" s="34">
        <v>12.811671316770299</v>
      </c>
      <c r="W126" s="34">
        <v>7.6870027900621789</v>
      </c>
      <c r="X126" s="34">
        <v>76.870027900621778</v>
      </c>
      <c r="Y126" s="34">
        <v>40.997348213664949</v>
      </c>
      <c r="Z126" s="34"/>
      <c r="AA126" s="33">
        <v>4.5793146968901084</v>
      </c>
      <c r="AB126" s="33">
        <v>4.5793146968901084</v>
      </c>
      <c r="AC126" s="34">
        <v>1.5264382322967029</v>
      </c>
      <c r="AD126" s="33">
        <v>2.4423011716747238</v>
      </c>
      <c r="AE126" s="34">
        <v>3.052876464593405</v>
      </c>
      <c r="AF126" s="34">
        <v>1.8317258787560431</v>
      </c>
      <c r="AG126" s="33">
        <v>1.8317258787560431</v>
      </c>
      <c r="AH126" s="34">
        <v>3.6634517575120871</v>
      </c>
      <c r="AI126" s="33">
        <v>3.052876464593405</v>
      </c>
      <c r="AJ126" s="33">
        <v>3.6634517575120871</v>
      </c>
      <c r="AK126" s="33">
        <v>2.1370135252153841</v>
      </c>
      <c r="AL126" s="34">
        <v>2.1370135252153841</v>
      </c>
      <c r="AM126" s="34">
        <v>0.91586293937802166</v>
      </c>
      <c r="AN126" s="34">
        <v>1.5264382322967029</v>
      </c>
      <c r="AO126" s="34">
        <v>0.91586293937802166</v>
      </c>
      <c r="AP126" s="34">
        <v>9.158629393780215</v>
      </c>
      <c r="AQ126" s="34">
        <v>4.8846023433494494</v>
      </c>
      <c r="AR126" s="39"/>
    </row>
    <row r="127" spans="1:44" ht="19.5" customHeight="1">
      <c r="A127" s="55">
        <v>9</v>
      </c>
      <c r="B127" s="28" t="s">
        <v>2119</v>
      </c>
      <c r="C127" s="79" t="s">
        <v>94</v>
      </c>
      <c r="D127" s="28" t="s">
        <v>2120</v>
      </c>
      <c r="E127" s="30"/>
      <c r="F127" s="32">
        <v>120200.59754724349</v>
      </c>
      <c r="G127" s="32">
        <v>16720.05387675864</v>
      </c>
      <c r="H127" s="32">
        <v>136920.65142400211</v>
      </c>
      <c r="I127" s="33">
        <v>41.807076879914867</v>
      </c>
      <c r="J127" s="33">
        <v>41.807076879914867</v>
      </c>
      <c r="K127" s="34">
        <v>13.93569229330495</v>
      </c>
      <c r="L127" s="33">
        <v>22.297107669287929</v>
      </c>
      <c r="M127" s="34">
        <v>27.87138458660991</v>
      </c>
      <c r="N127" s="34">
        <v>16.722830751965951</v>
      </c>
      <c r="O127" s="33">
        <v>16.722830751965951</v>
      </c>
      <c r="P127" s="34">
        <v>33.445661503931888</v>
      </c>
      <c r="Q127" s="33">
        <v>27.87138458660991</v>
      </c>
      <c r="R127" s="33">
        <v>33.445661503931888</v>
      </c>
      <c r="S127" s="33">
        <v>19.509969210626942</v>
      </c>
      <c r="T127" s="34">
        <v>19.509969210626942</v>
      </c>
      <c r="U127" s="34">
        <v>8.3614153759829737</v>
      </c>
      <c r="V127" s="34">
        <v>13.93569229330495</v>
      </c>
      <c r="W127" s="34">
        <v>8.3614153759829737</v>
      </c>
      <c r="X127" s="34">
        <v>83.614153759829733</v>
      </c>
      <c r="Y127" s="34">
        <v>44.594215338575857</v>
      </c>
      <c r="Z127" s="34"/>
      <c r="AA127" s="33">
        <v>5.8154168292485124</v>
      </c>
      <c r="AB127" s="33">
        <v>5.8154168292485124</v>
      </c>
      <c r="AC127" s="34">
        <v>1.938472276416171</v>
      </c>
      <c r="AD127" s="33">
        <v>3.1015556422658741</v>
      </c>
      <c r="AE127" s="34">
        <v>3.8769445528323412</v>
      </c>
      <c r="AF127" s="34">
        <v>2.3261667316994048</v>
      </c>
      <c r="AG127" s="33">
        <v>2.3261667316994048</v>
      </c>
      <c r="AH127" s="34">
        <v>4.6523334633988096</v>
      </c>
      <c r="AI127" s="33">
        <v>3.8769445528323412</v>
      </c>
      <c r="AJ127" s="33">
        <v>4.6523334633988096</v>
      </c>
      <c r="AK127" s="33">
        <v>2.7138611869826388</v>
      </c>
      <c r="AL127" s="34">
        <v>2.7138611869826388</v>
      </c>
      <c r="AM127" s="34">
        <v>1.1630833658497031</v>
      </c>
      <c r="AN127" s="34">
        <v>1.938472276416171</v>
      </c>
      <c r="AO127" s="34">
        <v>1.1630833658497031</v>
      </c>
      <c r="AP127" s="34">
        <v>11.63083365849702</v>
      </c>
      <c r="AQ127" s="34">
        <v>6.2031112845317473</v>
      </c>
      <c r="AR127" s="39"/>
    </row>
    <row r="128" spans="1:44" ht="19.5" customHeight="1">
      <c r="A128" s="62"/>
      <c r="B128" s="63" t="s">
        <v>2127</v>
      </c>
      <c r="C128" s="89" t="s">
        <v>997</v>
      </c>
      <c r="D128" s="63" t="s">
        <v>2105</v>
      </c>
      <c r="E128" s="51">
        <v>4</v>
      </c>
      <c r="F128" s="52">
        <v>480317.56618952809</v>
      </c>
      <c r="G128" s="52">
        <v>68899.617898107899</v>
      </c>
      <c r="H128" s="52">
        <v>549217.18408763595</v>
      </c>
      <c r="I128" s="53">
        <v>167.05968045264271</v>
      </c>
      <c r="J128" s="53">
        <v>167.05968045264271</v>
      </c>
      <c r="K128" s="54">
        <v>55.686560150880887</v>
      </c>
      <c r="L128" s="53">
        <v>89.098496241409421</v>
      </c>
      <c r="M128" s="54">
        <v>111.3731203017618</v>
      </c>
      <c r="N128" s="54">
        <v>66.823872181057069</v>
      </c>
      <c r="O128" s="53">
        <v>66.823872181057069</v>
      </c>
      <c r="P128" s="54">
        <v>133.64774436211411</v>
      </c>
      <c r="Q128" s="53">
        <v>111.3731203017618</v>
      </c>
      <c r="R128" s="53">
        <v>133.64774436211411</v>
      </c>
      <c r="S128" s="53">
        <v>77.961184211233245</v>
      </c>
      <c r="T128" s="54">
        <v>77.961184211233245</v>
      </c>
      <c r="U128" s="54">
        <v>33.411936090528528</v>
      </c>
      <c r="V128" s="54">
        <v>55.686560150880887</v>
      </c>
      <c r="W128" s="54">
        <v>33.411936090528528</v>
      </c>
      <c r="X128" s="54">
        <v>334.11936090528542</v>
      </c>
      <c r="Y128" s="54">
        <v>178.19699248281881</v>
      </c>
      <c r="Z128" s="54"/>
      <c r="AA128" s="53">
        <v>23.96403746105182</v>
      </c>
      <c r="AB128" s="53">
        <v>23.96403746105182</v>
      </c>
      <c r="AC128" s="54">
        <v>7.9880124870172713</v>
      </c>
      <c r="AD128" s="53">
        <v>12.78081997922764</v>
      </c>
      <c r="AE128" s="54">
        <v>15.976024974034541</v>
      </c>
      <c r="AF128" s="54">
        <v>9.5856149844207277</v>
      </c>
      <c r="AG128" s="53">
        <v>9.5856149844207277</v>
      </c>
      <c r="AH128" s="54">
        <v>19.171229968841459</v>
      </c>
      <c r="AI128" s="53">
        <v>15.976024974034541</v>
      </c>
      <c r="AJ128" s="53">
        <v>19.171229968841459</v>
      </c>
      <c r="AK128" s="53">
        <v>11.18321748182418</v>
      </c>
      <c r="AL128" s="54">
        <v>11.18321748182418</v>
      </c>
      <c r="AM128" s="54">
        <v>4.7928074922103638</v>
      </c>
      <c r="AN128" s="54">
        <v>7.9880124870172713</v>
      </c>
      <c r="AO128" s="54">
        <v>4.7928074922103638</v>
      </c>
      <c r="AP128" s="54">
        <v>47.928074922103633</v>
      </c>
      <c r="AQ128" s="54">
        <v>25.56163995845527</v>
      </c>
      <c r="AR128" s="37"/>
    </row>
    <row r="129" spans="1:44" ht="19.5" customHeight="1">
      <c r="A129" s="64">
        <v>10</v>
      </c>
      <c r="B129" s="81" t="s">
        <v>133</v>
      </c>
      <c r="C129" s="30" t="s">
        <v>94</v>
      </c>
      <c r="D129" s="56" t="s">
        <v>2137</v>
      </c>
      <c r="E129" s="30"/>
      <c r="F129" s="32">
        <v>41808.903494693383</v>
      </c>
      <c r="G129" s="32">
        <v>24619.688910157602</v>
      </c>
      <c r="H129" s="32">
        <v>66428.592404850991</v>
      </c>
      <c r="I129" s="33">
        <v>14.54159195823126</v>
      </c>
      <c r="J129" s="33">
        <v>14.54159195823126</v>
      </c>
      <c r="K129" s="34">
        <v>4.8471973194104194</v>
      </c>
      <c r="L129" s="33">
        <v>7.7555157110566721</v>
      </c>
      <c r="M129" s="34">
        <v>9.6943946388208388</v>
      </c>
      <c r="N129" s="34">
        <v>5.8166367832925054</v>
      </c>
      <c r="O129" s="33">
        <v>5.8166367832925054</v>
      </c>
      <c r="P129" s="34">
        <v>11.633273566585011</v>
      </c>
      <c r="Q129" s="33">
        <v>9.6943946388208388</v>
      </c>
      <c r="R129" s="33">
        <v>11.633273566585011</v>
      </c>
      <c r="S129" s="33">
        <v>6.7860762471745879</v>
      </c>
      <c r="T129" s="34">
        <v>6.7860762471745879</v>
      </c>
      <c r="U129" s="34">
        <v>2.9083183916462518</v>
      </c>
      <c r="V129" s="34">
        <v>4.8471973194104194</v>
      </c>
      <c r="W129" s="34">
        <v>2.9083183916462518</v>
      </c>
      <c r="X129" s="34">
        <v>29.08318391646252</v>
      </c>
      <c r="Y129" s="34">
        <v>15.511031422113341</v>
      </c>
      <c r="Z129" s="34"/>
      <c r="AA129" s="33">
        <v>8.5629959253904762</v>
      </c>
      <c r="AB129" s="33">
        <v>8.5629959253904762</v>
      </c>
      <c r="AC129" s="34">
        <v>2.854331975130159</v>
      </c>
      <c r="AD129" s="33">
        <v>4.5669311602082541</v>
      </c>
      <c r="AE129" s="34">
        <v>5.7086639502603171</v>
      </c>
      <c r="AF129" s="34">
        <v>3.425198370156191</v>
      </c>
      <c r="AG129" s="33">
        <v>3.425198370156191</v>
      </c>
      <c r="AH129" s="34">
        <v>6.850396740312382</v>
      </c>
      <c r="AI129" s="33">
        <v>5.7086639502603171</v>
      </c>
      <c r="AJ129" s="33">
        <v>6.850396740312382</v>
      </c>
      <c r="AK129" s="33">
        <v>3.996064765182223</v>
      </c>
      <c r="AL129" s="34">
        <v>3.996064765182223</v>
      </c>
      <c r="AM129" s="34">
        <v>1.7125991850780951</v>
      </c>
      <c r="AN129" s="34">
        <v>2.854331975130159</v>
      </c>
      <c r="AO129" s="34">
        <v>1.7125991850780951</v>
      </c>
      <c r="AP129" s="34">
        <v>17.125991850780949</v>
      </c>
      <c r="AQ129" s="34">
        <v>9.1338623204165081</v>
      </c>
      <c r="AR129" s="39"/>
    </row>
    <row r="130" spans="1:44" ht="19.5" customHeight="1">
      <c r="A130" s="55">
        <v>11</v>
      </c>
      <c r="B130" s="81" t="s">
        <v>133</v>
      </c>
      <c r="C130" s="26" t="s">
        <v>94</v>
      </c>
      <c r="D130" s="28" t="s">
        <v>2147</v>
      </c>
      <c r="E130" s="30"/>
      <c r="F130" s="32">
        <v>20000</v>
      </c>
      <c r="G130" s="32">
        <v>40000</v>
      </c>
      <c r="H130" s="32">
        <v>60000</v>
      </c>
      <c r="I130" s="33">
        <v>6.956217811393671</v>
      </c>
      <c r="J130" s="33">
        <v>6.956217811393671</v>
      </c>
      <c r="K130" s="34">
        <v>2.318739270464556</v>
      </c>
      <c r="L130" s="33">
        <v>3.7099828327432909</v>
      </c>
      <c r="M130" s="34">
        <v>4.6374785409291128</v>
      </c>
      <c r="N130" s="34">
        <v>2.7824871245574681</v>
      </c>
      <c r="O130" s="33">
        <v>2.7824871245574681</v>
      </c>
      <c r="P130" s="34">
        <v>5.564974249114937</v>
      </c>
      <c r="Q130" s="33">
        <v>4.6374785409291128</v>
      </c>
      <c r="R130" s="33">
        <v>5.564974249114937</v>
      </c>
      <c r="S130" s="33">
        <v>3.2462349786503801</v>
      </c>
      <c r="T130" s="34">
        <v>3.2462349786503801</v>
      </c>
      <c r="U130" s="34">
        <v>1.391243562278734</v>
      </c>
      <c r="V130" s="34">
        <v>2.318739270464556</v>
      </c>
      <c r="W130" s="34">
        <v>1.391243562278734</v>
      </c>
      <c r="X130" s="34">
        <v>13.91243562278734</v>
      </c>
      <c r="Y130" s="34">
        <v>7.4199656654865818</v>
      </c>
      <c r="Z130" s="34"/>
      <c r="AA130" s="33">
        <v>13.91243562278734</v>
      </c>
      <c r="AB130" s="33">
        <v>13.91243562278734</v>
      </c>
      <c r="AC130" s="34">
        <v>4.6374785409291128</v>
      </c>
      <c r="AD130" s="33">
        <v>7.4199656654865818</v>
      </c>
      <c r="AE130" s="34">
        <v>9.2749570818582256</v>
      </c>
      <c r="AF130" s="34">
        <v>5.564974249114937</v>
      </c>
      <c r="AG130" s="33">
        <v>5.564974249114937</v>
      </c>
      <c r="AH130" s="34">
        <v>11.12994849822987</v>
      </c>
      <c r="AI130" s="33">
        <v>9.2749570818582256</v>
      </c>
      <c r="AJ130" s="33">
        <v>11.12994849822987</v>
      </c>
      <c r="AK130" s="33">
        <v>6.4924699573007594</v>
      </c>
      <c r="AL130" s="34">
        <v>6.4924699573007594</v>
      </c>
      <c r="AM130" s="34">
        <v>2.7824871245574681</v>
      </c>
      <c r="AN130" s="34">
        <v>4.6374785409291128</v>
      </c>
      <c r="AO130" s="34">
        <v>2.7824871245574681</v>
      </c>
      <c r="AP130" s="34">
        <v>27.824871245574681</v>
      </c>
      <c r="AQ130" s="34">
        <v>14.83993133097316</v>
      </c>
      <c r="AR130" s="39"/>
    </row>
    <row r="131" spans="1:44" ht="19.5" customHeight="1">
      <c r="A131" s="64">
        <v>12</v>
      </c>
      <c r="B131" s="56" t="s">
        <v>2157</v>
      </c>
      <c r="C131" s="79" t="s">
        <v>159</v>
      </c>
      <c r="D131" s="56" t="s">
        <v>2158</v>
      </c>
      <c r="E131" s="30"/>
      <c r="F131" s="32">
        <v>122359.0246788801</v>
      </c>
      <c r="G131" s="32">
        <v>16720.05387675864</v>
      </c>
      <c r="H131" s="32">
        <v>139079.0785556387</v>
      </c>
      <c r="I131" s="33">
        <v>42.557801342799173</v>
      </c>
      <c r="J131" s="33">
        <v>42.557801342799173</v>
      </c>
      <c r="K131" s="34">
        <v>14.18593378093305</v>
      </c>
      <c r="L131" s="33">
        <v>22.697494049492889</v>
      </c>
      <c r="M131" s="34">
        <v>28.371867561866111</v>
      </c>
      <c r="N131" s="34">
        <v>17.02312053711967</v>
      </c>
      <c r="O131" s="33">
        <v>17.02312053711967</v>
      </c>
      <c r="P131" s="34">
        <v>34.046241074239333</v>
      </c>
      <c r="Q131" s="33">
        <v>28.371867561866111</v>
      </c>
      <c r="R131" s="33">
        <v>34.046241074239333</v>
      </c>
      <c r="S131" s="33">
        <v>19.860307293306281</v>
      </c>
      <c r="T131" s="34">
        <v>19.860307293306281</v>
      </c>
      <c r="U131" s="34">
        <v>8.5115602685598333</v>
      </c>
      <c r="V131" s="34">
        <v>14.18593378093305</v>
      </c>
      <c r="W131" s="34">
        <v>8.5115602685598333</v>
      </c>
      <c r="X131" s="34">
        <v>85.115602685598333</v>
      </c>
      <c r="Y131" s="34">
        <v>45.394988098985777</v>
      </c>
      <c r="Z131" s="34"/>
      <c r="AA131" s="33">
        <v>5.8154168292485124</v>
      </c>
      <c r="AB131" s="33">
        <v>5.8154168292485124</v>
      </c>
      <c r="AC131" s="34">
        <v>1.938472276416171</v>
      </c>
      <c r="AD131" s="33">
        <v>3.1015556422658741</v>
      </c>
      <c r="AE131" s="34">
        <v>3.8769445528323412</v>
      </c>
      <c r="AF131" s="34">
        <v>2.3261667316994048</v>
      </c>
      <c r="AG131" s="33">
        <v>2.3261667316994048</v>
      </c>
      <c r="AH131" s="34">
        <v>4.6523334633988096</v>
      </c>
      <c r="AI131" s="33">
        <v>3.8769445528323412</v>
      </c>
      <c r="AJ131" s="33">
        <v>4.6523334633988096</v>
      </c>
      <c r="AK131" s="33">
        <v>2.7138611869826388</v>
      </c>
      <c r="AL131" s="34">
        <v>2.7138611869826388</v>
      </c>
      <c r="AM131" s="34">
        <v>1.1630833658497031</v>
      </c>
      <c r="AN131" s="34">
        <v>1.938472276416171</v>
      </c>
      <c r="AO131" s="34">
        <v>1.1630833658497031</v>
      </c>
      <c r="AP131" s="34">
        <v>11.63083365849702</v>
      </c>
      <c r="AQ131" s="34">
        <v>6.2031112845317473</v>
      </c>
      <c r="AR131" s="39"/>
    </row>
    <row r="132" spans="1:44" ht="19.5" customHeight="1">
      <c r="A132" s="55">
        <v>13</v>
      </c>
      <c r="B132" s="28" t="s">
        <v>2164</v>
      </c>
      <c r="C132" s="30" t="s">
        <v>230</v>
      </c>
      <c r="D132" s="28" t="s">
        <v>2165</v>
      </c>
      <c r="E132" s="30"/>
      <c r="F132" s="32">
        <v>131460.1091591274</v>
      </c>
      <c r="G132" s="32">
        <v>27866.756461264398</v>
      </c>
      <c r="H132" s="32">
        <v>159326.86562039179</v>
      </c>
      <c r="I132" s="33">
        <v>45.723257641023913</v>
      </c>
      <c r="J132" s="33">
        <v>45.723257641023913</v>
      </c>
      <c r="K132" s="34">
        <v>15.2410858803413</v>
      </c>
      <c r="L132" s="33">
        <v>24.385737408546081</v>
      </c>
      <c r="M132" s="34">
        <v>30.482171760682601</v>
      </c>
      <c r="N132" s="34">
        <v>18.289303056409562</v>
      </c>
      <c r="O132" s="33">
        <v>18.289303056409562</v>
      </c>
      <c r="P132" s="34">
        <v>36.578606112819124</v>
      </c>
      <c r="Q132" s="33">
        <v>30.482171760682601</v>
      </c>
      <c r="R132" s="33">
        <v>36.578606112819124</v>
      </c>
      <c r="S132" s="33">
        <v>21.337520232477821</v>
      </c>
      <c r="T132" s="34">
        <v>21.337520232477821</v>
      </c>
      <c r="U132" s="34">
        <v>9.1446515282047809</v>
      </c>
      <c r="V132" s="34">
        <v>15.2410858803413</v>
      </c>
      <c r="W132" s="34">
        <v>9.1446515282047809</v>
      </c>
      <c r="X132" s="34">
        <v>91.446515282047812</v>
      </c>
      <c r="Y132" s="34">
        <v>48.771474817092162</v>
      </c>
      <c r="Z132" s="34"/>
      <c r="AA132" s="33">
        <v>9.6923613820808523</v>
      </c>
      <c r="AB132" s="33">
        <v>9.6923613820808523</v>
      </c>
      <c r="AC132" s="34">
        <v>3.230787127360284</v>
      </c>
      <c r="AD132" s="33">
        <v>5.1692594037764552</v>
      </c>
      <c r="AE132" s="34">
        <v>6.4615742547205679</v>
      </c>
      <c r="AF132" s="34">
        <v>3.8769445528323412</v>
      </c>
      <c r="AG132" s="33">
        <v>3.8769445528323412</v>
      </c>
      <c r="AH132" s="34">
        <v>7.7538891056646824</v>
      </c>
      <c r="AI132" s="33">
        <v>6.4615742547205679</v>
      </c>
      <c r="AJ132" s="33">
        <v>7.7538891056646824</v>
      </c>
      <c r="AK132" s="33">
        <v>4.523101978304398</v>
      </c>
      <c r="AL132" s="34">
        <v>4.523101978304398</v>
      </c>
      <c r="AM132" s="34">
        <v>1.938472276416171</v>
      </c>
      <c r="AN132" s="34">
        <v>3.230787127360284</v>
      </c>
      <c r="AO132" s="34">
        <v>1.938472276416171</v>
      </c>
      <c r="AP132" s="34">
        <v>19.384722764161701</v>
      </c>
      <c r="AQ132" s="34">
        <v>10.33851880755291</v>
      </c>
      <c r="AR132" s="39"/>
    </row>
    <row r="133" spans="1:44" ht="19.5" customHeight="1">
      <c r="A133" s="55">
        <v>14</v>
      </c>
      <c r="B133" s="28" t="s">
        <v>2174</v>
      </c>
      <c r="C133" s="99" t="s">
        <v>94</v>
      </c>
      <c r="D133" s="28" t="s">
        <v>2175</v>
      </c>
      <c r="E133" s="30"/>
      <c r="F133" s="32">
        <v>120200.59754724349</v>
      </c>
      <c r="G133" s="32">
        <v>22293.405169011519</v>
      </c>
      <c r="H133" s="32">
        <v>142494.002716255</v>
      </c>
      <c r="I133" s="33">
        <v>41.807076879914867</v>
      </c>
      <c r="J133" s="33">
        <v>41.807076879914867</v>
      </c>
      <c r="K133" s="34">
        <v>13.93569229330495</v>
      </c>
      <c r="L133" s="33">
        <v>22.297107669287929</v>
      </c>
      <c r="M133" s="34">
        <v>27.87138458660991</v>
      </c>
      <c r="N133" s="34">
        <v>16.722830751965951</v>
      </c>
      <c r="O133" s="33">
        <v>16.722830751965951</v>
      </c>
      <c r="P133" s="34">
        <v>33.445661503931888</v>
      </c>
      <c r="Q133" s="33">
        <v>27.87138458660991</v>
      </c>
      <c r="R133" s="33">
        <v>33.445661503931888</v>
      </c>
      <c r="S133" s="33">
        <v>19.509969210626942</v>
      </c>
      <c r="T133" s="34">
        <v>19.509969210626942</v>
      </c>
      <c r="U133" s="34">
        <v>8.3614153759829737</v>
      </c>
      <c r="V133" s="34">
        <v>13.93569229330495</v>
      </c>
      <c r="W133" s="34">
        <v>8.3614153759829737</v>
      </c>
      <c r="X133" s="34">
        <v>83.614153759829733</v>
      </c>
      <c r="Y133" s="34">
        <v>44.594215338575857</v>
      </c>
      <c r="Z133" s="54"/>
      <c r="AA133" s="33">
        <v>7.7538891056646833</v>
      </c>
      <c r="AB133" s="33">
        <v>7.7538891056646833</v>
      </c>
      <c r="AC133" s="34">
        <v>2.584629701888228</v>
      </c>
      <c r="AD133" s="33">
        <v>4.1354075230211649</v>
      </c>
      <c r="AE133" s="34">
        <v>5.1692594037764552</v>
      </c>
      <c r="AF133" s="34">
        <v>3.1015556422658741</v>
      </c>
      <c r="AG133" s="33">
        <v>3.1015556422658741</v>
      </c>
      <c r="AH133" s="34">
        <v>6.2031112845317473</v>
      </c>
      <c r="AI133" s="33">
        <v>5.1692594037764552</v>
      </c>
      <c r="AJ133" s="33">
        <v>6.2031112845317473</v>
      </c>
      <c r="AK133" s="33">
        <v>3.6184815826435188</v>
      </c>
      <c r="AL133" s="34">
        <v>3.6184815826435188</v>
      </c>
      <c r="AM133" s="34">
        <v>1.5507778211329371</v>
      </c>
      <c r="AN133" s="34">
        <v>2.584629701888228</v>
      </c>
      <c r="AO133" s="34">
        <v>1.5507778211329371</v>
      </c>
      <c r="AP133" s="34">
        <v>15.50777821132937</v>
      </c>
      <c r="AQ133" s="34">
        <v>8.2708150460423298</v>
      </c>
      <c r="AR133" s="37"/>
    </row>
    <row r="134" spans="1:44" ht="19.5" customHeight="1">
      <c r="A134" s="62"/>
      <c r="B134" s="50" t="s">
        <v>2182</v>
      </c>
      <c r="C134" s="49" t="s">
        <v>389</v>
      </c>
      <c r="D134" s="50" t="s">
        <v>2185</v>
      </c>
      <c r="E134" s="51">
        <v>5</v>
      </c>
      <c r="F134" s="52">
        <v>435828.63487994432</v>
      </c>
      <c r="G134" s="52">
        <v>131499.90441719221</v>
      </c>
      <c r="H134" s="52">
        <v>567328.53929713648</v>
      </c>
      <c r="I134" s="53">
        <v>151.58594563336291</v>
      </c>
      <c r="J134" s="53">
        <v>151.58594563336291</v>
      </c>
      <c r="K134" s="54">
        <v>50.528648544454278</v>
      </c>
      <c r="L134" s="53">
        <v>80.845837671126858</v>
      </c>
      <c r="M134" s="54">
        <v>101.0572970889086</v>
      </c>
      <c r="N134" s="54">
        <v>60.634378253345147</v>
      </c>
      <c r="O134" s="53">
        <v>60.634378253345147</v>
      </c>
      <c r="P134" s="54">
        <v>121.26875650669029</v>
      </c>
      <c r="Q134" s="53">
        <v>101.0572970889086</v>
      </c>
      <c r="R134" s="53">
        <v>121.26875650669029</v>
      </c>
      <c r="S134" s="53">
        <v>70.74010796223601</v>
      </c>
      <c r="T134" s="54">
        <v>70.74010796223601</v>
      </c>
      <c r="U134" s="54">
        <v>30.31718912667257</v>
      </c>
      <c r="V134" s="54">
        <v>50.528648544454278</v>
      </c>
      <c r="W134" s="54">
        <v>30.31718912667257</v>
      </c>
      <c r="X134" s="54">
        <v>303.17189126672571</v>
      </c>
      <c r="Y134" s="54">
        <v>161.69167534225369</v>
      </c>
      <c r="Z134" s="34"/>
      <c r="AA134" s="33">
        <v>45.737098865171873</v>
      </c>
      <c r="AB134" s="33">
        <v>45.737098865171873</v>
      </c>
      <c r="AC134" s="34">
        <v>15.245699621723951</v>
      </c>
      <c r="AD134" s="33">
        <v>24.39311939475833</v>
      </c>
      <c r="AE134" s="34">
        <v>30.491399243447901</v>
      </c>
      <c r="AF134" s="34">
        <v>18.294839546068751</v>
      </c>
      <c r="AG134" s="33">
        <v>18.294839546068751</v>
      </c>
      <c r="AH134" s="34">
        <v>36.589679092137487</v>
      </c>
      <c r="AI134" s="33">
        <v>30.491399243447901</v>
      </c>
      <c r="AJ134" s="33">
        <v>36.589679092137487</v>
      </c>
      <c r="AK134" s="33">
        <v>21.34397947041354</v>
      </c>
      <c r="AL134" s="34">
        <v>21.34397947041354</v>
      </c>
      <c r="AM134" s="34">
        <v>9.1474197730343736</v>
      </c>
      <c r="AN134" s="34">
        <v>15.245699621723951</v>
      </c>
      <c r="AO134" s="34">
        <v>9.1474197730343736</v>
      </c>
      <c r="AP134" s="34">
        <v>91.474197730343732</v>
      </c>
      <c r="AQ134" s="34">
        <v>48.786238789516652</v>
      </c>
      <c r="AR134" s="39"/>
    </row>
    <row r="135" spans="1:44" ht="19.5" customHeight="1">
      <c r="A135" s="117"/>
      <c r="B135" s="125" t="s">
        <v>2201</v>
      </c>
      <c r="C135" s="65" t="s">
        <v>2204</v>
      </c>
      <c r="D135" s="126" t="s">
        <v>2207</v>
      </c>
      <c r="E135" s="127">
        <f>E134+E128+E123</f>
        <v>14</v>
      </c>
      <c r="F135" s="128">
        <v>1433023.517861241</v>
      </c>
      <c r="G135" s="128">
        <v>288499.42673249223</v>
      </c>
      <c r="H135" s="128">
        <v>1721522.9445937329</v>
      </c>
      <c r="I135" s="53">
        <v>498.42118595461898</v>
      </c>
      <c r="J135" s="53">
        <v>498.42118595461898</v>
      </c>
      <c r="K135" s="54">
        <v>166.14039531820629</v>
      </c>
      <c r="L135" s="53">
        <v>265.82463250913008</v>
      </c>
      <c r="M135" s="54">
        <v>332.28079063641258</v>
      </c>
      <c r="N135" s="54">
        <v>199.36847438184759</v>
      </c>
      <c r="O135" s="53">
        <v>199.36847438184759</v>
      </c>
      <c r="P135" s="54">
        <v>398.73694876369518</v>
      </c>
      <c r="Q135" s="53">
        <v>332.28079063641258</v>
      </c>
      <c r="R135" s="53">
        <v>398.73694876369518</v>
      </c>
      <c r="S135" s="53">
        <v>232.59655344548889</v>
      </c>
      <c r="T135" s="54">
        <v>232.59655344548889</v>
      </c>
      <c r="U135" s="54">
        <v>99.68423719092381</v>
      </c>
      <c r="V135" s="54">
        <v>166.14039531820629</v>
      </c>
      <c r="W135" s="54">
        <v>99.68423719092381</v>
      </c>
      <c r="X135" s="54">
        <v>996.84237190923807</v>
      </c>
      <c r="Y135" s="54">
        <v>531.64926501826028</v>
      </c>
      <c r="Z135" s="34"/>
      <c r="AA135" s="33">
        <v>100.3432425406713</v>
      </c>
      <c r="AB135" s="33">
        <v>100.3432425406713</v>
      </c>
      <c r="AC135" s="34">
        <v>33.447747513557083</v>
      </c>
      <c r="AD135" s="33">
        <v>53.516396021691342</v>
      </c>
      <c r="AE135" s="34">
        <v>66.895495027114166</v>
      </c>
      <c r="AF135" s="34">
        <v>40.137297016268498</v>
      </c>
      <c r="AG135" s="33">
        <v>40.137297016268498</v>
      </c>
      <c r="AH135" s="34">
        <v>80.27459403253701</v>
      </c>
      <c r="AI135" s="33">
        <v>66.895495027114166</v>
      </c>
      <c r="AJ135" s="33">
        <v>80.27459403253701</v>
      </c>
      <c r="AK135" s="33">
        <v>46.826846518979927</v>
      </c>
      <c r="AL135" s="34">
        <v>46.826846518979927</v>
      </c>
      <c r="AM135" s="34">
        <v>20.068648508134249</v>
      </c>
      <c r="AN135" s="34">
        <v>33.447747513557083</v>
      </c>
      <c r="AO135" s="34">
        <v>20.068648508134249</v>
      </c>
      <c r="AP135" s="34">
        <v>200.68648508134251</v>
      </c>
      <c r="AQ135" s="34">
        <v>107.0327920433827</v>
      </c>
      <c r="AR135" s="39"/>
    </row>
    <row r="136" spans="1:44" ht="19.5" customHeight="1">
      <c r="A136" s="62"/>
      <c r="B136" s="76"/>
      <c r="C136" s="51"/>
      <c r="D136" s="63"/>
      <c r="E136" s="51"/>
      <c r="F136" s="32"/>
      <c r="G136" s="32"/>
      <c r="H136" s="32">
        <v>0</v>
      </c>
      <c r="I136" s="33">
        <v>0</v>
      </c>
      <c r="J136" s="33">
        <v>0</v>
      </c>
      <c r="K136" s="34">
        <v>0</v>
      </c>
      <c r="L136" s="33">
        <v>0</v>
      </c>
      <c r="M136" s="34">
        <v>0</v>
      </c>
      <c r="N136" s="34">
        <v>0</v>
      </c>
      <c r="O136" s="33">
        <v>0</v>
      </c>
      <c r="P136" s="34">
        <v>0</v>
      </c>
      <c r="Q136" s="33">
        <v>0</v>
      </c>
      <c r="R136" s="33">
        <v>0</v>
      </c>
      <c r="S136" s="33">
        <v>0</v>
      </c>
      <c r="T136" s="34">
        <v>0</v>
      </c>
      <c r="U136" s="34">
        <v>0</v>
      </c>
      <c r="V136" s="34">
        <v>0</v>
      </c>
      <c r="W136" s="34">
        <v>0</v>
      </c>
      <c r="X136" s="34">
        <v>0</v>
      </c>
      <c r="Y136" s="34">
        <v>0</v>
      </c>
      <c r="Z136" s="34"/>
      <c r="AA136" s="33">
        <v>0</v>
      </c>
      <c r="AB136" s="33">
        <v>0</v>
      </c>
      <c r="AC136" s="34">
        <v>0</v>
      </c>
      <c r="AD136" s="33">
        <v>0</v>
      </c>
      <c r="AE136" s="34">
        <v>0</v>
      </c>
      <c r="AF136" s="34">
        <v>0</v>
      </c>
      <c r="AG136" s="33">
        <v>0</v>
      </c>
      <c r="AH136" s="34">
        <v>0</v>
      </c>
      <c r="AI136" s="33">
        <v>0</v>
      </c>
      <c r="AJ136" s="33">
        <v>0</v>
      </c>
      <c r="AK136" s="33">
        <v>0</v>
      </c>
      <c r="AL136" s="34">
        <v>0</v>
      </c>
      <c r="AM136" s="34">
        <v>0</v>
      </c>
      <c r="AN136" s="34">
        <v>0</v>
      </c>
      <c r="AO136" s="34">
        <v>0</v>
      </c>
      <c r="AP136" s="34">
        <v>0</v>
      </c>
      <c r="AQ136" s="34">
        <v>0</v>
      </c>
      <c r="AR136" s="39"/>
    </row>
    <row r="137" spans="1:44" ht="19.5" customHeight="1">
      <c r="A137" s="14" t="s">
        <v>2239</v>
      </c>
      <c r="B137" s="28"/>
      <c r="C137" s="26"/>
      <c r="D137" s="28"/>
      <c r="E137" s="30"/>
      <c r="F137" s="32"/>
      <c r="G137" s="32"/>
      <c r="H137" s="32">
        <v>0</v>
      </c>
      <c r="I137" s="33">
        <v>0</v>
      </c>
      <c r="J137" s="33">
        <v>0</v>
      </c>
      <c r="K137" s="34">
        <v>0</v>
      </c>
      <c r="L137" s="33">
        <v>0</v>
      </c>
      <c r="M137" s="34">
        <v>0</v>
      </c>
      <c r="N137" s="34">
        <v>0</v>
      </c>
      <c r="O137" s="33">
        <v>0</v>
      </c>
      <c r="P137" s="34">
        <v>0</v>
      </c>
      <c r="Q137" s="33">
        <v>0</v>
      </c>
      <c r="R137" s="33">
        <v>0</v>
      </c>
      <c r="S137" s="33">
        <v>0</v>
      </c>
      <c r="T137" s="34">
        <v>0</v>
      </c>
      <c r="U137" s="34">
        <v>0</v>
      </c>
      <c r="V137" s="34">
        <v>0</v>
      </c>
      <c r="W137" s="34">
        <v>0</v>
      </c>
      <c r="X137" s="34">
        <v>0</v>
      </c>
      <c r="Y137" s="34">
        <v>0</v>
      </c>
      <c r="Z137" s="54"/>
      <c r="AA137" s="53">
        <v>0</v>
      </c>
      <c r="AB137" s="53">
        <v>0</v>
      </c>
      <c r="AC137" s="54">
        <v>0</v>
      </c>
      <c r="AD137" s="53">
        <v>0</v>
      </c>
      <c r="AE137" s="54">
        <v>0</v>
      </c>
      <c r="AF137" s="54">
        <v>0</v>
      </c>
      <c r="AG137" s="53">
        <v>0</v>
      </c>
      <c r="AH137" s="54">
        <v>0</v>
      </c>
      <c r="AI137" s="53">
        <v>0</v>
      </c>
      <c r="AJ137" s="53">
        <v>0</v>
      </c>
      <c r="AK137" s="53">
        <v>0</v>
      </c>
      <c r="AL137" s="54">
        <v>0</v>
      </c>
      <c r="AM137" s="54">
        <v>0</v>
      </c>
      <c r="AN137" s="54">
        <v>0</v>
      </c>
      <c r="AO137" s="54">
        <v>0</v>
      </c>
      <c r="AP137" s="54">
        <v>0</v>
      </c>
      <c r="AQ137" s="54">
        <v>0</v>
      </c>
      <c r="AR137" s="37"/>
    </row>
    <row r="138" spans="1:44" ht="19.5" customHeight="1">
      <c r="A138" s="55">
        <v>1</v>
      </c>
      <c r="B138" s="81" t="s">
        <v>133</v>
      </c>
      <c r="C138" s="26" t="s">
        <v>94</v>
      </c>
      <c r="D138" s="101" t="s">
        <v>2249</v>
      </c>
      <c r="E138" s="30"/>
      <c r="F138" s="32">
        <v>30000</v>
      </c>
      <c r="G138" s="32">
        <v>32055.103360450899</v>
      </c>
      <c r="H138" s="32">
        <v>62055.103360450899</v>
      </c>
      <c r="I138" s="33">
        <v>10.43432671709051</v>
      </c>
      <c r="J138" s="33">
        <v>10.43432671709051</v>
      </c>
      <c r="K138" s="34">
        <v>3.4781089056968351</v>
      </c>
      <c r="L138" s="33">
        <v>5.564974249114937</v>
      </c>
      <c r="M138" s="34">
        <v>6.9562178113936701</v>
      </c>
      <c r="N138" s="34">
        <v>4.173730686836203</v>
      </c>
      <c r="O138" s="33">
        <v>4.173730686836203</v>
      </c>
      <c r="P138" s="34">
        <v>8.3474613736724059</v>
      </c>
      <c r="Q138" s="33">
        <v>6.9562178113936701</v>
      </c>
      <c r="R138" s="33">
        <v>8.3474613736724059</v>
      </c>
      <c r="S138" s="33">
        <v>4.8693524679755704</v>
      </c>
      <c r="T138" s="34">
        <v>4.8693524679755704</v>
      </c>
      <c r="U138" s="34">
        <v>2.086865343418101</v>
      </c>
      <c r="V138" s="34">
        <v>3.4781089056968351</v>
      </c>
      <c r="W138" s="34">
        <v>2.086865343418101</v>
      </c>
      <c r="X138" s="34">
        <v>20.868653434181009</v>
      </c>
      <c r="Y138" s="34">
        <v>11.12994849822987</v>
      </c>
      <c r="Z138" s="34"/>
      <c r="AA138" s="33">
        <v>11.14911404710168</v>
      </c>
      <c r="AB138" s="33">
        <v>11.14911404710168</v>
      </c>
      <c r="AC138" s="34">
        <v>3.7163713490338939</v>
      </c>
      <c r="AD138" s="33">
        <v>5.9461941584542313</v>
      </c>
      <c r="AE138" s="34">
        <v>7.4327426980677878</v>
      </c>
      <c r="AF138" s="34">
        <v>4.459645618840673</v>
      </c>
      <c r="AG138" s="33">
        <v>4.459645618840673</v>
      </c>
      <c r="AH138" s="34">
        <v>8.919291237681346</v>
      </c>
      <c r="AI138" s="33">
        <v>7.4327426980677878</v>
      </c>
      <c r="AJ138" s="33">
        <v>8.919291237681346</v>
      </c>
      <c r="AK138" s="33">
        <v>5.2029198886474521</v>
      </c>
      <c r="AL138" s="34">
        <v>5.2029198886474521</v>
      </c>
      <c r="AM138" s="34">
        <v>2.2298228094203369</v>
      </c>
      <c r="AN138" s="34">
        <v>3.7163713490338939</v>
      </c>
      <c r="AO138" s="34">
        <v>2.2298228094203369</v>
      </c>
      <c r="AP138" s="34">
        <v>22.29822809420337</v>
      </c>
      <c r="AQ138" s="34">
        <v>11.892388316908461</v>
      </c>
      <c r="AR138" s="39"/>
    </row>
    <row r="139" spans="1:44" ht="19.5" customHeight="1">
      <c r="A139" s="55">
        <f t="shared" ref="A139:A144" si="5">A138+1</f>
        <v>2</v>
      </c>
      <c r="B139" s="129" t="s">
        <v>133</v>
      </c>
      <c r="C139" s="79" t="s">
        <v>94</v>
      </c>
      <c r="D139" s="28" t="s">
        <v>2261</v>
      </c>
      <c r="E139" s="30"/>
      <c r="F139" s="32">
        <v>31356.677621020041</v>
      </c>
      <c r="G139" s="32">
        <v>24293.405169011501</v>
      </c>
      <c r="H139" s="32">
        <v>55650.082790031527</v>
      </c>
      <c r="I139" s="33">
        <v>10.90619396867344</v>
      </c>
      <c r="J139" s="33">
        <v>10.90619396867344</v>
      </c>
      <c r="K139" s="34">
        <v>3.6353979895578141</v>
      </c>
      <c r="L139" s="33">
        <v>5.8166367832925037</v>
      </c>
      <c r="M139" s="34">
        <v>7.2707959791156282</v>
      </c>
      <c r="N139" s="34">
        <v>4.3624775874693782</v>
      </c>
      <c r="O139" s="33">
        <v>4.3624775874693782</v>
      </c>
      <c r="P139" s="34">
        <v>8.7249551749387564</v>
      </c>
      <c r="Q139" s="33">
        <v>7.2707959791156282</v>
      </c>
      <c r="R139" s="33">
        <v>8.7249551749387564</v>
      </c>
      <c r="S139" s="33">
        <v>5.0895571853809409</v>
      </c>
      <c r="T139" s="34">
        <v>5.0895571853809409</v>
      </c>
      <c r="U139" s="34">
        <v>2.1812387937346891</v>
      </c>
      <c r="V139" s="34">
        <v>3.6353979895578141</v>
      </c>
      <c r="W139" s="34">
        <v>2.1812387937346891</v>
      </c>
      <c r="X139" s="34">
        <v>21.812387937346891</v>
      </c>
      <c r="Y139" s="34">
        <v>11.633273566585011</v>
      </c>
      <c r="Z139" s="54"/>
      <c r="AA139" s="33">
        <v>8.4495108868040436</v>
      </c>
      <c r="AB139" s="33">
        <v>8.4495108868040436</v>
      </c>
      <c r="AC139" s="34">
        <v>2.8165036289346812</v>
      </c>
      <c r="AD139" s="33">
        <v>4.5064058062954899</v>
      </c>
      <c r="AE139" s="34">
        <v>5.6330072578693624</v>
      </c>
      <c r="AF139" s="34">
        <v>3.379804354721617</v>
      </c>
      <c r="AG139" s="33">
        <v>3.379804354721617</v>
      </c>
      <c r="AH139" s="34">
        <v>6.7596087094432349</v>
      </c>
      <c r="AI139" s="33">
        <v>5.6330072578693624</v>
      </c>
      <c r="AJ139" s="33">
        <v>6.7596087094432349</v>
      </c>
      <c r="AK139" s="33">
        <v>3.9431050805085541</v>
      </c>
      <c r="AL139" s="34">
        <v>3.9431050805085541</v>
      </c>
      <c r="AM139" s="34">
        <v>1.6899021773608089</v>
      </c>
      <c r="AN139" s="34">
        <v>2.8165036289346812</v>
      </c>
      <c r="AO139" s="34">
        <v>1.6899021773608089</v>
      </c>
      <c r="AP139" s="34">
        <v>16.899021773608091</v>
      </c>
      <c r="AQ139" s="34">
        <v>9.0128116125909798</v>
      </c>
      <c r="AR139" s="37"/>
    </row>
    <row r="140" spans="1:44" ht="19.5" customHeight="1">
      <c r="A140" s="64">
        <f t="shared" si="5"/>
        <v>3</v>
      </c>
      <c r="B140" s="129" t="s">
        <v>133</v>
      </c>
      <c r="C140" s="79" t="s">
        <v>94</v>
      </c>
      <c r="D140" s="78" t="s">
        <v>2272</v>
      </c>
      <c r="E140" s="79"/>
      <c r="F140" s="32">
        <v>1580</v>
      </c>
      <c r="G140" s="32">
        <v>38124.611137696898</v>
      </c>
      <c r="H140" s="32">
        <v>39704.611137696898</v>
      </c>
      <c r="I140" s="33">
        <v>0.54954120710010002</v>
      </c>
      <c r="J140" s="33">
        <v>0.54954120710010002</v>
      </c>
      <c r="K140" s="34">
        <v>0.1831804023667</v>
      </c>
      <c r="L140" s="33">
        <v>0.29308864378672</v>
      </c>
      <c r="M140" s="34">
        <v>0.36636080473339988</v>
      </c>
      <c r="N140" s="34">
        <v>0.21981648284003999</v>
      </c>
      <c r="O140" s="33">
        <v>0.21981648284003999</v>
      </c>
      <c r="P140" s="34">
        <v>0.43963296568007998</v>
      </c>
      <c r="Q140" s="33">
        <v>0.36636080473339988</v>
      </c>
      <c r="R140" s="33">
        <v>0.43963296568007998</v>
      </c>
      <c r="S140" s="33">
        <v>0.25645256331338001</v>
      </c>
      <c r="T140" s="34">
        <v>0.25645256331338001</v>
      </c>
      <c r="U140" s="34">
        <v>0.10990824142001999</v>
      </c>
      <c r="V140" s="34">
        <v>0.1831804023667</v>
      </c>
      <c r="W140" s="34">
        <v>0.10990824142001999</v>
      </c>
      <c r="X140" s="34">
        <v>1.0990824142002</v>
      </c>
      <c r="Y140" s="34">
        <v>0.58617728757344001</v>
      </c>
      <c r="Z140" s="54"/>
      <c r="AA140" s="33">
        <v>13.26015495242523</v>
      </c>
      <c r="AB140" s="33">
        <v>13.26015495242523</v>
      </c>
      <c r="AC140" s="34">
        <v>4.4200516508084107</v>
      </c>
      <c r="AD140" s="33">
        <v>7.0720826412934583</v>
      </c>
      <c r="AE140" s="34">
        <v>8.8401033016168213</v>
      </c>
      <c r="AF140" s="34">
        <v>5.3040619809700944</v>
      </c>
      <c r="AG140" s="33">
        <v>5.3040619809700944</v>
      </c>
      <c r="AH140" s="34">
        <v>10.608123961940191</v>
      </c>
      <c r="AI140" s="33">
        <v>8.8401033016168213</v>
      </c>
      <c r="AJ140" s="33">
        <v>10.608123961940191</v>
      </c>
      <c r="AK140" s="33">
        <v>6.1880723111317764</v>
      </c>
      <c r="AL140" s="34">
        <v>6.1880723111317764</v>
      </c>
      <c r="AM140" s="34">
        <v>2.6520309904850472</v>
      </c>
      <c r="AN140" s="34">
        <v>4.4200516508084107</v>
      </c>
      <c r="AO140" s="34">
        <v>2.6520309904850472</v>
      </c>
      <c r="AP140" s="34">
        <v>26.520309904850471</v>
      </c>
      <c r="AQ140" s="34">
        <v>14.14416528258692</v>
      </c>
      <c r="AR140" s="37"/>
    </row>
    <row r="141" spans="1:44" ht="19.5" customHeight="1">
      <c r="A141" s="55">
        <f t="shared" si="5"/>
        <v>4</v>
      </c>
      <c r="B141" s="101" t="s">
        <v>2281</v>
      </c>
      <c r="C141" s="99" t="s">
        <v>230</v>
      </c>
      <c r="D141" s="101" t="s">
        <v>2282</v>
      </c>
      <c r="E141" s="30"/>
      <c r="F141" s="32">
        <v>129801.9867415659</v>
      </c>
      <c r="G141" s="32">
        <v>11146.70258450576</v>
      </c>
      <c r="H141" s="32">
        <v>140948.6893260717</v>
      </c>
      <c r="I141" s="33">
        <v>45.146544606298299</v>
      </c>
      <c r="J141" s="33">
        <v>45.146544606298299</v>
      </c>
      <c r="K141" s="34">
        <v>15.04884820209943</v>
      </c>
      <c r="L141" s="33">
        <v>24.078157123359091</v>
      </c>
      <c r="M141" s="34">
        <v>30.09769640419886</v>
      </c>
      <c r="N141" s="34">
        <v>18.058617842519318</v>
      </c>
      <c r="O141" s="33">
        <v>18.058617842519318</v>
      </c>
      <c r="P141" s="34">
        <v>36.117235685038636</v>
      </c>
      <c r="Q141" s="33">
        <v>30.09769640419886</v>
      </c>
      <c r="R141" s="33">
        <v>36.117235685038636</v>
      </c>
      <c r="S141" s="33">
        <v>21.068387482939201</v>
      </c>
      <c r="T141" s="34">
        <v>21.068387482939201</v>
      </c>
      <c r="U141" s="34">
        <v>9.0293089212596591</v>
      </c>
      <c r="V141" s="34">
        <v>15.04884820209943</v>
      </c>
      <c r="W141" s="34">
        <v>9.0293089212596591</v>
      </c>
      <c r="X141" s="34">
        <v>90.293089212596598</v>
      </c>
      <c r="Y141" s="34">
        <v>48.156314246718182</v>
      </c>
      <c r="Z141" s="34"/>
      <c r="AA141" s="33">
        <v>3.8769445528323421</v>
      </c>
      <c r="AB141" s="33">
        <v>3.8769445528323421</v>
      </c>
      <c r="AC141" s="34">
        <v>1.292314850944114</v>
      </c>
      <c r="AD141" s="33">
        <v>2.067703761510582</v>
      </c>
      <c r="AE141" s="34">
        <v>2.584629701888228</v>
      </c>
      <c r="AF141" s="34">
        <v>1.5507778211329371</v>
      </c>
      <c r="AG141" s="33">
        <v>1.5507778211329371</v>
      </c>
      <c r="AH141" s="34">
        <v>3.1015556422658741</v>
      </c>
      <c r="AI141" s="33">
        <v>2.584629701888228</v>
      </c>
      <c r="AJ141" s="33">
        <v>3.1015556422658741</v>
      </c>
      <c r="AK141" s="33">
        <v>1.8092407913217601</v>
      </c>
      <c r="AL141" s="34">
        <v>1.8092407913217601</v>
      </c>
      <c r="AM141" s="34">
        <v>0.77538891056646841</v>
      </c>
      <c r="AN141" s="34">
        <v>1.292314850944114</v>
      </c>
      <c r="AO141" s="34">
        <v>0.77538891056646841</v>
      </c>
      <c r="AP141" s="34">
        <v>7.7538891056646833</v>
      </c>
      <c r="AQ141" s="34">
        <v>4.1354075230211649</v>
      </c>
      <c r="AR141" s="39"/>
    </row>
    <row r="142" spans="1:44" ht="19.5" customHeight="1">
      <c r="A142" s="55">
        <f t="shared" si="5"/>
        <v>5</v>
      </c>
      <c r="B142" s="101" t="s">
        <v>2291</v>
      </c>
      <c r="C142" s="99" t="s">
        <v>230</v>
      </c>
      <c r="D142" s="101" t="s">
        <v>2293</v>
      </c>
      <c r="E142" s="30"/>
      <c r="F142" s="32">
        <v>129801.9867415659</v>
      </c>
      <c r="G142" s="32">
        <v>11146.70258450576</v>
      </c>
      <c r="H142" s="32">
        <v>140948.6893260717</v>
      </c>
      <c r="I142" s="33">
        <v>45.146544606298299</v>
      </c>
      <c r="J142" s="33">
        <v>45.146544606298299</v>
      </c>
      <c r="K142" s="34">
        <v>15.04884820209943</v>
      </c>
      <c r="L142" s="33">
        <v>24.078157123359091</v>
      </c>
      <c r="M142" s="34">
        <v>30.09769640419886</v>
      </c>
      <c r="N142" s="34">
        <v>18.058617842519318</v>
      </c>
      <c r="O142" s="33">
        <v>18.058617842519318</v>
      </c>
      <c r="P142" s="34">
        <v>36.117235685038636</v>
      </c>
      <c r="Q142" s="33">
        <v>30.09769640419886</v>
      </c>
      <c r="R142" s="33">
        <v>36.117235685038636</v>
      </c>
      <c r="S142" s="33">
        <v>21.068387482939201</v>
      </c>
      <c r="T142" s="34">
        <v>21.068387482939201</v>
      </c>
      <c r="U142" s="34">
        <v>9.0293089212596591</v>
      </c>
      <c r="V142" s="34">
        <v>15.04884820209943</v>
      </c>
      <c r="W142" s="34">
        <v>9.0293089212596591</v>
      </c>
      <c r="X142" s="34">
        <v>90.293089212596598</v>
      </c>
      <c r="Y142" s="34">
        <v>48.156314246718182</v>
      </c>
      <c r="Z142" s="34"/>
      <c r="AA142" s="33">
        <v>3.8769445528323421</v>
      </c>
      <c r="AB142" s="33">
        <v>3.8769445528323421</v>
      </c>
      <c r="AC142" s="34">
        <v>1.292314850944114</v>
      </c>
      <c r="AD142" s="33">
        <v>2.067703761510582</v>
      </c>
      <c r="AE142" s="34">
        <v>2.584629701888228</v>
      </c>
      <c r="AF142" s="34">
        <v>1.5507778211329371</v>
      </c>
      <c r="AG142" s="33">
        <v>1.5507778211329371</v>
      </c>
      <c r="AH142" s="34">
        <v>3.1015556422658741</v>
      </c>
      <c r="AI142" s="33">
        <v>2.584629701888228</v>
      </c>
      <c r="AJ142" s="33">
        <v>3.1015556422658741</v>
      </c>
      <c r="AK142" s="33">
        <v>1.8092407913217601</v>
      </c>
      <c r="AL142" s="34">
        <v>1.8092407913217601</v>
      </c>
      <c r="AM142" s="34">
        <v>0.77538891056646841</v>
      </c>
      <c r="AN142" s="34">
        <v>1.292314850944114</v>
      </c>
      <c r="AO142" s="34">
        <v>0.77538891056646841</v>
      </c>
      <c r="AP142" s="34">
        <v>7.7538891056646833</v>
      </c>
      <c r="AQ142" s="34">
        <v>4.1354075230211649</v>
      </c>
      <c r="AR142" s="39"/>
    </row>
    <row r="143" spans="1:44" ht="19.5" customHeight="1">
      <c r="A143" s="55">
        <f t="shared" si="5"/>
        <v>6</v>
      </c>
      <c r="B143" s="129" t="s">
        <v>133</v>
      </c>
      <c r="C143" s="79" t="s">
        <v>94</v>
      </c>
      <c r="D143" s="101" t="s">
        <v>2301</v>
      </c>
      <c r="E143" s="30"/>
      <c r="F143" s="32">
        <v>20904.451747346691</v>
      </c>
      <c r="G143" s="32">
        <v>11146.70258450576</v>
      </c>
      <c r="H143" s="32">
        <v>32051.154331852449</v>
      </c>
      <c r="I143" s="33">
        <v>7.27079597911563</v>
      </c>
      <c r="J143" s="33">
        <v>7.27079597911563</v>
      </c>
      <c r="K143" s="34">
        <v>2.4235986597052102</v>
      </c>
      <c r="L143" s="33">
        <v>3.8777578555283361</v>
      </c>
      <c r="M143" s="34">
        <v>4.8471973194104194</v>
      </c>
      <c r="N143" s="34">
        <v>2.9083183916462518</v>
      </c>
      <c r="O143" s="33">
        <v>2.9083183916462518</v>
      </c>
      <c r="P143" s="34">
        <v>5.8166367832925054</v>
      </c>
      <c r="Q143" s="33">
        <v>4.8471973194104194</v>
      </c>
      <c r="R143" s="33">
        <v>5.8166367832925054</v>
      </c>
      <c r="S143" s="33">
        <v>3.393038123587294</v>
      </c>
      <c r="T143" s="34">
        <v>3.393038123587294</v>
      </c>
      <c r="U143" s="34">
        <v>1.4541591958231259</v>
      </c>
      <c r="V143" s="34">
        <v>2.4235986597052102</v>
      </c>
      <c r="W143" s="34">
        <v>1.4541591958231259</v>
      </c>
      <c r="X143" s="34">
        <v>14.54159195823126</v>
      </c>
      <c r="Y143" s="34">
        <v>7.7555157110566721</v>
      </c>
      <c r="Z143" s="34"/>
      <c r="AA143" s="33">
        <v>3.8769445528323421</v>
      </c>
      <c r="AB143" s="33">
        <v>3.8769445528323421</v>
      </c>
      <c r="AC143" s="34">
        <v>1.292314850944114</v>
      </c>
      <c r="AD143" s="33">
        <v>2.067703761510582</v>
      </c>
      <c r="AE143" s="34">
        <v>2.584629701888228</v>
      </c>
      <c r="AF143" s="34">
        <v>1.5507778211329371</v>
      </c>
      <c r="AG143" s="33">
        <v>1.5507778211329371</v>
      </c>
      <c r="AH143" s="34">
        <v>3.1015556422658741</v>
      </c>
      <c r="AI143" s="33">
        <v>2.584629701888228</v>
      </c>
      <c r="AJ143" s="33">
        <v>3.1015556422658741</v>
      </c>
      <c r="AK143" s="33">
        <v>1.8092407913217601</v>
      </c>
      <c r="AL143" s="34">
        <v>1.8092407913217601</v>
      </c>
      <c r="AM143" s="34">
        <v>0.77538891056646841</v>
      </c>
      <c r="AN143" s="34">
        <v>1.292314850944114</v>
      </c>
      <c r="AO143" s="34">
        <v>0.77538891056646841</v>
      </c>
      <c r="AP143" s="34">
        <v>7.7538891056646833</v>
      </c>
      <c r="AQ143" s="34">
        <v>4.1354075230211649</v>
      </c>
      <c r="AR143" s="39"/>
    </row>
    <row r="144" spans="1:44" ht="19.5" customHeight="1">
      <c r="A144" s="55">
        <f t="shared" si="5"/>
        <v>7</v>
      </c>
      <c r="B144" s="129" t="s">
        <v>133</v>
      </c>
      <c r="C144" s="79" t="s">
        <v>94</v>
      </c>
      <c r="D144" s="76" t="s">
        <v>2315</v>
      </c>
      <c r="E144" s="30"/>
      <c r="F144" s="32">
        <v>1580</v>
      </c>
      <c r="G144" s="32">
        <v>24400</v>
      </c>
      <c r="H144" s="32">
        <v>25980</v>
      </c>
      <c r="I144" s="33">
        <v>0.54954120710010002</v>
      </c>
      <c r="J144" s="33">
        <v>0.54954120710010002</v>
      </c>
      <c r="K144" s="34">
        <v>0.1831804023667</v>
      </c>
      <c r="L144" s="33">
        <v>0.29308864378672</v>
      </c>
      <c r="M144" s="34">
        <v>0.36636080473339988</v>
      </c>
      <c r="N144" s="34">
        <v>0.21981648284003999</v>
      </c>
      <c r="O144" s="33">
        <v>0.21981648284003999</v>
      </c>
      <c r="P144" s="34">
        <v>0.43963296568007998</v>
      </c>
      <c r="Q144" s="33">
        <v>0.36636080473339988</v>
      </c>
      <c r="R144" s="33">
        <v>0.43963296568007998</v>
      </c>
      <c r="S144" s="33">
        <v>0.25645256331338001</v>
      </c>
      <c r="T144" s="34">
        <v>0.25645256331338001</v>
      </c>
      <c r="U144" s="34">
        <v>0.10990824142001999</v>
      </c>
      <c r="V144" s="34">
        <v>0.1831804023667</v>
      </c>
      <c r="W144" s="34">
        <v>0.10990824142001999</v>
      </c>
      <c r="X144" s="34">
        <v>1.0990824142002</v>
      </c>
      <c r="Y144" s="34">
        <v>0.58617728757344001</v>
      </c>
      <c r="Z144" s="34"/>
      <c r="AA144" s="33">
        <v>8.4865857299002787</v>
      </c>
      <c r="AB144" s="33">
        <v>8.4865857299002787</v>
      </c>
      <c r="AC144" s="34">
        <v>2.8288619099667591</v>
      </c>
      <c r="AD144" s="33">
        <v>4.5261790559468151</v>
      </c>
      <c r="AE144" s="34">
        <v>5.6577238199335183</v>
      </c>
      <c r="AF144" s="34">
        <v>3.394634291960112</v>
      </c>
      <c r="AG144" s="33">
        <v>3.394634291960112</v>
      </c>
      <c r="AH144" s="34">
        <v>6.7892685839202231</v>
      </c>
      <c r="AI144" s="33">
        <v>5.6577238199335183</v>
      </c>
      <c r="AJ144" s="33">
        <v>6.7892685839202231</v>
      </c>
      <c r="AK144" s="33">
        <v>3.960406673953464</v>
      </c>
      <c r="AL144" s="34">
        <v>3.960406673953464</v>
      </c>
      <c r="AM144" s="34">
        <v>1.697317145980056</v>
      </c>
      <c r="AN144" s="34">
        <v>2.8288619099667591</v>
      </c>
      <c r="AO144" s="34">
        <v>1.697317145980056</v>
      </c>
      <c r="AP144" s="34">
        <v>16.973171459800561</v>
      </c>
      <c r="AQ144" s="34">
        <v>9.0523581118936303</v>
      </c>
      <c r="AR144" s="39"/>
    </row>
    <row r="145" spans="1:44" ht="19.5" customHeight="1">
      <c r="A145" s="62"/>
      <c r="B145" s="76" t="s">
        <v>2323</v>
      </c>
      <c r="C145" s="51" t="s">
        <v>2324</v>
      </c>
      <c r="D145" s="63" t="s">
        <v>2325</v>
      </c>
      <c r="E145" s="51">
        <v>7</v>
      </c>
      <c r="F145" s="52">
        <v>345025.10285149852</v>
      </c>
      <c r="G145" s="52">
        <v>152313.22742067659</v>
      </c>
      <c r="H145" s="52">
        <v>497338.33027217508</v>
      </c>
      <c r="I145" s="53">
        <v>120.0034882916764</v>
      </c>
      <c r="J145" s="53">
        <v>120.0034882916764</v>
      </c>
      <c r="K145" s="54">
        <v>40.001162763892118</v>
      </c>
      <c r="L145" s="53">
        <v>64.001860422227395</v>
      </c>
      <c r="M145" s="54">
        <v>80.002325527784237</v>
      </c>
      <c r="N145" s="54">
        <v>48.001395316670553</v>
      </c>
      <c r="O145" s="53">
        <v>48.001395316670553</v>
      </c>
      <c r="P145" s="54">
        <v>96.002790633341093</v>
      </c>
      <c r="Q145" s="53">
        <v>80.002325527784237</v>
      </c>
      <c r="R145" s="53">
        <v>96.002790633341093</v>
      </c>
      <c r="S145" s="53">
        <v>56.001627869448967</v>
      </c>
      <c r="T145" s="54">
        <v>56.001627869448967</v>
      </c>
      <c r="U145" s="54">
        <v>24.00069765833527</v>
      </c>
      <c r="V145" s="54">
        <v>40.001162763892118</v>
      </c>
      <c r="W145" s="54">
        <v>24.00069765833527</v>
      </c>
      <c r="X145" s="54">
        <v>240.00697658335281</v>
      </c>
      <c r="Y145" s="54">
        <v>128.00372084445479</v>
      </c>
      <c r="Z145" s="54"/>
      <c r="AA145" s="53">
        <v>52.976199274728273</v>
      </c>
      <c r="AB145" s="53">
        <v>52.976199274728273</v>
      </c>
      <c r="AC145" s="54">
        <v>17.658733091576089</v>
      </c>
      <c r="AD145" s="53">
        <v>28.253972946521749</v>
      </c>
      <c r="AE145" s="54">
        <v>35.317466183152177</v>
      </c>
      <c r="AF145" s="54">
        <v>21.19047970989131</v>
      </c>
      <c r="AG145" s="53">
        <v>21.19047970989131</v>
      </c>
      <c r="AH145" s="54">
        <v>42.38095941978262</v>
      </c>
      <c r="AI145" s="53">
        <v>35.317466183152177</v>
      </c>
      <c r="AJ145" s="53">
        <v>42.38095941978262</v>
      </c>
      <c r="AK145" s="53">
        <v>24.722226328206531</v>
      </c>
      <c r="AL145" s="54">
        <v>24.722226328206531</v>
      </c>
      <c r="AM145" s="54">
        <v>10.59523985494566</v>
      </c>
      <c r="AN145" s="54">
        <v>17.658733091576089</v>
      </c>
      <c r="AO145" s="54">
        <v>10.59523985494566</v>
      </c>
      <c r="AP145" s="54">
        <v>105.9523985494565</v>
      </c>
      <c r="AQ145" s="54">
        <v>56.507945893043491</v>
      </c>
      <c r="AR145" s="39"/>
    </row>
    <row r="146" spans="1:44" ht="19.5" customHeight="1">
      <c r="A146" s="64">
        <f>A144+1</f>
        <v>8</v>
      </c>
      <c r="B146" s="129" t="s">
        <v>133</v>
      </c>
      <c r="C146" s="79" t="s">
        <v>94</v>
      </c>
      <c r="D146" s="28" t="s">
        <v>2333</v>
      </c>
      <c r="E146" s="30"/>
      <c r="F146" s="32">
        <v>25557.126654864831</v>
      </c>
      <c r="G146" s="32">
        <v>33951.502256252083</v>
      </c>
      <c r="H146" s="32">
        <v>59508.628911116917</v>
      </c>
      <c r="I146" s="33">
        <v>8.8890469822307328</v>
      </c>
      <c r="J146" s="33">
        <v>8.8890469822307328</v>
      </c>
      <c r="K146" s="34">
        <v>2.963015660743578</v>
      </c>
      <c r="L146" s="33">
        <v>4.7408250571897241</v>
      </c>
      <c r="M146" s="34">
        <v>5.9260313214871552</v>
      </c>
      <c r="N146" s="34">
        <v>3.555618792892294</v>
      </c>
      <c r="O146" s="33">
        <v>3.555618792892294</v>
      </c>
      <c r="P146" s="34">
        <v>7.1112375857845871</v>
      </c>
      <c r="Q146" s="33">
        <v>5.9260313214871552</v>
      </c>
      <c r="R146" s="33">
        <v>7.1112375857845871</v>
      </c>
      <c r="S146" s="33">
        <v>4.1482219250410086</v>
      </c>
      <c r="T146" s="34">
        <v>4.1482219250410086</v>
      </c>
      <c r="U146" s="34">
        <v>1.777809396446147</v>
      </c>
      <c r="V146" s="34">
        <v>2.963015660743578</v>
      </c>
      <c r="W146" s="34">
        <v>1.777809396446147</v>
      </c>
      <c r="X146" s="34">
        <v>17.778093964461469</v>
      </c>
      <c r="Y146" s="34">
        <v>9.4816501143794483</v>
      </c>
      <c r="Z146" s="34"/>
      <c r="AA146" s="33">
        <v>11.80870223592566</v>
      </c>
      <c r="AB146" s="33">
        <v>11.80870223592566</v>
      </c>
      <c r="AC146" s="34">
        <v>3.9362340786418848</v>
      </c>
      <c r="AD146" s="33">
        <v>6.2979745258270166</v>
      </c>
      <c r="AE146" s="34">
        <v>7.8724681572837696</v>
      </c>
      <c r="AF146" s="34">
        <v>4.7234808943702626</v>
      </c>
      <c r="AG146" s="33">
        <v>4.7234808943702626</v>
      </c>
      <c r="AH146" s="34">
        <v>9.4469617887405253</v>
      </c>
      <c r="AI146" s="33">
        <v>7.8724681572837696</v>
      </c>
      <c r="AJ146" s="33">
        <v>9.4469617887405253</v>
      </c>
      <c r="AK146" s="33">
        <v>5.5107277100986396</v>
      </c>
      <c r="AL146" s="34">
        <v>5.5107277100986396</v>
      </c>
      <c r="AM146" s="34">
        <v>2.3617404471851309</v>
      </c>
      <c r="AN146" s="34">
        <v>3.9362340786418848</v>
      </c>
      <c r="AO146" s="34">
        <v>2.3617404471851309</v>
      </c>
      <c r="AP146" s="34">
        <v>23.617404471851309</v>
      </c>
      <c r="AQ146" s="34">
        <v>12.59594905165403</v>
      </c>
      <c r="AR146" s="39"/>
    </row>
    <row r="147" spans="1:44" ht="19.5" customHeight="1">
      <c r="A147" s="64">
        <f t="shared" ref="A147:A151" si="6">A146+1</f>
        <v>9</v>
      </c>
      <c r="B147" s="16" t="s">
        <v>2344</v>
      </c>
      <c r="C147" s="30" t="s">
        <v>230</v>
      </c>
      <c r="D147" s="28" t="s">
        <v>2346</v>
      </c>
      <c r="E147" s="30"/>
      <c r="F147" s="32">
        <v>122637.1133713321</v>
      </c>
      <c r="G147" s="32">
        <v>22293.405169011519</v>
      </c>
      <c r="H147" s="32">
        <v>144930.51854034359</v>
      </c>
      <c r="I147" s="33">
        <v>42.654523618578253</v>
      </c>
      <c r="J147" s="33">
        <v>42.654523618578253</v>
      </c>
      <c r="K147" s="34">
        <v>14.21817453952608</v>
      </c>
      <c r="L147" s="33">
        <v>22.74907926324174</v>
      </c>
      <c r="M147" s="34">
        <v>28.43634907905216</v>
      </c>
      <c r="N147" s="34">
        <v>17.061809447431301</v>
      </c>
      <c r="O147" s="33">
        <v>17.061809447431301</v>
      </c>
      <c r="P147" s="34">
        <v>34.123618894862602</v>
      </c>
      <c r="Q147" s="33">
        <v>28.43634907905216</v>
      </c>
      <c r="R147" s="33">
        <v>34.123618894862602</v>
      </c>
      <c r="S147" s="33">
        <v>19.90544435533652</v>
      </c>
      <c r="T147" s="34">
        <v>19.90544435533652</v>
      </c>
      <c r="U147" s="34">
        <v>8.5309047237156506</v>
      </c>
      <c r="V147" s="34">
        <v>14.21817453952608</v>
      </c>
      <c r="W147" s="34">
        <v>8.5309047237156506</v>
      </c>
      <c r="X147" s="34">
        <v>85.309047237156506</v>
      </c>
      <c r="Y147" s="34">
        <v>45.498158526483472</v>
      </c>
      <c r="Z147" s="34"/>
      <c r="AA147" s="33">
        <v>7.7538891056646833</v>
      </c>
      <c r="AB147" s="33">
        <v>7.7538891056646833</v>
      </c>
      <c r="AC147" s="34">
        <v>2.584629701888228</v>
      </c>
      <c r="AD147" s="33">
        <v>4.1354075230211649</v>
      </c>
      <c r="AE147" s="34">
        <v>5.1692594037764552</v>
      </c>
      <c r="AF147" s="34">
        <v>3.1015556422658741</v>
      </c>
      <c r="AG147" s="33">
        <v>3.1015556422658741</v>
      </c>
      <c r="AH147" s="34">
        <v>6.2031112845317473</v>
      </c>
      <c r="AI147" s="33">
        <v>5.1692594037764552</v>
      </c>
      <c r="AJ147" s="33">
        <v>6.2031112845317473</v>
      </c>
      <c r="AK147" s="33">
        <v>3.6184815826435188</v>
      </c>
      <c r="AL147" s="34">
        <v>3.6184815826435188</v>
      </c>
      <c r="AM147" s="34">
        <v>1.5507778211329371</v>
      </c>
      <c r="AN147" s="34">
        <v>2.584629701888228</v>
      </c>
      <c r="AO147" s="34">
        <v>1.5507778211329371</v>
      </c>
      <c r="AP147" s="34">
        <v>15.50777821132937</v>
      </c>
      <c r="AQ147" s="34">
        <v>8.2708150460423298</v>
      </c>
      <c r="AR147" s="39"/>
    </row>
    <row r="148" spans="1:44" ht="19.5" customHeight="1">
      <c r="A148" s="55">
        <f t="shared" si="6"/>
        <v>10</v>
      </c>
      <c r="B148" s="28" t="s">
        <v>2354</v>
      </c>
      <c r="C148" s="26" t="s">
        <v>230</v>
      </c>
      <c r="D148" s="28" t="s">
        <v>2355</v>
      </c>
      <c r="E148" s="30"/>
      <c r="F148" s="32">
        <v>131995.76322143199</v>
      </c>
      <c r="G148" s="32">
        <v>25280.6733556654</v>
      </c>
      <c r="H148" s="32">
        <v>157276.4365770974</v>
      </c>
      <c r="I148" s="33">
        <v>45.909563957471342</v>
      </c>
      <c r="J148" s="33">
        <v>45.909563957471342</v>
      </c>
      <c r="K148" s="34">
        <v>15.303187985823779</v>
      </c>
      <c r="L148" s="33">
        <v>24.485100777318049</v>
      </c>
      <c r="M148" s="34">
        <v>30.606375971647559</v>
      </c>
      <c r="N148" s="34">
        <v>18.36382558298854</v>
      </c>
      <c r="O148" s="33">
        <v>18.36382558298854</v>
      </c>
      <c r="P148" s="34">
        <v>36.727651165977072</v>
      </c>
      <c r="Q148" s="33">
        <v>30.606375971647559</v>
      </c>
      <c r="R148" s="33">
        <v>36.727651165977072</v>
      </c>
      <c r="S148" s="33">
        <v>21.424463180153289</v>
      </c>
      <c r="T148" s="34">
        <v>21.424463180153289</v>
      </c>
      <c r="U148" s="34">
        <v>9.181912791494268</v>
      </c>
      <c r="V148" s="34">
        <v>15.303187985823779</v>
      </c>
      <c r="W148" s="34">
        <v>9.181912791494268</v>
      </c>
      <c r="X148" s="34">
        <v>91.819127914942683</v>
      </c>
      <c r="Y148" s="34">
        <v>48.970201554636091</v>
      </c>
      <c r="Z148" s="34"/>
      <c r="AA148" s="33">
        <v>8.7928935140352529</v>
      </c>
      <c r="AB148" s="33">
        <v>8.7928935140352529</v>
      </c>
      <c r="AC148" s="34">
        <v>2.9309645046784172</v>
      </c>
      <c r="AD148" s="33">
        <v>4.6895432074854666</v>
      </c>
      <c r="AE148" s="34">
        <v>5.8619290093568344</v>
      </c>
      <c r="AF148" s="34">
        <v>3.5171574056141011</v>
      </c>
      <c r="AG148" s="33">
        <v>3.5171574056141011</v>
      </c>
      <c r="AH148" s="34">
        <v>7.0343148112282021</v>
      </c>
      <c r="AI148" s="33">
        <v>5.8619290093568344</v>
      </c>
      <c r="AJ148" s="33">
        <v>7.0343148112282021</v>
      </c>
      <c r="AK148" s="33">
        <v>4.1033503065497836</v>
      </c>
      <c r="AL148" s="34">
        <v>4.1033503065497836</v>
      </c>
      <c r="AM148" s="34">
        <v>1.758578702807051</v>
      </c>
      <c r="AN148" s="34">
        <v>2.9309645046784172</v>
      </c>
      <c r="AO148" s="34">
        <v>1.758578702807051</v>
      </c>
      <c r="AP148" s="34">
        <v>17.585787028070509</v>
      </c>
      <c r="AQ148" s="34">
        <v>9.379086414970935</v>
      </c>
      <c r="AR148" s="39"/>
    </row>
    <row r="149" spans="1:44" ht="19.5" customHeight="1">
      <c r="A149" s="64">
        <f t="shared" si="6"/>
        <v>11</v>
      </c>
      <c r="B149" s="28" t="s">
        <v>2358</v>
      </c>
      <c r="C149" s="99" t="s">
        <v>94</v>
      </c>
      <c r="D149" s="56" t="s">
        <v>2359</v>
      </c>
      <c r="E149" s="30"/>
      <c r="F149" s="32">
        <v>117974.484610407</v>
      </c>
      <c r="G149" s="32">
        <v>22293.405169011519</v>
      </c>
      <c r="H149" s="32">
        <v>140267.8897794185</v>
      </c>
      <c r="I149" s="33">
        <v>41.032810556845092</v>
      </c>
      <c r="J149" s="33">
        <v>41.032810556845092</v>
      </c>
      <c r="K149" s="34">
        <v>13.677603518948359</v>
      </c>
      <c r="L149" s="33">
        <v>21.88416563031738</v>
      </c>
      <c r="M149" s="34">
        <v>27.355207037896719</v>
      </c>
      <c r="N149" s="34">
        <v>16.413124222738031</v>
      </c>
      <c r="O149" s="33">
        <v>16.413124222738031</v>
      </c>
      <c r="P149" s="34">
        <v>32.826248445476068</v>
      </c>
      <c r="Q149" s="33">
        <v>27.355207037896719</v>
      </c>
      <c r="R149" s="33">
        <v>32.826248445476068</v>
      </c>
      <c r="S149" s="33">
        <v>19.148644926527709</v>
      </c>
      <c r="T149" s="34">
        <v>19.148644926527709</v>
      </c>
      <c r="U149" s="34">
        <v>8.206562111369017</v>
      </c>
      <c r="V149" s="34">
        <v>13.677603518948359</v>
      </c>
      <c r="W149" s="34">
        <v>8.206562111369017</v>
      </c>
      <c r="X149" s="34">
        <v>82.06562111369017</v>
      </c>
      <c r="Y149" s="34">
        <v>43.76833126063476</v>
      </c>
      <c r="Z149" s="34"/>
      <c r="AA149" s="33">
        <v>7.7538891056646833</v>
      </c>
      <c r="AB149" s="33">
        <v>7.7538891056646833</v>
      </c>
      <c r="AC149" s="34">
        <v>2.584629701888228</v>
      </c>
      <c r="AD149" s="33">
        <v>4.1354075230211649</v>
      </c>
      <c r="AE149" s="34">
        <v>5.1692594037764552</v>
      </c>
      <c r="AF149" s="34">
        <v>3.1015556422658741</v>
      </c>
      <c r="AG149" s="33">
        <v>3.1015556422658741</v>
      </c>
      <c r="AH149" s="34">
        <v>6.2031112845317473</v>
      </c>
      <c r="AI149" s="33">
        <v>5.1692594037764552</v>
      </c>
      <c r="AJ149" s="33">
        <v>6.2031112845317473</v>
      </c>
      <c r="AK149" s="33">
        <v>3.6184815826435188</v>
      </c>
      <c r="AL149" s="34">
        <v>3.6184815826435188</v>
      </c>
      <c r="AM149" s="34">
        <v>1.5507778211329371</v>
      </c>
      <c r="AN149" s="34">
        <v>2.584629701888228</v>
      </c>
      <c r="AO149" s="34">
        <v>1.5507778211329371</v>
      </c>
      <c r="AP149" s="34">
        <v>15.50777821132937</v>
      </c>
      <c r="AQ149" s="34">
        <v>8.2708150460423298</v>
      </c>
      <c r="AR149" s="39"/>
    </row>
    <row r="150" spans="1:44" ht="19.5" customHeight="1">
      <c r="A150" s="64">
        <f t="shared" si="6"/>
        <v>12</v>
      </c>
      <c r="B150" s="28" t="s">
        <v>2363</v>
      </c>
      <c r="C150" s="99" t="s">
        <v>1014</v>
      </c>
      <c r="D150" s="28" t="s">
        <v>2364</v>
      </c>
      <c r="E150" s="30"/>
      <c r="F150" s="32">
        <v>31356.677621020041</v>
      </c>
      <c r="G150" s="32">
        <v>31829.53336523633</v>
      </c>
      <c r="H150" s="32">
        <v>63186.210986256367</v>
      </c>
      <c r="I150" s="33">
        <v>10.90619396867344</v>
      </c>
      <c r="J150" s="33">
        <v>10.90619396867344</v>
      </c>
      <c r="K150" s="34">
        <v>3.6353979895578141</v>
      </c>
      <c r="L150" s="33">
        <v>5.8166367832925037</v>
      </c>
      <c r="M150" s="34">
        <v>7.2707959791156282</v>
      </c>
      <c r="N150" s="34">
        <v>4.3624775874693782</v>
      </c>
      <c r="O150" s="33">
        <v>4.3624775874693782</v>
      </c>
      <c r="P150" s="34">
        <v>8.7249551749387564</v>
      </c>
      <c r="Q150" s="33">
        <v>7.2707959791156282</v>
      </c>
      <c r="R150" s="33">
        <v>8.7249551749387564</v>
      </c>
      <c r="S150" s="33">
        <v>5.0895571853809409</v>
      </c>
      <c r="T150" s="34">
        <v>5.0895571853809409</v>
      </c>
      <c r="U150" s="34">
        <v>2.1812387937346891</v>
      </c>
      <c r="V150" s="34">
        <v>3.6353979895578141</v>
      </c>
      <c r="W150" s="34">
        <v>2.1812387937346891</v>
      </c>
      <c r="X150" s="34">
        <v>21.812387937346891</v>
      </c>
      <c r="Y150" s="34">
        <v>11.633273566585011</v>
      </c>
      <c r="Z150" s="34"/>
      <c r="AA150" s="33">
        <v>11.0706583461803</v>
      </c>
      <c r="AB150" s="33">
        <v>11.0706583461803</v>
      </c>
      <c r="AC150" s="34">
        <v>3.6902194487267672</v>
      </c>
      <c r="AD150" s="33">
        <v>5.9043511179628281</v>
      </c>
      <c r="AE150" s="34">
        <v>7.3804388974535344</v>
      </c>
      <c r="AF150" s="34">
        <v>4.4282633384721208</v>
      </c>
      <c r="AG150" s="33">
        <v>4.4282633384721208</v>
      </c>
      <c r="AH150" s="34">
        <v>8.8565266769442417</v>
      </c>
      <c r="AI150" s="33">
        <v>7.3804388974535344</v>
      </c>
      <c r="AJ150" s="33">
        <v>8.8565266769442417</v>
      </c>
      <c r="AK150" s="33">
        <v>5.1663072282174749</v>
      </c>
      <c r="AL150" s="34">
        <v>5.1663072282174749</v>
      </c>
      <c r="AM150" s="34">
        <v>2.21413166923606</v>
      </c>
      <c r="AN150" s="34">
        <v>3.6902194487267672</v>
      </c>
      <c r="AO150" s="34">
        <v>2.21413166923606</v>
      </c>
      <c r="AP150" s="34">
        <v>22.141316692360601</v>
      </c>
      <c r="AQ150" s="34">
        <v>11.80870223592566</v>
      </c>
      <c r="AR150" s="39"/>
    </row>
    <row r="151" spans="1:44" ht="19.5" customHeight="1">
      <c r="A151" s="55">
        <f t="shared" si="6"/>
        <v>13</v>
      </c>
      <c r="B151" s="41" t="s">
        <v>133</v>
      </c>
      <c r="C151" s="99" t="s">
        <v>94</v>
      </c>
      <c r="D151" s="28" t="s">
        <v>2375</v>
      </c>
      <c r="E151" s="30"/>
      <c r="F151" s="32">
        <v>29863.502496209559</v>
      </c>
      <c r="G151" s="32">
        <v>34829.533365236297</v>
      </c>
      <c r="H151" s="32">
        <v>64693.035861445853</v>
      </c>
      <c r="I151" s="33">
        <v>10.38685139873661</v>
      </c>
      <c r="J151" s="33">
        <v>10.38685139873661</v>
      </c>
      <c r="K151" s="34">
        <v>3.46228379957887</v>
      </c>
      <c r="L151" s="33">
        <v>5.5396540793261932</v>
      </c>
      <c r="M151" s="34">
        <v>6.9245675991577409</v>
      </c>
      <c r="N151" s="34">
        <v>4.1547405594946456</v>
      </c>
      <c r="O151" s="33">
        <v>4.1547405594946456</v>
      </c>
      <c r="P151" s="34">
        <v>8.3094811189892912</v>
      </c>
      <c r="Q151" s="33">
        <v>6.9245675991577409</v>
      </c>
      <c r="R151" s="33">
        <v>8.3094811189892912</v>
      </c>
      <c r="S151" s="33">
        <v>4.8471973194104194</v>
      </c>
      <c r="T151" s="34">
        <v>4.8471973194104194</v>
      </c>
      <c r="U151" s="34">
        <v>2.0773702797473228</v>
      </c>
      <c r="V151" s="34">
        <v>3.46228379957887</v>
      </c>
      <c r="W151" s="34">
        <v>2.0773702797473228</v>
      </c>
      <c r="X151" s="34">
        <v>20.773702797473231</v>
      </c>
      <c r="Y151" s="34">
        <v>11.07930815865239</v>
      </c>
      <c r="Z151" s="34"/>
      <c r="AA151" s="33">
        <v>12.11409101788934</v>
      </c>
      <c r="AB151" s="33">
        <v>12.11409101788934</v>
      </c>
      <c r="AC151" s="34">
        <v>4.0380303392964469</v>
      </c>
      <c r="AD151" s="33">
        <v>6.4608485428743174</v>
      </c>
      <c r="AE151" s="34">
        <v>8.0760606785928939</v>
      </c>
      <c r="AF151" s="34">
        <v>4.8456364071557374</v>
      </c>
      <c r="AG151" s="33">
        <v>4.8456364071557374</v>
      </c>
      <c r="AH151" s="34">
        <v>9.6912728143114748</v>
      </c>
      <c r="AI151" s="33">
        <v>8.0760606785928939</v>
      </c>
      <c r="AJ151" s="33">
        <v>9.6912728143114748</v>
      </c>
      <c r="AK151" s="33">
        <v>5.653242475015027</v>
      </c>
      <c r="AL151" s="34">
        <v>5.653242475015027</v>
      </c>
      <c r="AM151" s="34">
        <v>2.4228182035778691</v>
      </c>
      <c r="AN151" s="34">
        <v>4.0380303392964469</v>
      </c>
      <c r="AO151" s="34">
        <v>2.4228182035778691</v>
      </c>
      <c r="AP151" s="34">
        <v>24.228182035778691</v>
      </c>
      <c r="AQ151" s="34">
        <v>12.92169708574863</v>
      </c>
      <c r="AR151" s="39"/>
    </row>
    <row r="152" spans="1:44" ht="19.5" customHeight="1">
      <c r="A152" s="62"/>
      <c r="B152" s="50" t="s">
        <v>2385</v>
      </c>
      <c r="C152" s="49" t="s">
        <v>185</v>
      </c>
      <c r="D152" s="50" t="s">
        <v>2386</v>
      </c>
      <c r="E152" s="89">
        <v>6</v>
      </c>
      <c r="F152" s="9">
        <v>459384.66797526559</v>
      </c>
      <c r="G152" s="9">
        <v>170478.05268041321</v>
      </c>
      <c r="H152" s="9">
        <v>629862.72065567877</v>
      </c>
      <c r="I152" s="53">
        <v>159.77899048253551</v>
      </c>
      <c r="J152" s="53">
        <v>159.77899048253551</v>
      </c>
      <c r="K152" s="54">
        <v>53.259663494178497</v>
      </c>
      <c r="L152" s="53">
        <v>85.215461590685607</v>
      </c>
      <c r="M152" s="54">
        <v>106.51932698835699</v>
      </c>
      <c r="N152" s="54">
        <v>63.911596193014198</v>
      </c>
      <c r="O152" s="53">
        <v>63.911596193014198</v>
      </c>
      <c r="P152" s="54">
        <v>127.8231923860284</v>
      </c>
      <c r="Q152" s="53">
        <v>106.51932698835699</v>
      </c>
      <c r="R152" s="53">
        <v>127.8231923860284</v>
      </c>
      <c r="S152" s="53">
        <v>74.563528891849899</v>
      </c>
      <c r="T152" s="54">
        <v>74.563528891849899</v>
      </c>
      <c r="U152" s="54">
        <v>31.955798096507099</v>
      </c>
      <c r="V152" s="54">
        <v>53.259663494178497</v>
      </c>
      <c r="W152" s="54">
        <v>31.955798096507099</v>
      </c>
      <c r="X152" s="54">
        <v>319.55798096507101</v>
      </c>
      <c r="Y152" s="54">
        <v>170.43092318137121</v>
      </c>
      <c r="Z152" s="34"/>
      <c r="AA152" s="131">
        <v>59.294123325359926</v>
      </c>
      <c r="AB152" s="131">
        <v>59.294123325359926</v>
      </c>
      <c r="AC152" s="132">
        <v>19.76470777511997</v>
      </c>
      <c r="AD152" s="131">
        <v>31.623532440191958</v>
      </c>
      <c r="AE152" s="132">
        <v>39.529415550239953</v>
      </c>
      <c r="AF152" s="132">
        <v>23.717649330143971</v>
      </c>
      <c r="AG152" s="131">
        <v>23.717649330143971</v>
      </c>
      <c r="AH152" s="132">
        <v>47.435298660287941</v>
      </c>
      <c r="AI152" s="131">
        <v>39.529415550239953</v>
      </c>
      <c r="AJ152" s="131">
        <v>47.435298660287941</v>
      </c>
      <c r="AK152" s="131">
        <v>27.670590885167972</v>
      </c>
      <c r="AL152" s="132">
        <v>27.670590885167972</v>
      </c>
      <c r="AM152" s="132">
        <v>11.858824665071991</v>
      </c>
      <c r="AN152" s="132">
        <v>19.76470777511997</v>
      </c>
      <c r="AO152" s="132">
        <v>11.858824665071991</v>
      </c>
      <c r="AP152" s="132">
        <v>118.5882466507199</v>
      </c>
      <c r="AQ152" s="132">
        <v>63.247064880383917</v>
      </c>
      <c r="AR152" s="2"/>
    </row>
    <row r="153" spans="1:44" ht="19.5" customHeight="1">
      <c r="A153" s="117"/>
      <c r="B153" s="125" t="s">
        <v>2323</v>
      </c>
      <c r="C153" s="65" t="s">
        <v>2324</v>
      </c>
      <c r="D153" s="126" t="s">
        <v>2398</v>
      </c>
      <c r="E153" s="127">
        <f>E152+E145</f>
        <v>13</v>
      </c>
      <c r="F153" s="128">
        <v>804409.77082676417</v>
      </c>
      <c r="G153" s="128">
        <v>322791.2801010898</v>
      </c>
      <c r="H153" s="128">
        <v>1127201.0509278539</v>
      </c>
      <c r="I153" s="53">
        <v>279.78247877421188</v>
      </c>
      <c r="J153" s="53">
        <v>279.78247877421188</v>
      </c>
      <c r="K153" s="54">
        <v>93.260826258070608</v>
      </c>
      <c r="L153" s="53">
        <v>149.217322012913</v>
      </c>
      <c r="M153" s="54">
        <v>186.52165251614119</v>
      </c>
      <c r="N153" s="54">
        <v>111.9129915096848</v>
      </c>
      <c r="O153" s="53">
        <v>111.9129915096848</v>
      </c>
      <c r="P153" s="54">
        <v>223.82598301936949</v>
      </c>
      <c r="Q153" s="53">
        <v>186.52165251614119</v>
      </c>
      <c r="R153" s="53">
        <v>223.82598301936949</v>
      </c>
      <c r="S153" s="53">
        <v>130.56515676129891</v>
      </c>
      <c r="T153" s="54">
        <v>130.56515676129891</v>
      </c>
      <c r="U153" s="54">
        <v>55.956495754842379</v>
      </c>
      <c r="V153" s="54">
        <v>93.260826258070608</v>
      </c>
      <c r="W153" s="54">
        <v>55.956495754842379</v>
      </c>
      <c r="X153" s="54">
        <v>559.56495754842376</v>
      </c>
      <c r="Y153" s="54">
        <v>298.434644025826</v>
      </c>
      <c r="Z153" s="34"/>
      <c r="AA153" s="33">
        <v>112.27032260008821</v>
      </c>
      <c r="AB153" s="33">
        <v>112.27032260008821</v>
      </c>
      <c r="AC153" s="34">
        <v>37.423440866696062</v>
      </c>
      <c r="AD153" s="33">
        <v>59.877505386713707</v>
      </c>
      <c r="AE153" s="34">
        <v>74.846881733392124</v>
      </c>
      <c r="AF153" s="34">
        <v>44.908129040035277</v>
      </c>
      <c r="AG153" s="33">
        <v>44.908129040035277</v>
      </c>
      <c r="AH153" s="34">
        <v>89.816258080070568</v>
      </c>
      <c r="AI153" s="33">
        <v>74.846881733392124</v>
      </c>
      <c r="AJ153" s="33">
        <v>89.816258080070568</v>
      </c>
      <c r="AK153" s="33">
        <v>52.392817213374499</v>
      </c>
      <c r="AL153" s="34">
        <v>52.392817213374499</v>
      </c>
      <c r="AM153" s="34">
        <v>22.454064520017639</v>
      </c>
      <c r="AN153" s="34">
        <v>37.423440866696062</v>
      </c>
      <c r="AO153" s="34">
        <v>22.454064520017639</v>
      </c>
      <c r="AP153" s="34">
        <v>224.54064520017641</v>
      </c>
      <c r="AQ153" s="34">
        <v>119.7550107734274</v>
      </c>
      <c r="AR153" s="59"/>
    </row>
    <row r="154" spans="1:44" ht="19.5" customHeight="1">
      <c r="A154" s="30"/>
      <c r="B154" s="56"/>
      <c r="C154" s="30"/>
      <c r="D154" s="56"/>
      <c r="E154" s="30"/>
      <c r="F154" s="32"/>
      <c r="G154" s="32"/>
      <c r="H154" s="32">
        <v>0</v>
      </c>
      <c r="I154" s="33">
        <v>0</v>
      </c>
      <c r="J154" s="33">
        <v>0</v>
      </c>
      <c r="K154" s="34">
        <v>0</v>
      </c>
      <c r="L154" s="33">
        <v>0</v>
      </c>
      <c r="M154" s="34">
        <v>0</v>
      </c>
      <c r="N154" s="34">
        <v>0</v>
      </c>
      <c r="O154" s="33">
        <v>0</v>
      </c>
      <c r="P154" s="34">
        <v>0</v>
      </c>
      <c r="Q154" s="33">
        <v>0</v>
      </c>
      <c r="R154" s="33">
        <v>0</v>
      </c>
      <c r="S154" s="33">
        <v>0</v>
      </c>
      <c r="T154" s="34">
        <v>0</v>
      </c>
      <c r="U154" s="34">
        <v>0</v>
      </c>
      <c r="V154" s="34">
        <v>0</v>
      </c>
      <c r="W154" s="34">
        <v>0</v>
      </c>
      <c r="X154" s="34">
        <v>0</v>
      </c>
      <c r="Y154" s="34">
        <v>0</v>
      </c>
      <c r="Z154" s="34"/>
      <c r="AA154" s="33">
        <v>0</v>
      </c>
      <c r="AB154" s="33">
        <v>0</v>
      </c>
      <c r="AC154" s="34">
        <v>0</v>
      </c>
      <c r="AD154" s="33">
        <v>0</v>
      </c>
      <c r="AE154" s="34">
        <v>0</v>
      </c>
      <c r="AF154" s="34">
        <v>0</v>
      </c>
      <c r="AG154" s="33">
        <v>0</v>
      </c>
      <c r="AH154" s="34">
        <v>0</v>
      </c>
      <c r="AI154" s="33">
        <v>0</v>
      </c>
      <c r="AJ154" s="33">
        <v>0</v>
      </c>
      <c r="AK154" s="33">
        <v>0</v>
      </c>
      <c r="AL154" s="34">
        <v>0</v>
      </c>
      <c r="AM154" s="34">
        <v>0</v>
      </c>
      <c r="AN154" s="34">
        <v>0</v>
      </c>
      <c r="AO154" s="34">
        <v>0</v>
      </c>
      <c r="AP154" s="34">
        <v>0</v>
      </c>
      <c r="AQ154" s="34">
        <v>0</v>
      </c>
      <c r="AR154" s="39"/>
    </row>
    <row r="155" spans="1:44" ht="19.5" customHeight="1">
      <c r="A155" s="14" t="s">
        <v>2423</v>
      </c>
      <c r="B155" s="14"/>
      <c r="C155" s="49"/>
      <c r="D155" s="50"/>
      <c r="E155" s="30"/>
      <c r="F155" s="32"/>
      <c r="G155" s="32"/>
      <c r="H155" s="32">
        <v>0</v>
      </c>
      <c r="I155" s="33">
        <v>0</v>
      </c>
      <c r="J155" s="33">
        <v>0</v>
      </c>
      <c r="K155" s="34">
        <v>0</v>
      </c>
      <c r="L155" s="33">
        <v>0</v>
      </c>
      <c r="M155" s="34">
        <v>0</v>
      </c>
      <c r="N155" s="34">
        <v>0</v>
      </c>
      <c r="O155" s="33">
        <v>0</v>
      </c>
      <c r="P155" s="34">
        <v>0</v>
      </c>
      <c r="Q155" s="33">
        <v>0</v>
      </c>
      <c r="R155" s="33">
        <v>0</v>
      </c>
      <c r="S155" s="33">
        <v>0</v>
      </c>
      <c r="T155" s="34">
        <v>0</v>
      </c>
      <c r="U155" s="34">
        <v>0</v>
      </c>
      <c r="V155" s="34">
        <v>0</v>
      </c>
      <c r="W155" s="34">
        <v>0</v>
      </c>
      <c r="X155" s="34">
        <v>0</v>
      </c>
      <c r="Y155" s="34">
        <v>0</v>
      </c>
      <c r="Z155" s="54"/>
      <c r="AA155" s="53">
        <v>0</v>
      </c>
      <c r="AB155" s="53">
        <v>0</v>
      </c>
      <c r="AC155" s="54">
        <v>0</v>
      </c>
      <c r="AD155" s="53">
        <v>0</v>
      </c>
      <c r="AE155" s="54">
        <v>0</v>
      </c>
      <c r="AF155" s="54">
        <v>0</v>
      </c>
      <c r="AG155" s="53">
        <v>0</v>
      </c>
      <c r="AH155" s="54">
        <v>0</v>
      </c>
      <c r="AI155" s="53">
        <v>0</v>
      </c>
      <c r="AJ155" s="53">
        <v>0</v>
      </c>
      <c r="AK155" s="53">
        <v>0</v>
      </c>
      <c r="AL155" s="54">
        <v>0</v>
      </c>
      <c r="AM155" s="54">
        <v>0</v>
      </c>
      <c r="AN155" s="54">
        <v>0</v>
      </c>
      <c r="AO155" s="54">
        <v>0</v>
      </c>
      <c r="AP155" s="54">
        <v>0</v>
      </c>
      <c r="AQ155" s="54">
        <v>0</v>
      </c>
      <c r="AR155" s="37"/>
    </row>
    <row r="156" spans="1:44" ht="19.5" customHeight="1">
      <c r="A156" s="26">
        <v>1</v>
      </c>
      <c r="B156" s="81" t="s">
        <v>133</v>
      </c>
      <c r="C156" s="26" t="s">
        <v>94</v>
      </c>
      <c r="D156" s="56" t="s">
        <v>2433</v>
      </c>
      <c r="E156" s="30"/>
      <c r="F156" s="32">
        <v>40000</v>
      </c>
      <c r="G156" s="32">
        <v>21219.688910157551</v>
      </c>
      <c r="H156" s="32">
        <v>61219.688910157551</v>
      </c>
      <c r="I156" s="33">
        <v>13.91243562278734</v>
      </c>
      <c r="J156" s="33">
        <v>13.91243562278734</v>
      </c>
      <c r="K156" s="34">
        <v>4.6374785409291128</v>
      </c>
      <c r="L156" s="33">
        <v>7.4199656654865818</v>
      </c>
      <c r="M156" s="34">
        <v>9.2749570818582256</v>
      </c>
      <c r="N156" s="34">
        <v>5.564974249114937</v>
      </c>
      <c r="O156" s="33">
        <v>5.564974249114937</v>
      </c>
      <c r="P156" s="34">
        <v>11.12994849822987</v>
      </c>
      <c r="Q156" s="33">
        <v>9.2749570818582256</v>
      </c>
      <c r="R156" s="33">
        <v>11.12994849822987</v>
      </c>
      <c r="S156" s="33">
        <v>6.4924699573007594</v>
      </c>
      <c r="T156" s="34">
        <v>6.4924699573007594</v>
      </c>
      <c r="U156" s="34">
        <v>2.7824871245574681</v>
      </c>
      <c r="V156" s="34">
        <v>4.6374785409291128</v>
      </c>
      <c r="W156" s="34">
        <v>2.7824871245574681</v>
      </c>
      <c r="X156" s="34">
        <v>27.824871245574681</v>
      </c>
      <c r="Y156" s="34">
        <v>14.83993133097316</v>
      </c>
      <c r="Z156" s="54"/>
      <c r="AA156" s="33">
        <v>7.3804388974535353</v>
      </c>
      <c r="AB156" s="33">
        <v>7.3804388974535353</v>
      </c>
      <c r="AC156" s="34">
        <v>2.460146299151178</v>
      </c>
      <c r="AD156" s="33">
        <v>3.9362340786418848</v>
      </c>
      <c r="AE156" s="34">
        <v>4.920292598302356</v>
      </c>
      <c r="AF156" s="34">
        <v>2.952175558981414</v>
      </c>
      <c r="AG156" s="33">
        <v>2.952175558981414</v>
      </c>
      <c r="AH156" s="34">
        <v>5.9043511179628281</v>
      </c>
      <c r="AI156" s="33">
        <v>4.920292598302356</v>
      </c>
      <c r="AJ156" s="33">
        <v>5.9043511179628281</v>
      </c>
      <c r="AK156" s="33">
        <v>3.4442048188116501</v>
      </c>
      <c r="AL156" s="34">
        <v>3.4442048188116501</v>
      </c>
      <c r="AM156" s="34">
        <v>1.476087779490707</v>
      </c>
      <c r="AN156" s="34">
        <v>2.460146299151178</v>
      </c>
      <c r="AO156" s="34">
        <v>1.476087779490707</v>
      </c>
      <c r="AP156" s="34">
        <v>14.760877794907071</v>
      </c>
      <c r="AQ156" s="34">
        <v>7.8724681572837696</v>
      </c>
      <c r="AR156" s="37"/>
    </row>
    <row r="157" spans="1:44" ht="19.5" customHeight="1">
      <c r="A157" s="26">
        <f t="shared" ref="A157:A158" si="7">A156+1</f>
        <v>2</v>
      </c>
      <c r="B157" s="100" t="s">
        <v>2444</v>
      </c>
      <c r="C157" s="58" t="s">
        <v>362</v>
      </c>
      <c r="D157" s="56" t="s">
        <v>2448</v>
      </c>
      <c r="E157" s="30"/>
      <c r="F157" s="32">
        <v>128476.9759128241</v>
      </c>
      <c r="G157" s="32">
        <v>29366.756461264398</v>
      </c>
      <c r="H157" s="32">
        <v>157843.73237408849</v>
      </c>
      <c r="I157" s="33">
        <v>44.685691409939118</v>
      </c>
      <c r="J157" s="33">
        <v>44.685691409939118</v>
      </c>
      <c r="K157" s="34">
        <v>14.895230469979699</v>
      </c>
      <c r="L157" s="33">
        <v>23.832368751967529</v>
      </c>
      <c r="M157" s="34">
        <v>29.790460939959409</v>
      </c>
      <c r="N157" s="34">
        <v>17.874276563975648</v>
      </c>
      <c r="O157" s="33">
        <v>17.874276563975648</v>
      </c>
      <c r="P157" s="34">
        <v>35.748553127951297</v>
      </c>
      <c r="Q157" s="33">
        <v>29.790460939959409</v>
      </c>
      <c r="R157" s="33">
        <v>35.748553127951297</v>
      </c>
      <c r="S157" s="33">
        <v>20.853322657971589</v>
      </c>
      <c r="T157" s="34">
        <v>20.853322657971589</v>
      </c>
      <c r="U157" s="34">
        <v>8.9371382819878242</v>
      </c>
      <c r="V157" s="34">
        <v>14.895230469979699</v>
      </c>
      <c r="W157" s="34">
        <v>8.9371382819878242</v>
      </c>
      <c r="X157" s="34">
        <v>89.371382819878249</v>
      </c>
      <c r="Y157" s="34">
        <v>47.664737503935058</v>
      </c>
      <c r="Z157" s="34"/>
      <c r="AA157" s="33">
        <v>10.21407771793538</v>
      </c>
      <c r="AB157" s="33">
        <v>10.21407771793538</v>
      </c>
      <c r="AC157" s="34">
        <v>3.4046925726451258</v>
      </c>
      <c r="AD157" s="33">
        <v>5.4475081162322034</v>
      </c>
      <c r="AE157" s="34">
        <v>6.8093851452902516</v>
      </c>
      <c r="AF157" s="34">
        <v>4.0856310871741517</v>
      </c>
      <c r="AG157" s="33">
        <v>4.0856310871741517</v>
      </c>
      <c r="AH157" s="34">
        <v>8.1712621743483034</v>
      </c>
      <c r="AI157" s="33">
        <v>6.8093851452902516</v>
      </c>
      <c r="AJ157" s="33">
        <v>8.1712621743483034</v>
      </c>
      <c r="AK157" s="33">
        <v>4.7665696017031767</v>
      </c>
      <c r="AL157" s="34">
        <v>4.7665696017031767</v>
      </c>
      <c r="AM157" s="34">
        <v>2.0428155435870758</v>
      </c>
      <c r="AN157" s="34">
        <v>3.4046925726451258</v>
      </c>
      <c r="AO157" s="34">
        <v>2.0428155435870758</v>
      </c>
      <c r="AP157" s="34">
        <v>20.42815543587076</v>
      </c>
      <c r="AQ157" s="34">
        <v>10.89501623246441</v>
      </c>
      <c r="AR157" s="39"/>
    </row>
    <row r="158" spans="1:44" ht="19.5" customHeight="1">
      <c r="A158" s="26">
        <f t="shared" si="7"/>
        <v>3</v>
      </c>
      <c r="B158" s="81" t="s">
        <v>133</v>
      </c>
      <c r="C158" s="30" t="s">
        <v>94</v>
      </c>
      <c r="D158" s="28" t="s">
        <v>2463</v>
      </c>
      <c r="E158" s="30"/>
      <c r="F158" s="32">
        <v>20904.451747346691</v>
      </c>
      <c r="G158" s="32">
        <v>31829.53336523633</v>
      </c>
      <c r="H158" s="32">
        <v>52733.985112583017</v>
      </c>
      <c r="I158" s="53">
        <v>7.27079597911563</v>
      </c>
      <c r="J158" s="53">
        <v>7.27079597911563</v>
      </c>
      <c r="K158" s="54">
        <v>2.4235986597052102</v>
      </c>
      <c r="L158" s="53">
        <v>3.8777578555283361</v>
      </c>
      <c r="M158" s="54">
        <v>4.8471973194104194</v>
      </c>
      <c r="N158" s="54">
        <v>2.9083183916462518</v>
      </c>
      <c r="O158" s="53">
        <v>2.9083183916462518</v>
      </c>
      <c r="P158" s="54">
        <v>5.8166367832925054</v>
      </c>
      <c r="Q158" s="53">
        <v>4.8471973194104194</v>
      </c>
      <c r="R158" s="53">
        <v>5.8166367832925054</v>
      </c>
      <c r="S158" s="53">
        <v>3.393038123587294</v>
      </c>
      <c r="T158" s="54">
        <v>3.393038123587294</v>
      </c>
      <c r="U158" s="54">
        <v>1.4541591958231259</v>
      </c>
      <c r="V158" s="54">
        <v>2.4235986597052102</v>
      </c>
      <c r="W158" s="54">
        <v>1.4541591958231259</v>
      </c>
      <c r="X158" s="54">
        <v>14.54159195823126</v>
      </c>
      <c r="Y158" s="54">
        <v>7.7555157110566721</v>
      </c>
      <c r="Z158" s="34"/>
      <c r="AA158" s="33">
        <v>11.0706583461803</v>
      </c>
      <c r="AB158" s="33">
        <v>11.0706583461803</v>
      </c>
      <c r="AC158" s="34">
        <v>3.6902194487267672</v>
      </c>
      <c r="AD158" s="33">
        <v>5.9043511179628281</v>
      </c>
      <c r="AE158" s="34">
        <v>7.3804388974535344</v>
      </c>
      <c r="AF158" s="34">
        <v>4.4282633384721208</v>
      </c>
      <c r="AG158" s="33">
        <v>4.4282633384721208</v>
      </c>
      <c r="AH158" s="34">
        <v>8.8565266769442417</v>
      </c>
      <c r="AI158" s="33">
        <v>7.3804388974535344</v>
      </c>
      <c r="AJ158" s="33">
        <v>8.8565266769442417</v>
      </c>
      <c r="AK158" s="33">
        <v>5.1663072282174749</v>
      </c>
      <c r="AL158" s="34">
        <v>5.1663072282174749</v>
      </c>
      <c r="AM158" s="34">
        <v>2.21413166923606</v>
      </c>
      <c r="AN158" s="34">
        <v>3.6902194487267672</v>
      </c>
      <c r="AO158" s="34">
        <v>2.21413166923606</v>
      </c>
      <c r="AP158" s="34">
        <v>22.141316692360601</v>
      </c>
      <c r="AQ158" s="34">
        <v>11.80870223592566</v>
      </c>
      <c r="AR158" s="39"/>
    </row>
    <row r="159" spans="1:44" ht="19.5" customHeight="1">
      <c r="A159" s="49"/>
      <c r="B159" s="50" t="s">
        <v>2444</v>
      </c>
      <c r="C159" s="49" t="s">
        <v>389</v>
      </c>
      <c r="D159" s="50" t="s">
        <v>2463</v>
      </c>
      <c r="E159" s="51">
        <v>3</v>
      </c>
      <c r="F159" s="52">
        <v>189381.4276601708</v>
      </c>
      <c r="G159" s="52">
        <v>82415.978736658275</v>
      </c>
      <c r="H159" s="52">
        <v>271797.40639682912</v>
      </c>
      <c r="I159" s="33">
        <v>65.868923011842099</v>
      </c>
      <c r="J159" s="33">
        <v>65.868923011842099</v>
      </c>
      <c r="K159" s="34">
        <v>21.956307670614031</v>
      </c>
      <c r="L159" s="33">
        <v>35.130092272982452</v>
      </c>
      <c r="M159" s="34">
        <v>43.912615341228062</v>
      </c>
      <c r="N159" s="34">
        <v>26.347569204736839</v>
      </c>
      <c r="O159" s="33">
        <v>26.347569204736839</v>
      </c>
      <c r="P159" s="34">
        <v>52.695138409473678</v>
      </c>
      <c r="Q159" s="33">
        <v>43.912615341228062</v>
      </c>
      <c r="R159" s="33">
        <v>52.695138409473678</v>
      </c>
      <c r="S159" s="33">
        <v>30.738830738859651</v>
      </c>
      <c r="T159" s="34">
        <v>30.738830738859651</v>
      </c>
      <c r="U159" s="34">
        <v>13.17378460236842</v>
      </c>
      <c r="V159" s="34">
        <v>21.956307670614031</v>
      </c>
      <c r="W159" s="34">
        <v>13.17378460236842</v>
      </c>
      <c r="X159" s="34">
        <v>131.7378460236842</v>
      </c>
      <c r="Y159" s="34">
        <v>70.260184545964904</v>
      </c>
      <c r="Z159" s="34"/>
      <c r="AA159" s="33">
        <v>28.665174961569221</v>
      </c>
      <c r="AB159" s="33">
        <v>28.665174961569221</v>
      </c>
      <c r="AC159" s="34">
        <v>9.5550583205230719</v>
      </c>
      <c r="AD159" s="33">
        <v>15.288093312836921</v>
      </c>
      <c r="AE159" s="34">
        <v>19.11011664104614</v>
      </c>
      <c r="AF159" s="34">
        <v>11.466069984627691</v>
      </c>
      <c r="AG159" s="33">
        <v>11.466069984627691</v>
      </c>
      <c r="AH159" s="34">
        <v>22.93213996925537</v>
      </c>
      <c r="AI159" s="33">
        <v>19.11011664104614</v>
      </c>
      <c r="AJ159" s="33">
        <v>22.93213996925537</v>
      </c>
      <c r="AK159" s="33">
        <v>13.3770816487323</v>
      </c>
      <c r="AL159" s="34">
        <v>13.3770816487323</v>
      </c>
      <c r="AM159" s="34">
        <v>5.7330349923138444</v>
      </c>
      <c r="AN159" s="34">
        <v>9.5550583205230719</v>
      </c>
      <c r="AO159" s="34">
        <v>5.7330349923138444</v>
      </c>
      <c r="AP159" s="34">
        <v>57.330349923138442</v>
      </c>
      <c r="AQ159" s="34">
        <v>30.576186625673831</v>
      </c>
      <c r="AR159" s="39"/>
    </row>
    <row r="160" spans="1:44" ht="19.5" customHeight="1">
      <c r="A160" s="26">
        <f>A158+1</f>
        <v>4</v>
      </c>
      <c r="B160" s="41" t="s">
        <v>133</v>
      </c>
      <c r="C160" s="26" t="s">
        <v>94</v>
      </c>
      <c r="D160" s="28" t="s">
        <v>2490</v>
      </c>
      <c r="E160" s="30"/>
      <c r="F160" s="32">
        <v>31356.677621020041</v>
      </c>
      <c r="G160" s="32">
        <v>43712.559154924558</v>
      </c>
      <c r="H160" s="32">
        <v>75069.236775944591</v>
      </c>
      <c r="I160" s="33">
        <v>10.90619396867344</v>
      </c>
      <c r="J160" s="33">
        <v>10.90619396867344</v>
      </c>
      <c r="K160" s="34">
        <v>3.6353979895578141</v>
      </c>
      <c r="L160" s="33">
        <v>5.8166367832925037</v>
      </c>
      <c r="M160" s="34">
        <v>7.2707959791156282</v>
      </c>
      <c r="N160" s="34">
        <v>4.3624775874693782</v>
      </c>
      <c r="O160" s="33">
        <v>4.3624775874693782</v>
      </c>
      <c r="P160" s="34">
        <v>8.7249551749387564</v>
      </c>
      <c r="Q160" s="33">
        <v>7.2707959791156282</v>
      </c>
      <c r="R160" s="33">
        <v>8.7249551749387564</v>
      </c>
      <c r="S160" s="33">
        <v>5.0895571853809409</v>
      </c>
      <c r="T160" s="34">
        <v>5.0895571853809409</v>
      </c>
      <c r="U160" s="34">
        <v>2.1812387937346891</v>
      </c>
      <c r="V160" s="34">
        <v>3.6353979895578141</v>
      </c>
      <c r="W160" s="34">
        <v>2.1812387937346891</v>
      </c>
      <c r="X160" s="34">
        <v>21.812387937346891</v>
      </c>
      <c r="Y160" s="34">
        <v>11.633273566585011</v>
      </c>
      <c r="Z160" s="34"/>
      <c r="AA160" s="33">
        <v>15.20370412875428</v>
      </c>
      <c r="AB160" s="33">
        <v>15.20370412875428</v>
      </c>
      <c r="AC160" s="34">
        <v>5.0679013762514273</v>
      </c>
      <c r="AD160" s="33">
        <v>8.1086422020022848</v>
      </c>
      <c r="AE160" s="34">
        <v>10.135802752502849</v>
      </c>
      <c r="AF160" s="34">
        <v>6.0814816515017132</v>
      </c>
      <c r="AG160" s="33">
        <v>6.0814816515017132</v>
      </c>
      <c r="AH160" s="34">
        <v>12.16296330300343</v>
      </c>
      <c r="AI160" s="33">
        <v>10.135802752502849</v>
      </c>
      <c r="AJ160" s="33">
        <v>12.16296330300343</v>
      </c>
      <c r="AK160" s="33">
        <v>7.095061926751999</v>
      </c>
      <c r="AL160" s="34">
        <v>7.095061926751999</v>
      </c>
      <c r="AM160" s="34">
        <v>3.040740825750857</v>
      </c>
      <c r="AN160" s="34">
        <v>5.0679013762514273</v>
      </c>
      <c r="AO160" s="34">
        <v>3.040740825750857</v>
      </c>
      <c r="AP160" s="34">
        <v>30.407408257508571</v>
      </c>
      <c r="AQ160" s="34">
        <v>16.21728440400457</v>
      </c>
      <c r="AR160" s="39"/>
    </row>
    <row r="161" spans="1:44" ht="19.5" customHeight="1">
      <c r="A161" s="26">
        <f t="shared" ref="A161:A164" si="8">A160+1</f>
        <v>5</v>
      </c>
      <c r="B161" s="101" t="s">
        <v>2502</v>
      </c>
      <c r="C161" s="26" t="s">
        <v>230</v>
      </c>
      <c r="D161" s="101" t="s">
        <v>2503</v>
      </c>
      <c r="E161" s="30"/>
      <c r="F161" s="32">
        <v>128476.9759128241</v>
      </c>
      <c r="G161" s="32">
        <v>22293.405169011519</v>
      </c>
      <c r="H161" s="32">
        <v>150770.3810818356</v>
      </c>
      <c r="I161" s="33">
        <v>44.685691409939118</v>
      </c>
      <c r="J161" s="33">
        <v>44.685691409939118</v>
      </c>
      <c r="K161" s="34">
        <v>14.895230469979699</v>
      </c>
      <c r="L161" s="33">
        <v>23.832368751967529</v>
      </c>
      <c r="M161" s="34">
        <v>29.790460939959409</v>
      </c>
      <c r="N161" s="34">
        <v>17.874276563975648</v>
      </c>
      <c r="O161" s="33">
        <v>17.874276563975648</v>
      </c>
      <c r="P161" s="34">
        <v>35.748553127951297</v>
      </c>
      <c r="Q161" s="33">
        <v>29.790460939959409</v>
      </c>
      <c r="R161" s="33">
        <v>35.748553127951297</v>
      </c>
      <c r="S161" s="33">
        <v>20.853322657971589</v>
      </c>
      <c r="T161" s="34">
        <v>20.853322657971589</v>
      </c>
      <c r="U161" s="34">
        <v>8.9371382819878242</v>
      </c>
      <c r="V161" s="34">
        <v>14.895230469979699</v>
      </c>
      <c r="W161" s="34">
        <v>8.9371382819878242</v>
      </c>
      <c r="X161" s="34">
        <v>89.371382819878249</v>
      </c>
      <c r="Y161" s="34">
        <v>47.664737503935058</v>
      </c>
      <c r="Z161" s="34"/>
      <c r="AA161" s="33">
        <v>7.7538891056646833</v>
      </c>
      <c r="AB161" s="33">
        <v>7.7538891056646833</v>
      </c>
      <c r="AC161" s="34">
        <v>2.584629701888228</v>
      </c>
      <c r="AD161" s="33">
        <v>4.1354075230211649</v>
      </c>
      <c r="AE161" s="34">
        <v>5.1692594037764552</v>
      </c>
      <c r="AF161" s="34">
        <v>3.1015556422658741</v>
      </c>
      <c r="AG161" s="33">
        <v>3.1015556422658741</v>
      </c>
      <c r="AH161" s="34">
        <v>6.2031112845317473</v>
      </c>
      <c r="AI161" s="33">
        <v>5.1692594037764552</v>
      </c>
      <c r="AJ161" s="33">
        <v>6.2031112845317473</v>
      </c>
      <c r="AK161" s="33">
        <v>3.6184815826435188</v>
      </c>
      <c r="AL161" s="34">
        <v>3.6184815826435188</v>
      </c>
      <c r="AM161" s="34">
        <v>1.5507778211329371</v>
      </c>
      <c r="AN161" s="34">
        <v>2.584629701888228</v>
      </c>
      <c r="AO161" s="34">
        <v>1.5507778211329371</v>
      </c>
      <c r="AP161" s="34">
        <v>15.50777821132937</v>
      </c>
      <c r="AQ161" s="34">
        <v>8.2708150460423298</v>
      </c>
      <c r="AR161" s="39"/>
    </row>
    <row r="162" spans="1:44" ht="19.5" customHeight="1">
      <c r="A162" s="26">
        <f t="shared" si="8"/>
        <v>6</v>
      </c>
      <c r="B162" s="41" t="s">
        <v>133</v>
      </c>
      <c r="C162" s="26" t="s">
        <v>94</v>
      </c>
      <c r="D162" s="28" t="s">
        <v>2513</v>
      </c>
      <c r="E162" s="30"/>
      <c r="F162" s="32">
        <v>60261</v>
      </c>
      <c r="G162" s="32">
        <v>32784.419366193411</v>
      </c>
      <c r="H162" s="32">
        <v>93045.419366193411</v>
      </c>
      <c r="I162" s="33">
        <v>20.959432076619699</v>
      </c>
      <c r="J162" s="33">
        <v>20.959432076619699</v>
      </c>
      <c r="K162" s="34">
        <v>6.9864773588732323</v>
      </c>
      <c r="L162" s="33">
        <v>11.17836377419717</v>
      </c>
      <c r="M162" s="34">
        <v>13.972954717746459</v>
      </c>
      <c r="N162" s="34">
        <v>8.3837728306478798</v>
      </c>
      <c r="O162" s="33">
        <v>8.3837728306478798</v>
      </c>
      <c r="P162" s="34">
        <v>16.76754566129576</v>
      </c>
      <c r="Q162" s="33">
        <v>13.972954717746459</v>
      </c>
      <c r="R162" s="33">
        <v>16.76754566129576</v>
      </c>
      <c r="S162" s="33">
        <v>9.7810683024225273</v>
      </c>
      <c r="T162" s="34">
        <v>9.7810683024225273</v>
      </c>
      <c r="U162" s="34">
        <v>4.1918864153239399</v>
      </c>
      <c r="V162" s="34">
        <v>6.9864773588732323</v>
      </c>
      <c r="W162" s="34">
        <v>4.1918864153239399</v>
      </c>
      <c r="X162" s="34">
        <v>41.918864153239397</v>
      </c>
      <c r="Y162" s="34">
        <v>22.35672754839435</v>
      </c>
      <c r="Z162" s="54"/>
      <c r="AA162" s="33">
        <v>11.40277809656571</v>
      </c>
      <c r="AB162" s="33">
        <v>11.40277809656571</v>
      </c>
      <c r="AC162" s="34">
        <v>3.8009260321885701</v>
      </c>
      <c r="AD162" s="33">
        <v>6.0814816515017123</v>
      </c>
      <c r="AE162" s="34">
        <v>7.6018520643771392</v>
      </c>
      <c r="AF162" s="34">
        <v>4.5611112386262844</v>
      </c>
      <c r="AG162" s="33">
        <v>4.5611112386262844</v>
      </c>
      <c r="AH162" s="34">
        <v>9.1222224772525689</v>
      </c>
      <c r="AI162" s="33">
        <v>7.6018520643771392</v>
      </c>
      <c r="AJ162" s="33">
        <v>9.1222224772525689</v>
      </c>
      <c r="AK162" s="33">
        <v>5.3212964450639983</v>
      </c>
      <c r="AL162" s="34">
        <v>5.3212964450639983</v>
      </c>
      <c r="AM162" s="34">
        <v>2.2805556193131422</v>
      </c>
      <c r="AN162" s="34">
        <v>3.8009260321885701</v>
      </c>
      <c r="AO162" s="34">
        <v>2.2805556193131422</v>
      </c>
      <c r="AP162" s="34">
        <v>22.805556193131419</v>
      </c>
      <c r="AQ162" s="34">
        <v>12.162963303003419</v>
      </c>
      <c r="AR162" s="39"/>
    </row>
    <row r="163" spans="1:44" ht="19.5" customHeight="1">
      <c r="A163" s="26">
        <f t="shared" si="8"/>
        <v>7</v>
      </c>
      <c r="B163" s="41" t="s">
        <v>133</v>
      </c>
      <c r="C163" s="26" t="s">
        <v>94</v>
      </c>
      <c r="D163" s="28" t="s">
        <v>2530</v>
      </c>
      <c r="E163" s="30"/>
      <c r="F163" s="32">
        <v>2000</v>
      </c>
      <c r="G163" s="32">
        <v>36629.533365236297</v>
      </c>
      <c r="H163" s="32">
        <v>38629.533365236297</v>
      </c>
      <c r="I163" s="33">
        <v>0.69562178113936712</v>
      </c>
      <c r="J163" s="33">
        <v>0.69562178113936712</v>
      </c>
      <c r="K163" s="34">
        <v>0.23187392704645571</v>
      </c>
      <c r="L163" s="33">
        <v>0.3709982832743291</v>
      </c>
      <c r="M163" s="34">
        <v>0.4637478540929113</v>
      </c>
      <c r="N163" s="34">
        <v>0.27824871245574678</v>
      </c>
      <c r="O163" s="33">
        <v>0.27824871245574678</v>
      </c>
      <c r="P163" s="34">
        <v>0.55649742491149368</v>
      </c>
      <c r="Q163" s="33">
        <v>0.4637478540929113</v>
      </c>
      <c r="R163" s="33">
        <v>0.55649742491149368</v>
      </c>
      <c r="S163" s="33">
        <v>0.32462349786503802</v>
      </c>
      <c r="T163" s="34">
        <v>0.32462349786503802</v>
      </c>
      <c r="U163" s="34">
        <v>0.13912435622787339</v>
      </c>
      <c r="V163" s="34">
        <v>0.23187392704645571</v>
      </c>
      <c r="W163" s="34">
        <v>0.13912435622787339</v>
      </c>
      <c r="X163" s="34">
        <v>1.391243562278734</v>
      </c>
      <c r="Y163" s="34">
        <v>0.7419965665486582</v>
      </c>
      <c r="Z163" s="34"/>
      <c r="AA163" s="33">
        <v>12.74015062091477</v>
      </c>
      <c r="AB163" s="33">
        <v>12.74015062091477</v>
      </c>
      <c r="AC163" s="34">
        <v>4.2467168736382579</v>
      </c>
      <c r="AD163" s="33">
        <v>6.7947469978212132</v>
      </c>
      <c r="AE163" s="34">
        <v>8.4934337472765158</v>
      </c>
      <c r="AF163" s="34">
        <v>5.0960602483659097</v>
      </c>
      <c r="AG163" s="33">
        <v>5.0960602483659097</v>
      </c>
      <c r="AH163" s="34">
        <v>10.192120496731819</v>
      </c>
      <c r="AI163" s="33">
        <v>8.4934337472765158</v>
      </c>
      <c r="AJ163" s="33">
        <v>10.192120496731819</v>
      </c>
      <c r="AK163" s="33">
        <v>5.9454036230935614</v>
      </c>
      <c r="AL163" s="34">
        <v>5.9454036230935614</v>
      </c>
      <c r="AM163" s="34">
        <v>2.5480301241829548</v>
      </c>
      <c r="AN163" s="34">
        <v>4.2467168736382579</v>
      </c>
      <c r="AO163" s="34">
        <v>2.5480301241829548</v>
      </c>
      <c r="AP163" s="34">
        <v>25.480301241829551</v>
      </c>
      <c r="AQ163" s="34">
        <v>13.58949399564243</v>
      </c>
      <c r="AR163" s="37"/>
    </row>
    <row r="164" spans="1:44" ht="19.5" customHeight="1">
      <c r="A164" s="26">
        <f t="shared" si="8"/>
        <v>8</v>
      </c>
      <c r="B164" s="16" t="s">
        <v>2544</v>
      </c>
      <c r="C164" s="26" t="s">
        <v>94</v>
      </c>
      <c r="D164" s="28" t="s">
        <v>2545</v>
      </c>
      <c r="E164" s="30"/>
      <c r="F164" s="32">
        <v>125426.7104840801</v>
      </c>
      <c r="G164" s="32">
        <v>22293.405169011519</v>
      </c>
      <c r="H164" s="32">
        <v>147720.11565309169</v>
      </c>
      <c r="I164" s="53">
        <v>43.624775874693768</v>
      </c>
      <c r="J164" s="53">
        <v>43.624775874693768</v>
      </c>
      <c r="K164" s="54">
        <v>14.54159195823126</v>
      </c>
      <c r="L164" s="53">
        <v>23.266547133170011</v>
      </c>
      <c r="M164" s="54">
        <v>29.083183916462509</v>
      </c>
      <c r="N164" s="54">
        <v>17.449910349877509</v>
      </c>
      <c r="O164" s="53">
        <v>17.449910349877509</v>
      </c>
      <c r="P164" s="54">
        <v>34.899820699755033</v>
      </c>
      <c r="Q164" s="53">
        <v>29.083183916462509</v>
      </c>
      <c r="R164" s="53">
        <v>34.899820699755033</v>
      </c>
      <c r="S164" s="53">
        <v>20.35822874152376</v>
      </c>
      <c r="T164" s="54">
        <v>20.35822874152376</v>
      </c>
      <c r="U164" s="54">
        <v>8.7249551749387564</v>
      </c>
      <c r="V164" s="54">
        <v>14.54159195823126</v>
      </c>
      <c r="W164" s="54">
        <v>8.7249551749387564</v>
      </c>
      <c r="X164" s="54">
        <v>87.24955174938755</v>
      </c>
      <c r="Y164" s="54">
        <v>46.533094266340029</v>
      </c>
      <c r="Z164" s="34"/>
      <c r="AA164" s="33">
        <v>7.7538891056646833</v>
      </c>
      <c r="AB164" s="33">
        <v>7.7538891056646833</v>
      </c>
      <c r="AC164" s="34">
        <v>2.584629701888228</v>
      </c>
      <c r="AD164" s="33">
        <v>4.1354075230211649</v>
      </c>
      <c r="AE164" s="34">
        <v>5.1692594037764552</v>
      </c>
      <c r="AF164" s="34">
        <v>3.1015556422658741</v>
      </c>
      <c r="AG164" s="33">
        <v>3.1015556422658741</v>
      </c>
      <c r="AH164" s="34">
        <v>6.2031112845317473</v>
      </c>
      <c r="AI164" s="33">
        <v>5.1692594037764552</v>
      </c>
      <c r="AJ164" s="33">
        <v>6.2031112845317473</v>
      </c>
      <c r="AK164" s="33">
        <v>3.6184815826435188</v>
      </c>
      <c r="AL164" s="34">
        <v>3.6184815826435188</v>
      </c>
      <c r="AM164" s="34">
        <v>1.5507778211329371</v>
      </c>
      <c r="AN164" s="34">
        <v>2.584629701888228</v>
      </c>
      <c r="AO164" s="34">
        <v>1.5507778211329371</v>
      </c>
      <c r="AP164" s="34">
        <v>15.50777821132937</v>
      </c>
      <c r="AQ164" s="34">
        <v>8.2708150460423298</v>
      </c>
      <c r="AR164" s="39"/>
    </row>
    <row r="165" spans="1:44" ht="19.5" customHeight="1">
      <c r="A165" s="49"/>
      <c r="B165" s="50" t="s">
        <v>2557</v>
      </c>
      <c r="C165" s="49" t="s">
        <v>997</v>
      </c>
      <c r="D165" s="50" t="s">
        <v>2559</v>
      </c>
      <c r="E165" s="51">
        <v>5</v>
      </c>
      <c r="F165" s="52">
        <v>347521.36401792429</v>
      </c>
      <c r="G165" s="52">
        <v>157713.32222437731</v>
      </c>
      <c r="H165" s="52">
        <v>505234.6862423016</v>
      </c>
      <c r="I165" s="33">
        <v>120.8717151110654</v>
      </c>
      <c r="J165" s="33">
        <v>120.8717151110654</v>
      </c>
      <c r="K165" s="34">
        <v>40.290571703688457</v>
      </c>
      <c r="L165" s="33">
        <v>64.464914725901551</v>
      </c>
      <c r="M165" s="34">
        <v>80.581143407376928</v>
      </c>
      <c r="N165" s="34">
        <v>48.348686044426167</v>
      </c>
      <c r="O165" s="33">
        <v>48.348686044426167</v>
      </c>
      <c r="P165" s="34">
        <v>96.697372088852333</v>
      </c>
      <c r="Q165" s="33">
        <v>80.581143407376928</v>
      </c>
      <c r="R165" s="33">
        <v>96.697372088852333</v>
      </c>
      <c r="S165" s="33">
        <v>56.406800385163862</v>
      </c>
      <c r="T165" s="34">
        <v>56.406800385163862</v>
      </c>
      <c r="U165" s="34">
        <v>24.17434302221308</v>
      </c>
      <c r="V165" s="34">
        <v>40.290571703688457</v>
      </c>
      <c r="W165" s="34">
        <v>24.17434302221308</v>
      </c>
      <c r="X165" s="34">
        <v>241.7434302221308</v>
      </c>
      <c r="Y165" s="34">
        <v>128.9298294518031</v>
      </c>
      <c r="Z165" s="133"/>
      <c r="AA165" s="33">
        <v>54.854411057564143</v>
      </c>
      <c r="AB165" s="33">
        <v>54.854411057564143</v>
      </c>
      <c r="AC165" s="34">
        <v>18.284803685854708</v>
      </c>
      <c r="AD165" s="33">
        <v>29.255685897367549</v>
      </c>
      <c r="AE165" s="34">
        <v>36.569607371709417</v>
      </c>
      <c r="AF165" s="34">
        <v>21.94176442302566</v>
      </c>
      <c r="AG165" s="33">
        <v>21.94176442302566</v>
      </c>
      <c r="AH165" s="34">
        <v>43.88352884605132</v>
      </c>
      <c r="AI165" s="33">
        <v>36.569607371709417</v>
      </c>
      <c r="AJ165" s="33">
        <v>43.88352884605132</v>
      </c>
      <c r="AK165" s="33">
        <v>25.598725160196601</v>
      </c>
      <c r="AL165" s="34">
        <v>25.598725160196601</v>
      </c>
      <c r="AM165" s="34">
        <v>10.97088221151283</v>
      </c>
      <c r="AN165" s="34">
        <v>18.284803685854708</v>
      </c>
      <c r="AO165" s="34">
        <v>10.97088221151283</v>
      </c>
      <c r="AP165" s="34">
        <v>109.7088221151283</v>
      </c>
      <c r="AQ165" s="34">
        <v>58.511371794735091</v>
      </c>
      <c r="AR165" s="39"/>
    </row>
    <row r="166" spans="1:44" ht="19.5" customHeight="1">
      <c r="A166" s="26">
        <f>A164+1</f>
        <v>9</v>
      </c>
      <c r="B166" s="41" t="s">
        <v>133</v>
      </c>
      <c r="C166" s="26" t="s">
        <v>80</v>
      </c>
      <c r="D166" s="28" t="s">
        <v>2578</v>
      </c>
      <c r="E166" s="30"/>
      <c r="F166" s="32">
        <v>35000</v>
      </c>
      <c r="G166" s="32">
        <v>15000</v>
      </c>
      <c r="H166" s="32">
        <v>50000</v>
      </c>
      <c r="I166" s="33">
        <v>12.173381169938921</v>
      </c>
      <c r="J166" s="33">
        <v>12.173381169938921</v>
      </c>
      <c r="K166" s="34">
        <v>4.0577937233129742</v>
      </c>
      <c r="L166" s="33">
        <v>6.4924699573007594</v>
      </c>
      <c r="M166" s="34">
        <v>8.1155874466259483</v>
      </c>
      <c r="N166" s="34">
        <v>4.8693524679755704</v>
      </c>
      <c r="O166" s="33">
        <v>4.8693524679755704</v>
      </c>
      <c r="P166" s="34">
        <v>9.7387049359511391</v>
      </c>
      <c r="Q166" s="33">
        <v>8.1155874466259483</v>
      </c>
      <c r="R166" s="33">
        <v>9.7387049359511391</v>
      </c>
      <c r="S166" s="33">
        <v>5.6809112126381649</v>
      </c>
      <c r="T166" s="34">
        <v>5.6809112126381649</v>
      </c>
      <c r="U166" s="34">
        <v>2.4346762339877852</v>
      </c>
      <c r="V166" s="34">
        <v>4.0577937233129742</v>
      </c>
      <c r="W166" s="34">
        <v>2.4346762339877852</v>
      </c>
      <c r="X166" s="34">
        <v>24.346762339877849</v>
      </c>
      <c r="Y166" s="34">
        <v>12.984939914601521</v>
      </c>
      <c r="Z166" s="34"/>
      <c r="AA166" s="33">
        <v>5.2171633585452533</v>
      </c>
      <c r="AB166" s="33">
        <v>5.2171633585452533</v>
      </c>
      <c r="AC166" s="34">
        <v>1.739054452848418</v>
      </c>
      <c r="AD166" s="33">
        <v>2.7824871245574681</v>
      </c>
      <c r="AE166" s="34">
        <v>3.4781089056968351</v>
      </c>
      <c r="AF166" s="34">
        <v>2.086865343418101</v>
      </c>
      <c r="AG166" s="33">
        <v>2.086865343418101</v>
      </c>
      <c r="AH166" s="34">
        <v>4.173730686836203</v>
      </c>
      <c r="AI166" s="33">
        <v>3.4781089056968351</v>
      </c>
      <c r="AJ166" s="33">
        <v>4.173730686836203</v>
      </c>
      <c r="AK166" s="33">
        <v>2.4346762339877852</v>
      </c>
      <c r="AL166" s="34">
        <v>2.4346762339877852</v>
      </c>
      <c r="AM166" s="34">
        <v>1.043432671709051</v>
      </c>
      <c r="AN166" s="34">
        <v>1.739054452848418</v>
      </c>
      <c r="AO166" s="34">
        <v>1.043432671709051</v>
      </c>
      <c r="AP166" s="34">
        <v>10.43432671709051</v>
      </c>
      <c r="AQ166" s="34">
        <v>5.564974249114937</v>
      </c>
      <c r="AR166" s="134"/>
    </row>
    <row r="167" spans="1:44" ht="19.5" customHeight="1">
      <c r="A167" s="26">
        <f t="shared" ref="A167:A170" si="9">A166+1</f>
        <v>10</v>
      </c>
      <c r="B167" s="56" t="s">
        <v>2594</v>
      </c>
      <c r="C167" s="26" t="s">
        <v>230</v>
      </c>
      <c r="D167" s="101" t="s">
        <v>2595</v>
      </c>
      <c r="E167" s="30"/>
      <c r="F167" s="32">
        <v>128476.9759128241</v>
      </c>
      <c r="G167" s="32">
        <v>11146.70258450576</v>
      </c>
      <c r="H167" s="32">
        <v>139623.67849732979</v>
      </c>
      <c r="I167" s="33">
        <v>44.685691409939118</v>
      </c>
      <c r="J167" s="33">
        <v>44.685691409939118</v>
      </c>
      <c r="K167" s="34">
        <v>14.895230469979699</v>
      </c>
      <c r="L167" s="33">
        <v>23.832368751967529</v>
      </c>
      <c r="M167" s="34">
        <v>29.790460939959409</v>
      </c>
      <c r="N167" s="34">
        <v>17.874276563975648</v>
      </c>
      <c r="O167" s="33">
        <v>17.874276563975648</v>
      </c>
      <c r="P167" s="34">
        <v>35.748553127951297</v>
      </c>
      <c r="Q167" s="33">
        <v>29.790460939959409</v>
      </c>
      <c r="R167" s="33">
        <v>35.748553127951297</v>
      </c>
      <c r="S167" s="33">
        <v>20.853322657971589</v>
      </c>
      <c r="T167" s="34">
        <v>20.853322657971589</v>
      </c>
      <c r="U167" s="34">
        <v>8.9371382819878242</v>
      </c>
      <c r="V167" s="34">
        <v>14.895230469979699</v>
      </c>
      <c r="W167" s="34">
        <v>8.9371382819878242</v>
      </c>
      <c r="X167" s="34">
        <v>89.371382819878249</v>
      </c>
      <c r="Y167" s="34">
        <v>47.664737503935058</v>
      </c>
      <c r="Z167" s="34"/>
      <c r="AA167" s="33">
        <v>3.8769445528323421</v>
      </c>
      <c r="AB167" s="33">
        <v>3.8769445528323421</v>
      </c>
      <c r="AC167" s="34">
        <v>1.292314850944114</v>
      </c>
      <c r="AD167" s="33">
        <v>2.067703761510582</v>
      </c>
      <c r="AE167" s="34">
        <v>2.584629701888228</v>
      </c>
      <c r="AF167" s="34">
        <v>1.5507778211329371</v>
      </c>
      <c r="AG167" s="33">
        <v>1.5507778211329371</v>
      </c>
      <c r="AH167" s="34">
        <v>3.1015556422658741</v>
      </c>
      <c r="AI167" s="33">
        <v>2.584629701888228</v>
      </c>
      <c r="AJ167" s="33">
        <v>3.1015556422658741</v>
      </c>
      <c r="AK167" s="33">
        <v>1.8092407913217601</v>
      </c>
      <c r="AL167" s="34">
        <v>1.8092407913217601</v>
      </c>
      <c r="AM167" s="34">
        <v>0.77538891056646841</v>
      </c>
      <c r="AN167" s="34">
        <v>1.292314850944114</v>
      </c>
      <c r="AO167" s="34">
        <v>0.77538891056646841</v>
      </c>
      <c r="AP167" s="34">
        <v>7.7538891056646833</v>
      </c>
      <c r="AQ167" s="34">
        <v>4.1354075230211649</v>
      </c>
      <c r="AR167" s="39"/>
    </row>
    <row r="168" spans="1:44" ht="19.5" customHeight="1">
      <c r="A168" s="26">
        <f t="shared" si="9"/>
        <v>11</v>
      </c>
      <c r="B168" s="129" t="s">
        <v>133</v>
      </c>
      <c r="C168" s="26" t="s">
        <v>94</v>
      </c>
      <c r="D168" s="28" t="s">
        <v>2602</v>
      </c>
      <c r="E168" s="30"/>
      <c r="F168" s="32">
        <v>40000</v>
      </c>
      <c r="G168" s="32">
        <v>15000</v>
      </c>
      <c r="H168" s="32">
        <v>55000</v>
      </c>
      <c r="I168" s="53">
        <v>13.91243562278734</v>
      </c>
      <c r="J168" s="53">
        <v>13.91243562278734</v>
      </c>
      <c r="K168" s="54">
        <v>4.6374785409291128</v>
      </c>
      <c r="L168" s="53">
        <v>7.4199656654865818</v>
      </c>
      <c r="M168" s="54">
        <v>9.2749570818582256</v>
      </c>
      <c r="N168" s="54">
        <v>5.564974249114937</v>
      </c>
      <c r="O168" s="53">
        <v>5.564974249114937</v>
      </c>
      <c r="P168" s="54">
        <v>11.12994849822987</v>
      </c>
      <c r="Q168" s="53">
        <v>9.2749570818582256</v>
      </c>
      <c r="R168" s="53">
        <v>11.12994849822987</v>
      </c>
      <c r="S168" s="53">
        <v>6.4924699573007594</v>
      </c>
      <c r="T168" s="54">
        <v>6.4924699573007594</v>
      </c>
      <c r="U168" s="54">
        <v>2.7824871245574681</v>
      </c>
      <c r="V168" s="54">
        <v>4.6374785409291128</v>
      </c>
      <c r="W168" s="54">
        <v>2.7824871245574681</v>
      </c>
      <c r="X168" s="54">
        <v>27.824871245574681</v>
      </c>
      <c r="Y168" s="54">
        <v>14.83993133097316</v>
      </c>
      <c r="Z168" s="34"/>
      <c r="AA168" s="33">
        <v>5.2171633585452533</v>
      </c>
      <c r="AB168" s="33">
        <v>5.2171633585452533</v>
      </c>
      <c r="AC168" s="34">
        <v>1.739054452848418</v>
      </c>
      <c r="AD168" s="33">
        <v>2.7824871245574681</v>
      </c>
      <c r="AE168" s="34">
        <v>3.4781089056968351</v>
      </c>
      <c r="AF168" s="34">
        <v>2.086865343418101</v>
      </c>
      <c r="AG168" s="33">
        <v>2.086865343418101</v>
      </c>
      <c r="AH168" s="34">
        <v>4.173730686836203</v>
      </c>
      <c r="AI168" s="33">
        <v>3.4781089056968351</v>
      </c>
      <c r="AJ168" s="33">
        <v>4.173730686836203</v>
      </c>
      <c r="AK168" s="33">
        <v>2.4346762339877852</v>
      </c>
      <c r="AL168" s="34">
        <v>2.4346762339877852</v>
      </c>
      <c r="AM168" s="34">
        <v>1.043432671709051</v>
      </c>
      <c r="AN168" s="34">
        <v>1.739054452848418</v>
      </c>
      <c r="AO168" s="34">
        <v>1.043432671709051</v>
      </c>
      <c r="AP168" s="34">
        <v>10.43432671709051</v>
      </c>
      <c r="AQ168" s="34">
        <v>5.564974249114937</v>
      </c>
      <c r="AR168" s="39"/>
    </row>
    <row r="169" spans="1:44" ht="19.5" customHeight="1">
      <c r="A169" s="26">
        <f t="shared" si="9"/>
        <v>12</v>
      </c>
      <c r="B169" s="28" t="s">
        <v>2606</v>
      </c>
      <c r="C169" s="26" t="s">
        <v>230</v>
      </c>
      <c r="D169" s="136" t="s">
        <v>2608</v>
      </c>
      <c r="E169" s="30"/>
      <c r="F169" s="32">
        <v>132802</v>
      </c>
      <c r="G169" s="32">
        <v>30000</v>
      </c>
      <c r="H169" s="32">
        <v>162802</v>
      </c>
      <c r="I169" s="33">
        <v>46.18998188943511</v>
      </c>
      <c r="J169" s="33">
        <v>46.18998188943511</v>
      </c>
      <c r="K169" s="34">
        <v>15.3966606298117</v>
      </c>
      <c r="L169" s="33">
        <v>24.634657007698721</v>
      </c>
      <c r="M169" s="34">
        <v>30.793321259623401</v>
      </c>
      <c r="N169" s="34">
        <v>18.47599275577404</v>
      </c>
      <c r="O169" s="33">
        <v>18.47599275577404</v>
      </c>
      <c r="P169" s="34">
        <v>36.951985511548088</v>
      </c>
      <c r="Q169" s="33">
        <v>30.793321259623401</v>
      </c>
      <c r="R169" s="33">
        <v>36.951985511548088</v>
      </c>
      <c r="S169" s="33">
        <v>21.555324881736389</v>
      </c>
      <c r="T169" s="34">
        <v>21.555324881736389</v>
      </c>
      <c r="U169" s="34">
        <v>9.237996377887022</v>
      </c>
      <c r="V169" s="34">
        <v>15.3966606298117</v>
      </c>
      <c r="W169" s="34">
        <v>9.237996377887022</v>
      </c>
      <c r="X169" s="34">
        <v>92.37996377887022</v>
      </c>
      <c r="Y169" s="34">
        <v>49.269314015397448</v>
      </c>
      <c r="Z169" s="34"/>
      <c r="AA169" s="33">
        <v>10.43432671709051</v>
      </c>
      <c r="AB169" s="33">
        <v>10.43432671709051</v>
      </c>
      <c r="AC169" s="34">
        <v>3.4781089056968351</v>
      </c>
      <c r="AD169" s="33">
        <v>5.564974249114937</v>
      </c>
      <c r="AE169" s="34">
        <v>6.9562178113936701</v>
      </c>
      <c r="AF169" s="34">
        <v>4.173730686836203</v>
      </c>
      <c r="AG169" s="33">
        <v>4.173730686836203</v>
      </c>
      <c r="AH169" s="34">
        <v>8.3474613736724059</v>
      </c>
      <c r="AI169" s="33">
        <v>6.9562178113936701</v>
      </c>
      <c r="AJ169" s="33">
        <v>8.3474613736724059</v>
      </c>
      <c r="AK169" s="33">
        <v>4.8693524679755704</v>
      </c>
      <c r="AL169" s="34">
        <v>4.8693524679755704</v>
      </c>
      <c r="AM169" s="34">
        <v>2.086865343418101</v>
      </c>
      <c r="AN169" s="34">
        <v>3.4781089056968351</v>
      </c>
      <c r="AO169" s="34">
        <v>2.086865343418101</v>
      </c>
      <c r="AP169" s="34">
        <v>20.868653434181009</v>
      </c>
      <c r="AQ169" s="34">
        <v>11.12994849822987</v>
      </c>
      <c r="AR169" s="39"/>
    </row>
    <row r="170" spans="1:44" ht="19.5" customHeight="1">
      <c r="A170" s="26">
        <f t="shared" si="9"/>
        <v>13</v>
      </c>
      <c r="B170" s="28" t="s">
        <v>2623</v>
      </c>
      <c r="C170" s="110" t="s">
        <v>94</v>
      </c>
      <c r="D170" s="136" t="s">
        <v>2624</v>
      </c>
      <c r="E170" s="30"/>
      <c r="F170" s="32">
        <v>120723.20884092709</v>
      </c>
      <c r="G170" s="32">
        <v>32466.124032541051</v>
      </c>
      <c r="H170" s="32">
        <v>153189.3328734682</v>
      </c>
      <c r="I170" s="33">
        <v>41.988846779392759</v>
      </c>
      <c r="J170" s="33">
        <v>41.988846779392759</v>
      </c>
      <c r="K170" s="34">
        <v>13.99628225979759</v>
      </c>
      <c r="L170" s="33">
        <v>22.39405161567614</v>
      </c>
      <c r="M170" s="34">
        <v>27.99256451959517</v>
      </c>
      <c r="N170" s="34">
        <v>16.7955387117571</v>
      </c>
      <c r="O170" s="33">
        <v>16.7955387117571</v>
      </c>
      <c r="P170" s="34">
        <v>33.591077423514207</v>
      </c>
      <c r="Q170" s="33">
        <v>27.99256451959517</v>
      </c>
      <c r="R170" s="33">
        <v>33.591077423514207</v>
      </c>
      <c r="S170" s="33">
        <v>19.594795163716618</v>
      </c>
      <c r="T170" s="34">
        <v>19.594795163716618</v>
      </c>
      <c r="U170" s="34">
        <v>8.3977693558785518</v>
      </c>
      <c r="V170" s="34">
        <v>13.99628225979759</v>
      </c>
      <c r="W170" s="34">
        <v>8.3977693558785518</v>
      </c>
      <c r="X170" s="34">
        <v>83.977693558785518</v>
      </c>
      <c r="Y170" s="34">
        <v>44.788103231352281</v>
      </c>
      <c r="Z170" s="54"/>
      <c r="AA170" s="33">
        <v>11.29207151310391</v>
      </c>
      <c r="AB170" s="33">
        <v>11.29207151310391</v>
      </c>
      <c r="AC170" s="34">
        <v>3.764023837701302</v>
      </c>
      <c r="AD170" s="33">
        <v>6.0224381403220839</v>
      </c>
      <c r="AE170" s="34">
        <v>7.528047675402604</v>
      </c>
      <c r="AF170" s="34">
        <v>4.5168286052415629</v>
      </c>
      <c r="AG170" s="33">
        <v>4.5168286052415629</v>
      </c>
      <c r="AH170" s="34">
        <v>9.0336572104831259</v>
      </c>
      <c r="AI170" s="33">
        <v>7.528047675402604</v>
      </c>
      <c r="AJ170" s="33">
        <v>9.0336572104831259</v>
      </c>
      <c r="AK170" s="33">
        <v>5.2696333727818239</v>
      </c>
      <c r="AL170" s="34">
        <v>5.2696333727818239</v>
      </c>
      <c r="AM170" s="34">
        <v>2.258414302620781</v>
      </c>
      <c r="AN170" s="34">
        <v>3.764023837701302</v>
      </c>
      <c r="AO170" s="34">
        <v>2.258414302620781</v>
      </c>
      <c r="AP170" s="34">
        <v>22.584143026207819</v>
      </c>
      <c r="AQ170" s="34">
        <v>12.04487628064417</v>
      </c>
      <c r="AR170" s="39"/>
    </row>
    <row r="171" spans="1:44" ht="19.5" customHeight="1">
      <c r="A171" s="49"/>
      <c r="B171" s="137" t="s">
        <v>133</v>
      </c>
      <c r="C171" s="49" t="s">
        <v>389</v>
      </c>
      <c r="D171" s="137" t="s">
        <v>2637</v>
      </c>
      <c r="E171" s="51">
        <v>4</v>
      </c>
      <c r="F171" s="52">
        <v>457002.18475375132</v>
      </c>
      <c r="G171" s="52">
        <v>103612.8266170468</v>
      </c>
      <c r="H171" s="52">
        <v>560615.01137079811</v>
      </c>
      <c r="I171" s="33">
        <v>158.95033687149331</v>
      </c>
      <c r="J171" s="33">
        <v>158.95033687149331</v>
      </c>
      <c r="K171" s="34">
        <v>52.983445623831088</v>
      </c>
      <c r="L171" s="33">
        <v>84.773512998129746</v>
      </c>
      <c r="M171" s="34">
        <v>105.9668912476622</v>
      </c>
      <c r="N171" s="34">
        <v>63.580134748597317</v>
      </c>
      <c r="O171" s="33">
        <v>63.580134748597317</v>
      </c>
      <c r="P171" s="34">
        <v>127.16026949719461</v>
      </c>
      <c r="Q171" s="33">
        <v>105.9668912476622</v>
      </c>
      <c r="R171" s="33">
        <v>127.16026949719461</v>
      </c>
      <c r="S171" s="33">
        <v>74.176823873363531</v>
      </c>
      <c r="T171" s="34">
        <v>74.176823873363531</v>
      </c>
      <c r="U171" s="34">
        <v>31.790067374298658</v>
      </c>
      <c r="V171" s="34">
        <v>52.983445623831088</v>
      </c>
      <c r="W171" s="34">
        <v>31.790067374298658</v>
      </c>
      <c r="X171" s="34">
        <v>317.90067374298661</v>
      </c>
      <c r="Y171" s="34">
        <v>169.54702599625949</v>
      </c>
      <c r="Z171" s="34"/>
      <c r="AA171" s="33">
        <v>36.037669500117261</v>
      </c>
      <c r="AB171" s="33">
        <v>36.037669500117261</v>
      </c>
      <c r="AC171" s="34">
        <v>12.012556500039089</v>
      </c>
      <c r="AD171" s="33">
        <v>19.220090400062539</v>
      </c>
      <c r="AE171" s="34">
        <v>24.025113000078171</v>
      </c>
      <c r="AF171" s="34">
        <v>14.415067800046909</v>
      </c>
      <c r="AG171" s="33">
        <v>14.415067800046909</v>
      </c>
      <c r="AH171" s="34">
        <v>28.830135600093811</v>
      </c>
      <c r="AI171" s="33">
        <v>24.025113000078171</v>
      </c>
      <c r="AJ171" s="33">
        <v>28.830135600093811</v>
      </c>
      <c r="AK171" s="33">
        <v>16.817579100054719</v>
      </c>
      <c r="AL171" s="34">
        <v>16.817579100054719</v>
      </c>
      <c r="AM171" s="34">
        <v>7.2075339000234528</v>
      </c>
      <c r="AN171" s="34">
        <v>12.012556500039089</v>
      </c>
      <c r="AO171" s="34">
        <v>7.2075339000234528</v>
      </c>
      <c r="AP171" s="34">
        <v>72.075339000234521</v>
      </c>
      <c r="AQ171" s="34">
        <v>38.440180800125077</v>
      </c>
      <c r="AR171" s="39"/>
    </row>
    <row r="172" spans="1:44" ht="19.5" customHeight="1">
      <c r="A172" s="67"/>
      <c r="B172" s="66" t="s">
        <v>2647</v>
      </c>
      <c r="C172" s="65" t="s">
        <v>2324</v>
      </c>
      <c r="D172" s="66" t="s">
        <v>2648</v>
      </c>
      <c r="E172" s="67">
        <f>E171+E165+E159</f>
        <v>12</v>
      </c>
      <c r="F172" s="68">
        <v>993904.97643184639</v>
      </c>
      <c r="G172" s="68">
        <v>343742.12757808238</v>
      </c>
      <c r="H172" s="68">
        <v>1337647.1040099291</v>
      </c>
      <c r="I172" s="33">
        <v>345.69097499440079</v>
      </c>
      <c r="J172" s="33">
        <v>345.69097499440079</v>
      </c>
      <c r="K172" s="34">
        <v>115.2303249981336</v>
      </c>
      <c r="L172" s="33">
        <v>184.36851999701369</v>
      </c>
      <c r="M172" s="34">
        <v>230.46064999626719</v>
      </c>
      <c r="N172" s="34">
        <v>138.2763899977603</v>
      </c>
      <c r="O172" s="33">
        <v>138.2763899977603</v>
      </c>
      <c r="P172" s="34">
        <v>276.55277999552072</v>
      </c>
      <c r="Q172" s="33">
        <v>230.46064999626719</v>
      </c>
      <c r="R172" s="33">
        <v>276.55277999552072</v>
      </c>
      <c r="S172" s="33">
        <v>161.32245499738701</v>
      </c>
      <c r="T172" s="34">
        <v>161.32245499738701</v>
      </c>
      <c r="U172" s="34">
        <v>69.138194998880167</v>
      </c>
      <c r="V172" s="34">
        <v>115.2303249981336</v>
      </c>
      <c r="W172" s="34">
        <v>69.138194998880167</v>
      </c>
      <c r="X172" s="34">
        <v>691.38194998880158</v>
      </c>
      <c r="Y172" s="34">
        <v>368.7370399940275</v>
      </c>
      <c r="Z172" s="34"/>
      <c r="AA172" s="33">
        <v>119.5572555192506</v>
      </c>
      <c r="AB172" s="33">
        <v>119.5572555192506</v>
      </c>
      <c r="AC172" s="34">
        <v>39.852418506416868</v>
      </c>
      <c r="AD172" s="33">
        <v>63.763869610267001</v>
      </c>
      <c r="AE172" s="34">
        <v>79.70483701283375</v>
      </c>
      <c r="AF172" s="34">
        <v>47.822902207700253</v>
      </c>
      <c r="AG172" s="33">
        <v>47.822902207700253</v>
      </c>
      <c r="AH172" s="34">
        <v>95.645804415400505</v>
      </c>
      <c r="AI172" s="33">
        <v>79.70483701283375</v>
      </c>
      <c r="AJ172" s="33">
        <v>95.645804415400505</v>
      </c>
      <c r="AK172" s="33">
        <v>55.79338590898363</v>
      </c>
      <c r="AL172" s="34">
        <v>55.79338590898363</v>
      </c>
      <c r="AM172" s="34">
        <v>23.91145110385013</v>
      </c>
      <c r="AN172" s="34">
        <v>39.852418506416868</v>
      </c>
      <c r="AO172" s="34">
        <v>23.91145110385013</v>
      </c>
      <c r="AP172" s="34">
        <v>239.11451103850129</v>
      </c>
      <c r="AQ172" s="34">
        <v>127.527739220534</v>
      </c>
      <c r="AR172" s="121"/>
    </row>
    <row r="173" spans="1:44" ht="19.5" customHeight="1">
      <c r="A173" s="32"/>
      <c r="B173" s="32"/>
      <c r="C173" s="32"/>
      <c r="D173" s="32"/>
      <c r="E173" s="32"/>
      <c r="F173" s="32">
        <v>1017070.55754756</v>
      </c>
      <c r="G173" s="32">
        <v>380928.30278660398</v>
      </c>
      <c r="H173" s="32">
        <v>1397998.860334164</v>
      </c>
      <c r="I173" s="33">
        <v>353.74821639282129</v>
      </c>
      <c r="J173" s="33">
        <v>353.74821639282129</v>
      </c>
      <c r="K173" s="34">
        <v>117.91607213094041</v>
      </c>
      <c r="L173" s="33">
        <v>188.66571540950471</v>
      </c>
      <c r="M173" s="34">
        <v>235.8321442618809</v>
      </c>
      <c r="N173" s="34">
        <v>141.4992865571285</v>
      </c>
      <c r="O173" s="33">
        <v>141.4992865571285</v>
      </c>
      <c r="P173" s="34">
        <v>282.99857311425711</v>
      </c>
      <c r="Q173" s="33">
        <v>235.8321442618809</v>
      </c>
      <c r="R173" s="33">
        <v>282.99857311425711</v>
      </c>
      <c r="S173" s="33">
        <v>165.08250098331661</v>
      </c>
      <c r="T173" s="34">
        <v>165.08250098331661</v>
      </c>
      <c r="U173" s="34">
        <v>70.749643278564264</v>
      </c>
      <c r="V173" s="34">
        <v>117.91607213094041</v>
      </c>
      <c r="W173" s="34">
        <v>70.749643278564264</v>
      </c>
      <c r="X173" s="34">
        <v>707.4964327856427</v>
      </c>
      <c r="Y173" s="34">
        <v>377.33143081900943</v>
      </c>
      <c r="Z173" s="34"/>
      <c r="AA173" s="33">
        <v>132.4910122354068</v>
      </c>
      <c r="AB173" s="33">
        <v>132.4910122354068</v>
      </c>
      <c r="AC173" s="34">
        <v>44.163670745135597</v>
      </c>
      <c r="AD173" s="33">
        <v>70.661873192216959</v>
      </c>
      <c r="AE173" s="34">
        <v>88.327341490271195</v>
      </c>
      <c r="AF173" s="34">
        <v>52.996404894162723</v>
      </c>
      <c r="AG173" s="33">
        <v>52.996404894162723</v>
      </c>
      <c r="AH173" s="34">
        <v>105.9928097883254</v>
      </c>
      <c r="AI173" s="33">
        <v>88.327341490271195</v>
      </c>
      <c r="AJ173" s="33">
        <v>105.9928097883254</v>
      </c>
      <c r="AK173" s="33">
        <v>61.829139043189841</v>
      </c>
      <c r="AL173" s="34">
        <v>61.829139043189841</v>
      </c>
      <c r="AM173" s="34">
        <v>26.498202447081361</v>
      </c>
      <c r="AN173" s="34">
        <v>44.163670745135597</v>
      </c>
      <c r="AO173" s="34">
        <v>26.498202447081361</v>
      </c>
      <c r="AP173" s="34">
        <v>264.9820244708136</v>
      </c>
      <c r="AQ173" s="34">
        <v>141.32374638443389</v>
      </c>
      <c r="AR173" s="39"/>
    </row>
    <row r="174" spans="1:44" ht="19.5" customHeight="1">
      <c r="A174" s="14" t="s">
        <v>2674</v>
      </c>
      <c r="B174" s="116"/>
      <c r="C174" s="49"/>
      <c r="D174" s="116"/>
      <c r="E174" s="30"/>
      <c r="F174" s="32">
        <v>-23165.581115713339</v>
      </c>
      <c r="G174" s="32">
        <v>-37186.175208521599</v>
      </c>
      <c r="H174" s="32">
        <v>-60351.756324234877</v>
      </c>
      <c r="I174" s="33">
        <v>-8.0572413984205014</v>
      </c>
      <c r="J174" s="33">
        <v>-8.0572413984205014</v>
      </c>
      <c r="K174" s="34">
        <v>-2.6857471328068332</v>
      </c>
      <c r="L174" s="33">
        <v>-4.2971954124909342</v>
      </c>
      <c r="M174" s="34">
        <v>-5.3714942656136664</v>
      </c>
      <c r="N174" s="34">
        <v>-3.2228965593682011</v>
      </c>
      <c r="O174" s="33">
        <v>-3.2228965593682011</v>
      </c>
      <c r="P174" s="34">
        <v>-6.4457931187364013</v>
      </c>
      <c r="Q174" s="33">
        <v>-5.3714942656136664</v>
      </c>
      <c r="R174" s="33">
        <v>-6.4457931187364013</v>
      </c>
      <c r="S174" s="33">
        <v>-3.7600459859295672</v>
      </c>
      <c r="T174" s="34">
        <v>-3.7600459859295672</v>
      </c>
      <c r="U174" s="34">
        <v>-1.6114482796841001</v>
      </c>
      <c r="V174" s="34">
        <v>-2.6857471328068332</v>
      </c>
      <c r="W174" s="34">
        <v>-1.6114482796841001</v>
      </c>
      <c r="X174" s="34">
        <v>-16.114482796840999</v>
      </c>
      <c r="Y174" s="34">
        <v>-8.5943908249818683</v>
      </c>
      <c r="Z174" s="34"/>
      <c r="AA174" s="33">
        <v>-12.933756716156189</v>
      </c>
      <c r="AB174" s="33">
        <v>-12.933756716156189</v>
      </c>
      <c r="AC174" s="34">
        <v>-4.311252238718728</v>
      </c>
      <c r="AD174" s="33">
        <v>-6.8980035819499657</v>
      </c>
      <c r="AE174" s="34">
        <v>-8.622504477437456</v>
      </c>
      <c r="AF174" s="34">
        <v>-5.1735026864624736</v>
      </c>
      <c r="AG174" s="33">
        <v>-5.1735026864624736</v>
      </c>
      <c r="AH174" s="34">
        <v>-10.347005372924951</v>
      </c>
      <c r="AI174" s="33">
        <v>-8.622504477437456</v>
      </c>
      <c r="AJ174" s="33">
        <v>-10.347005372924951</v>
      </c>
      <c r="AK174" s="33">
        <v>-6.0357531342062201</v>
      </c>
      <c r="AL174" s="34">
        <v>-6.0357531342062201</v>
      </c>
      <c r="AM174" s="34">
        <v>-2.5867513432312368</v>
      </c>
      <c r="AN174" s="34">
        <v>-4.311252238718728</v>
      </c>
      <c r="AO174" s="34">
        <v>-2.5867513432312368</v>
      </c>
      <c r="AP174" s="34">
        <v>-25.867513432312371</v>
      </c>
      <c r="AQ174" s="34">
        <v>-13.79600716389993</v>
      </c>
      <c r="AR174" s="39"/>
    </row>
    <row r="175" spans="1:44" ht="19.5" customHeight="1">
      <c r="A175" s="26">
        <v>1</v>
      </c>
      <c r="B175" s="114" t="s">
        <v>2688</v>
      </c>
      <c r="C175" s="26" t="s">
        <v>230</v>
      </c>
      <c r="D175" s="114" t="s">
        <v>2689</v>
      </c>
      <c r="E175" s="79"/>
      <c r="F175" s="32">
        <v>128995.763221432</v>
      </c>
      <c r="G175" s="32">
        <v>22293.405169011519</v>
      </c>
      <c r="H175" s="32">
        <v>151289.16839044349</v>
      </c>
      <c r="I175" s="33">
        <v>44.866131285762293</v>
      </c>
      <c r="J175" s="33">
        <v>44.866131285762293</v>
      </c>
      <c r="K175" s="34">
        <v>14.9553770952541</v>
      </c>
      <c r="L175" s="33">
        <v>23.928603352406562</v>
      </c>
      <c r="M175" s="34">
        <v>29.91075419050819</v>
      </c>
      <c r="N175" s="34">
        <v>17.946452514304919</v>
      </c>
      <c r="O175" s="33">
        <v>17.946452514304919</v>
      </c>
      <c r="P175" s="34">
        <v>35.892905028609839</v>
      </c>
      <c r="Q175" s="33">
        <v>29.91075419050819</v>
      </c>
      <c r="R175" s="33">
        <v>35.892905028609839</v>
      </c>
      <c r="S175" s="33">
        <v>20.937527933355739</v>
      </c>
      <c r="T175" s="34">
        <v>20.937527933355739</v>
      </c>
      <c r="U175" s="34">
        <v>8.9732262571524597</v>
      </c>
      <c r="V175" s="34">
        <v>14.9553770952541</v>
      </c>
      <c r="W175" s="34">
        <v>8.9732262571524597</v>
      </c>
      <c r="X175" s="34">
        <v>89.732262571524586</v>
      </c>
      <c r="Y175" s="34">
        <v>47.857206704813123</v>
      </c>
      <c r="Z175" s="34"/>
      <c r="AA175" s="33">
        <v>7.7538891056646833</v>
      </c>
      <c r="AB175" s="33">
        <v>7.7538891056646833</v>
      </c>
      <c r="AC175" s="34">
        <v>2.584629701888228</v>
      </c>
      <c r="AD175" s="33">
        <v>4.1354075230211649</v>
      </c>
      <c r="AE175" s="34">
        <v>5.1692594037764552</v>
      </c>
      <c r="AF175" s="34">
        <v>3.1015556422658741</v>
      </c>
      <c r="AG175" s="33">
        <v>3.1015556422658741</v>
      </c>
      <c r="AH175" s="34">
        <v>6.2031112845317473</v>
      </c>
      <c r="AI175" s="33">
        <v>5.1692594037764552</v>
      </c>
      <c r="AJ175" s="33">
        <v>6.2031112845317473</v>
      </c>
      <c r="AK175" s="33">
        <v>3.6184815826435188</v>
      </c>
      <c r="AL175" s="34">
        <v>3.6184815826435188</v>
      </c>
      <c r="AM175" s="34">
        <v>1.5507778211329371</v>
      </c>
      <c r="AN175" s="34">
        <v>2.584629701888228</v>
      </c>
      <c r="AO175" s="34">
        <v>1.5507778211329371</v>
      </c>
      <c r="AP175" s="34">
        <v>15.50777821132937</v>
      </c>
      <c r="AQ175" s="34">
        <v>8.2708150460423298</v>
      </c>
      <c r="AR175" s="39"/>
    </row>
    <row r="176" spans="1:44" ht="19.5" customHeight="1">
      <c r="A176" s="26">
        <f>A175+1</f>
        <v>2</v>
      </c>
      <c r="B176" s="114" t="s">
        <v>2702</v>
      </c>
      <c r="C176" s="110" t="s">
        <v>94</v>
      </c>
      <c r="D176" s="114" t="s">
        <v>2703</v>
      </c>
      <c r="E176" s="79"/>
      <c r="F176" s="32">
        <v>114974.4846104068</v>
      </c>
      <c r="G176" s="32">
        <v>22644.082688360701</v>
      </c>
      <c r="H176" s="32">
        <v>137618.56729876751</v>
      </c>
      <c r="I176" s="53">
        <v>39.989377885135973</v>
      </c>
      <c r="J176" s="53">
        <v>39.989377885135973</v>
      </c>
      <c r="K176" s="54">
        <v>13.32979262837865</v>
      </c>
      <c r="L176" s="53">
        <v>21.32766820540585</v>
      </c>
      <c r="M176" s="54">
        <v>26.65958525675731</v>
      </c>
      <c r="N176" s="54">
        <v>15.995751154054391</v>
      </c>
      <c r="O176" s="53">
        <v>15.995751154054391</v>
      </c>
      <c r="P176" s="54">
        <v>31.991502308108771</v>
      </c>
      <c r="Q176" s="53">
        <v>26.65958525675731</v>
      </c>
      <c r="R176" s="53">
        <v>31.991502308108771</v>
      </c>
      <c r="S176" s="53">
        <v>18.661709679730119</v>
      </c>
      <c r="T176" s="54">
        <v>18.661709679730119</v>
      </c>
      <c r="U176" s="54">
        <v>7.9978755770271928</v>
      </c>
      <c r="V176" s="54">
        <v>13.32979262837865</v>
      </c>
      <c r="W176" s="54">
        <v>7.9978755770271928</v>
      </c>
      <c r="X176" s="54">
        <v>79.978755770271931</v>
      </c>
      <c r="Y176" s="54">
        <v>42.655336410811692</v>
      </c>
      <c r="Z176" s="34"/>
      <c r="AA176" s="33">
        <v>7.8758585659722886</v>
      </c>
      <c r="AB176" s="33">
        <v>7.8758585659722886</v>
      </c>
      <c r="AC176" s="34">
        <v>2.6252861886574288</v>
      </c>
      <c r="AD176" s="33">
        <v>4.2004579018518866</v>
      </c>
      <c r="AE176" s="34">
        <v>5.2505723773148576</v>
      </c>
      <c r="AF176" s="34">
        <v>3.1503434263889161</v>
      </c>
      <c r="AG176" s="33">
        <v>3.1503434263889161</v>
      </c>
      <c r="AH176" s="34">
        <v>6.3006868527778312</v>
      </c>
      <c r="AI176" s="33">
        <v>5.2505723773148576</v>
      </c>
      <c r="AJ176" s="33">
        <v>6.3006868527778312</v>
      </c>
      <c r="AK176" s="33">
        <v>3.675400664120402</v>
      </c>
      <c r="AL176" s="34">
        <v>3.675400664120402</v>
      </c>
      <c r="AM176" s="34">
        <v>1.575171713194458</v>
      </c>
      <c r="AN176" s="34">
        <v>2.6252861886574288</v>
      </c>
      <c r="AO176" s="34">
        <v>1.575171713194458</v>
      </c>
      <c r="AP176" s="34">
        <v>15.751717131944581</v>
      </c>
      <c r="AQ176" s="34">
        <v>8.400915803703775</v>
      </c>
      <c r="AR176" s="39"/>
    </row>
    <row r="177" spans="1:44" ht="19.5" customHeight="1">
      <c r="A177" s="49"/>
      <c r="B177" s="116" t="s">
        <v>2688</v>
      </c>
      <c r="C177" s="49" t="s">
        <v>230</v>
      </c>
      <c r="D177" s="116" t="s">
        <v>2715</v>
      </c>
      <c r="E177" s="89">
        <v>2</v>
      </c>
      <c r="F177" s="9">
        <v>243970.24783183879</v>
      </c>
      <c r="G177" s="9">
        <v>44937.487857372224</v>
      </c>
      <c r="H177" s="9">
        <v>288907.73568921111</v>
      </c>
      <c r="I177" s="33">
        <v>84.855509170898273</v>
      </c>
      <c r="J177" s="33">
        <v>84.855509170898273</v>
      </c>
      <c r="K177" s="34">
        <v>28.285169723632752</v>
      </c>
      <c r="L177" s="33">
        <v>45.256271557812411</v>
      </c>
      <c r="M177" s="34">
        <v>56.570339447265503</v>
      </c>
      <c r="N177" s="34">
        <v>33.942203668359298</v>
      </c>
      <c r="O177" s="33">
        <v>33.942203668359298</v>
      </c>
      <c r="P177" s="34">
        <v>67.88440733671861</v>
      </c>
      <c r="Q177" s="33">
        <v>56.570339447265503</v>
      </c>
      <c r="R177" s="33">
        <v>67.88440733671861</v>
      </c>
      <c r="S177" s="33">
        <v>39.599237613085862</v>
      </c>
      <c r="T177" s="34">
        <v>39.599237613085862</v>
      </c>
      <c r="U177" s="34">
        <v>16.971101834179649</v>
      </c>
      <c r="V177" s="34">
        <v>28.285169723632752</v>
      </c>
      <c r="W177" s="34">
        <v>16.971101834179649</v>
      </c>
      <c r="X177" s="34">
        <v>169.71101834179649</v>
      </c>
      <c r="Y177" s="34">
        <v>90.512543115624823</v>
      </c>
      <c r="Z177" s="34"/>
      <c r="AA177" s="33">
        <v>15.62974767163697</v>
      </c>
      <c r="AB177" s="33">
        <v>15.62974767163697</v>
      </c>
      <c r="AC177" s="34">
        <v>5.2099158905456573</v>
      </c>
      <c r="AD177" s="33">
        <v>8.3358654248730524</v>
      </c>
      <c r="AE177" s="34">
        <v>10.419831781091309</v>
      </c>
      <c r="AF177" s="34">
        <v>6.2518990686547902</v>
      </c>
      <c r="AG177" s="33">
        <v>6.2518990686547902</v>
      </c>
      <c r="AH177" s="34">
        <v>12.50379813730958</v>
      </c>
      <c r="AI177" s="33">
        <v>10.419831781091309</v>
      </c>
      <c r="AJ177" s="33">
        <v>12.50379813730958</v>
      </c>
      <c r="AK177" s="33">
        <v>7.2938822467639213</v>
      </c>
      <c r="AL177" s="34">
        <v>7.2938822467639213</v>
      </c>
      <c r="AM177" s="34">
        <v>3.1259495343273951</v>
      </c>
      <c r="AN177" s="34">
        <v>5.2099158905456573</v>
      </c>
      <c r="AO177" s="34">
        <v>3.1259495343273951</v>
      </c>
      <c r="AP177" s="34">
        <v>31.259495343273951</v>
      </c>
      <c r="AQ177" s="34">
        <v>16.671730849746101</v>
      </c>
      <c r="AR177" s="39"/>
    </row>
    <row r="178" spans="1:44" ht="19.5" customHeight="1">
      <c r="A178" s="26">
        <f>A176+1</f>
        <v>3</v>
      </c>
      <c r="B178" s="114" t="s">
        <v>2730</v>
      </c>
      <c r="C178" s="110" t="s">
        <v>1014</v>
      </c>
      <c r="D178" s="114" t="s">
        <v>2731</v>
      </c>
      <c r="E178" s="79"/>
      <c r="F178" s="32">
        <v>110505.4930492767</v>
      </c>
      <c r="G178" s="32">
        <v>23719.688910157602</v>
      </c>
      <c r="H178" s="32">
        <v>134225.1819594343</v>
      </c>
      <c r="I178" s="33">
        <v>38.435013950310889</v>
      </c>
      <c r="J178" s="33">
        <v>38.435013950310889</v>
      </c>
      <c r="K178" s="34">
        <v>12.811671316770299</v>
      </c>
      <c r="L178" s="33">
        <v>20.498674106832471</v>
      </c>
      <c r="M178" s="34">
        <v>25.623342633540592</v>
      </c>
      <c r="N178" s="34">
        <v>15.37400558012436</v>
      </c>
      <c r="O178" s="33">
        <v>15.37400558012436</v>
      </c>
      <c r="P178" s="34">
        <v>30.748011160248719</v>
      </c>
      <c r="Q178" s="33">
        <v>25.623342633540592</v>
      </c>
      <c r="R178" s="33">
        <v>30.748011160248719</v>
      </c>
      <c r="S178" s="33">
        <v>17.936339843478411</v>
      </c>
      <c r="T178" s="34">
        <v>17.936339843478411</v>
      </c>
      <c r="U178" s="34">
        <v>7.6870027900621789</v>
      </c>
      <c r="V178" s="34">
        <v>12.811671316770299</v>
      </c>
      <c r="W178" s="34">
        <v>7.6870027900621789</v>
      </c>
      <c r="X178" s="34">
        <v>76.870027900621778</v>
      </c>
      <c r="Y178" s="34">
        <v>40.997348213664949</v>
      </c>
      <c r="Z178" s="34"/>
      <c r="AA178" s="33">
        <v>8.249966123877762</v>
      </c>
      <c r="AB178" s="33">
        <v>8.249966123877762</v>
      </c>
      <c r="AC178" s="34">
        <v>2.749988707959254</v>
      </c>
      <c r="AD178" s="33">
        <v>4.3999819327348062</v>
      </c>
      <c r="AE178" s="34">
        <v>5.4999774159185071</v>
      </c>
      <c r="AF178" s="34">
        <v>3.2999864495511049</v>
      </c>
      <c r="AG178" s="33">
        <v>3.2999864495511049</v>
      </c>
      <c r="AH178" s="34">
        <v>6.5999728991022097</v>
      </c>
      <c r="AI178" s="33">
        <v>5.4999774159185071</v>
      </c>
      <c r="AJ178" s="33">
        <v>6.5999728991022097</v>
      </c>
      <c r="AK178" s="33">
        <v>3.8499841911429549</v>
      </c>
      <c r="AL178" s="34">
        <v>3.8499841911429549</v>
      </c>
      <c r="AM178" s="34">
        <v>1.649993224775552</v>
      </c>
      <c r="AN178" s="34">
        <v>2.749988707959254</v>
      </c>
      <c r="AO178" s="34">
        <v>1.649993224775552</v>
      </c>
      <c r="AP178" s="34">
        <v>16.49993224775552</v>
      </c>
      <c r="AQ178" s="34">
        <v>8.7999638654696124</v>
      </c>
      <c r="AR178" s="39"/>
    </row>
    <row r="179" spans="1:44" ht="19.5" customHeight="1">
      <c r="A179" s="26">
        <f t="shared" ref="A179:A182" si="10">A178+1</f>
        <v>4</v>
      </c>
      <c r="B179" s="81" t="s">
        <v>133</v>
      </c>
      <c r="C179" s="110" t="s">
        <v>94</v>
      </c>
      <c r="D179" s="114" t="s">
        <v>2744</v>
      </c>
      <c r="E179" s="79"/>
      <c r="F179" s="32">
        <v>10452.225873673349</v>
      </c>
      <c r="G179" s="32">
        <v>10928.13978873114</v>
      </c>
      <c r="H179" s="32">
        <v>21380.365662404489</v>
      </c>
      <c r="I179" s="33">
        <v>3.635397989557815</v>
      </c>
      <c r="J179" s="33">
        <v>3.635397989557815</v>
      </c>
      <c r="K179" s="34">
        <v>1.2117993298526051</v>
      </c>
      <c r="L179" s="33">
        <v>1.938878927764168</v>
      </c>
      <c r="M179" s="34">
        <v>2.4235986597052102</v>
      </c>
      <c r="N179" s="34">
        <v>1.4541591958231259</v>
      </c>
      <c r="O179" s="33">
        <v>1.4541591958231259</v>
      </c>
      <c r="P179" s="34">
        <v>2.9083183916462518</v>
      </c>
      <c r="Q179" s="33">
        <v>2.4235986597052102</v>
      </c>
      <c r="R179" s="33">
        <v>2.9083183916462518</v>
      </c>
      <c r="S179" s="33">
        <v>1.696519061793647</v>
      </c>
      <c r="T179" s="34">
        <v>1.696519061793647</v>
      </c>
      <c r="U179" s="34">
        <v>0.72707959791156307</v>
      </c>
      <c r="V179" s="34">
        <v>1.2117993298526051</v>
      </c>
      <c r="W179" s="34">
        <v>0.72707959791156307</v>
      </c>
      <c r="X179" s="34">
        <v>7.27079597911563</v>
      </c>
      <c r="Y179" s="34">
        <v>3.8777578555283361</v>
      </c>
      <c r="Z179" s="34"/>
      <c r="AA179" s="33">
        <v>3.8009260321885709</v>
      </c>
      <c r="AB179" s="33">
        <v>3.8009260321885709</v>
      </c>
      <c r="AC179" s="34">
        <v>1.2669753440628571</v>
      </c>
      <c r="AD179" s="33">
        <v>2.0271605505005712</v>
      </c>
      <c r="AE179" s="34">
        <v>2.5339506881257141</v>
      </c>
      <c r="AF179" s="34">
        <v>1.5203704128754281</v>
      </c>
      <c r="AG179" s="33">
        <v>1.5203704128754281</v>
      </c>
      <c r="AH179" s="34">
        <v>3.040740825750857</v>
      </c>
      <c r="AI179" s="33">
        <v>2.5339506881257141</v>
      </c>
      <c r="AJ179" s="33">
        <v>3.040740825750857</v>
      </c>
      <c r="AK179" s="33">
        <v>1.773765481688</v>
      </c>
      <c r="AL179" s="34">
        <v>1.773765481688</v>
      </c>
      <c r="AM179" s="34">
        <v>0.76018520643771414</v>
      </c>
      <c r="AN179" s="34">
        <v>1.2669753440628571</v>
      </c>
      <c r="AO179" s="34">
        <v>0.76018520643771414</v>
      </c>
      <c r="AP179" s="34">
        <v>7.6018520643771419</v>
      </c>
      <c r="AQ179" s="34">
        <v>4.0543211010011424</v>
      </c>
      <c r="AR179" s="39"/>
    </row>
    <row r="180" spans="1:44" ht="19.5" customHeight="1">
      <c r="A180" s="26">
        <f t="shared" si="10"/>
        <v>5</v>
      </c>
      <c r="B180" s="81" t="s">
        <v>133</v>
      </c>
      <c r="C180" s="110" t="s">
        <v>94</v>
      </c>
      <c r="D180" s="114" t="s">
        <v>2751</v>
      </c>
      <c r="E180" s="79"/>
      <c r="F180" s="32">
        <v>22101.098609855329</v>
      </c>
      <c r="G180" s="32">
        <v>30682.264030303781</v>
      </c>
      <c r="H180" s="32">
        <v>52783.36264015911</v>
      </c>
      <c r="I180" s="33">
        <v>7.687002790062178</v>
      </c>
      <c r="J180" s="33">
        <v>7.687002790062178</v>
      </c>
      <c r="K180" s="34">
        <v>2.5623342633540589</v>
      </c>
      <c r="L180" s="33">
        <v>4.0997348213664946</v>
      </c>
      <c r="M180" s="34">
        <v>5.1246685267081187</v>
      </c>
      <c r="N180" s="34">
        <v>3.0748011160248709</v>
      </c>
      <c r="O180" s="33">
        <v>3.0748011160248709</v>
      </c>
      <c r="P180" s="34">
        <v>6.1496022320497428</v>
      </c>
      <c r="Q180" s="33">
        <v>5.1246685267081187</v>
      </c>
      <c r="R180" s="33">
        <v>6.1496022320497428</v>
      </c>
      <c r="S180" s="33">
        <v>3.587267968695683</v>
      </c>
      <c r="T180" s="34">
        <v>3.587267968695683</v>
      </c>
      <c r="U180" s="34">
        <v>1.5374005580124359</v>
      </c>
      <c r="V180" s="34">
        <v>2.5623342633540589</v>
      </c>
      <c r="W180" s="34">
        <v>1.5374005580124359</v>
      </c>
      <c r="X180" s="34">
        <v>15.37400558012436</v>
      </c>
      <c r="Y180" s="34">
        <v>8.1994696427329909</v>
      </c>
      <c r="Z180" s="54"/>
      <c r="AA180" s="33">
        <v>10.671625577074121</v>
      </c>
      <c r="AB180" s="33">
        <v>10.671625577074121</v>
      </c>
      <c r="AC180" s="34">
        <v>3.5572085256913741</v>
      </c>
      <c r="AD180" s="33">
        <v>5.691533641106199</v>
      </c>
      <c r="AE180" s="34">
        <v>7.1144170513827483</v>
      </c>
      <c r="AF180" s="34">
        <v>4.2686502308296497</v>
      </c>
      <c r="AG180" s="33">
        <v>4.2686502308296497</v>
      </c>
      <c r="AH180" s="34">
        <v>8.5373004616592993</v>
      </c>
      <c r="AI180" s="33">
        <v>7.1144170513827483</v>
      </c>
      <c r="AJ180" s="33">
        <v>8.5373004616592993</v>
      </c>
      <c r="AK180" s="33">
        <v>4.9800919359679243</v>
      </c>
      <c r="AL180" s="34">
        <v>4.9800919359679243</v>
      </c>
      <c r="AM180" s="34">
        <v>2.1343251154148248</v>
      </c>
      <c r="AN180" s="34">
        <v>3.5572085256913741</v>
      </c>
      <c r="AO180" s="34">
        <v>2.1343251154148248</v>
      </c>
      <c r="AP180" s="34">
        <v>21.343251154148248</v>
      </c>
      <c r="AQ180" s="34">
        <v>11.3830672822124</v>
      </c>
      <c r="AR180" s="39"/>
    </row>
    <row r="181" spans="1:44" ht="19.5" customHeight="1">
      <c r="A181" s="26">
        <f t="shared" si="10"/>
        <v>6</v>
      </c>
      <c r="B181" s="114" t="s">
        <v>2757</v>
      </c>
      <c r="C181" s="110" t="s">
        <v>230</v>
      </c>
      <c r="D181" s="114" t="s">
        <v>2759</v>
      </c>
      <c r="E181" s="79"/>
      <c r="F181" s="32">
        <v>128476.9759128241</v>
      </c>
      <c r="G181" s="32">
        <v>22293.405169011519</v>
      </c>
      <c r="H181" s="32">
        <v>150770.3810818356</v>
      </c>
      <c r="I181" s="33">
        <v>44.685691409939118</v>
      </c>
      <c r="J181" s="33">
        <v>44.685691409939118</v>
      </c>
      <c r="K181" s="34">
        <v>14.895230469979699</v>
      </c>
      <c r="L181" s="33">
        <v>23.832368751967529</v>
      </c>
      <c r="M181" s="34">
        <v>29.790460939959409</v>
      </c>
      <c r="N181" s="34">
        <v>17.874276563975648</v>
      </c>
      <c r="O181" s="33">
        <v>17.874276563975648</v>
      </c>
      <c r="P181" s="34">
        <v>35.748553127951297</v>
      </c>
      <c r="Q181" s="33">
        <v>29.790460939959409</v>
      </c>
      <c r="R181" s="33">
        <v>35.748553127951297</v>
      </c>
      <c r="S181" s="33">
        <v>20.853322657971589</v>
      </c>
      <c r="T181" s="34">
        <v>20.853322657971589</v>
      </c>
      <c r="U181" s="34">
        <v>8.9371382819878242</v>
      </c>
      <c r="V181" s="34">
        <v>14.895230469979699</v>
      </c>
      <c r="W181" s="34">
        <v>8.9371382819878242</v>
      </c>
      <c r="X181" s="34">
        <v>89.371382819878249</v>
      </c>
      <c r="Y181" s="34">
        <v>47.664737503935058</v>
      </c>
      <c r="Z181" s="54"/>
      <c r="AA181" s="33">
        <v>7.7538891056646833</v>
      </c>
      <c r="AB181" s="33">
        <v>7.7538891056646833</v>
      </c>
      <c r="AC181" s="34">
        <v>2.584629701888228</v>
      </c>
      <c r="AD181" s="33">
        <v>4.1354075230211649</v>
      </c>
      <c r="AE181" s="34">
        <v>5.1692594037764552</v>
      </c>
      <c r="AF181" s="34">
        <v>3.1015556422658741</v>
      </c>
      <c r="AG181" s="33">
        <v>3.1015556422658741</v>
      </c>
      <c r="AH181" s="34">
        <v>6.2031112845317473</v>
      </c>
      <c r="AI181" s="33">
        <v>5.1692594037764552</v>
      </c>
      <c r="AJ181" s="33">
        <v>6.2031112845317473</v>
      </c>
      <c r="AK181" s="33">
        <v>3.6184815826435188</v>
      </c>
      <c r="AL181" s="34">
        <v>3.6184815826435188</v>
      </c>
      <c r="AM181" s="34">
        <v>1.5507778211329371</v>
      </c>
      <c r="AN181" s="34">
        <v>2.584629701888228</v>
      </c>
      <c r="AO181" s="34">
        <v>1.5507778211329371</v>
      </c>
      <c r="AP181" s="34">
        <v>15.50777821132937</v>
      </c>
      <c r="AQ181" s="34">
        <v>8.2708150460423298</v>
      </c>
      <c r="AR181" s="37"/>
    </row>
    <row r="182" spans="1:44" ht="19.5" customHeight="1">
      <c r="A182" s="26">
        <f t="shared" si="10"/>
        <v>7</v>
      </c>
      <c r="B182" s="78" t="s">
        <v>2769</v>
      </c>
      <c r="C182" s="110" t="s">
        <v>159</v>
      </c>
      <c r="D182" s="114" t="s">
        <v>2771</v>
      </c>
      <c r="E182" s="79"/>
      <c r="F182" s="32">
        <v>121556.0423542043</v>
      </c>
      <c r="G182" s="32">
        <v>18249.157463368701</v>
      </c>
      <c r="H182" s="32">
        <v>139805.19981757301</v>
      </c>
      <c r="I182" s="33">
        <v>42.27851534534198</v>
      </c>
      <c r="J182" s="33">
        <v>42.27851534534198</v>
      </c>
      <c r="K182" s="34">
        <v>14.092838448447329</v>
      </c>
      <c r="L182" s="33">
        <v>22.548541517515719</v>
      </c>
      <c r="M182" s="34">
        <v>28.185676896894648</v>
      </c>
      <c r="N182" s="34">
        <v>16.91140613813679</v>
      </c>
      <c r="O182" s="33">
        <v>16.91140613813679</v>
      </c>
      <c r="P182" s="34">
        <v>33.822812276273588</v>
      </c>
      <c r="Q182" s="33">
        <v>28.185676896894648</v>
      </c>
      <c r="R182" s="33">
        <v>33.822812276273588</v>
      </c>
      <c r="S182" s="33">
        <v>19.72997382782626</v>
      </c>
      <c r="T182" s="34">
        <v>19.72997382782626</v>
      </c>
      <c r="U182" s="34">
        <v>8.455703069068397</v>
      </c>
      <c r="V182" s="34">
        <v>14.092838448447329</v>
      </c>
      <c r="W182" s="34">
        <v>8.455703069068397</v>
      </c>
      <c r="X182" s="34">
        <v>84.557030690683959</v>
      </c>
      <c r="Y182" s="34">
        <v>45.097083035031453</v>
      </c>
      <c r="Z182" s="34"/>
      <c r="AA182" s="33">
        <v>6.3472557094806552</v>
      </c>
      <c r="AB182" s="33">
        <v>6.3472557094806552</v>
      </c>
      <c r="AC182" s="34">
        <v>2.1157519031602181</v>
      </c>
      <c r="AD182" s="33">
        <v>3.3852030450563499</v>
      </c>
      <c r="AE182" s="34">
        <v>4.2315038063204362</v>
      </c>
      <c r="AF182" s="34">
        <v>2.5389022837922619</v>
      </c>
      <c r="AG182" s="33">
        <v>2.5389022837922619</v>
      </c>
      <c r="AH182" s="34">
        <v>5.0778045675845247</v>
      </c>
      <c r="AI182" s="33">
        <v>4.2315038063204362</v>
      </c>
      <c r="AJ182" s="33">
        <v>5.0778045675845247</v>
      </c>
      <c r="AK182" s="33">
        <v>2.9620526644243061</v>
      </c>
      <c r="AL182" s="34">
        <v>2.9620526644243061</v>
      </c>
      <c r="AM182" s="34">
        <v>1.269451141896131</v>
      </c>
      <c r="AN182" s="34">
        <v>2.1157519031602181</v>
      </c>
      <c r="AO182" s="34">
        <v>1.269451141896131</v>
      </c>
      <c r="AP182" s="34">
        <v>12.69451141896131</v>
      </c>
      <c r="AQ182" s="34">
        <v>6.770406090112699</v>
      </c>
      <c r="AR182" s="39"/>
    </row>
    <row r="183" spans="1:44" ht="19.5" customHeight="1">
      <c r="A183" s="49"/>
      <c r="B183" s="50" t="s">
        <v>2780</v>
      </c>
      <c r="C183" s="49" t="s">
        <v>835</v>
      </c>
      <c r="D183" s="116" t="s">
        <v>2781</v>
      </c>
      <c r="E183" s="89">
        <v>5</v>
      </c>
      <c r="F183" s="52">
        <v>393091.83579983382</v>
      </c>
      <c r="G183" s="52">
        <v>105872.6553615727</v>
      </c>
      <c r="H183" s="52">
        <v>498964.49116140651</v>
      </c>
      <c r="I183" s="138">
        <v>136.72162148521201</v>
      </c>
      <c r="J183" s="138">
        <v>136.72162148521201</v>
      </c>
      <c r="K183" s="139">
        <v>45.57387382840399</v>
      </c>
      <c r="L183" s="138">
        <v>72.918198125446395</v>
      </c>
      <c r="M183" s="139">
        <v>91.147747656807979</v>
      </c>
      <c r="N183" s="139">
        <v>54.688648594084803</v>
      </c>
      <c r="O183" s="138">
        <v>54.688648594084803</v>
      </c>
      <c r="P183" s="139">
        <v>109.37729718816961</v>
      </c>
      <c r="Q183" s="138">
        <v>91.147747656807979</v>
      </c>
      <c r="R183" s="138">
        <v>109.37729718816961</v>
      </c>
      <c r="S183" s="138">
        <v>63.803423359765603</v>
      </c>
      <c r="T183" s="139">
        <v>63.803423359765603</v>
      </c>
      <c r="U183" s="139">
        <v>27.344324297042402</v>
      </c>
      <c r="V183" s="139">
        <v>45.57387382840399</v>
      </c>
      <c r="W183" s="139">
        <v>27.344324297042402</v>
      </c>
      <c r="X183" s="139">
        <v>273.44324297042402</v>
      </c>
      <c r="Y183" s="139">
        <v>145.83639625089279</v>
      </c>
      <c r="Z183" s="139"/>
      <c r="AA183" s="138">
        <v>36.823662548285803</v>
      </c>
      <c r="AB183" s="138">
        <v>36.823662548285803</v>
      </c>
      <c r="AC183" s="139">
        <v>12.27455418276193</v>
      </c>
      <c r="AD183" s="138">
        <v>19.639286692419091</v>
      </c>
      <c r="AE183" s="139">
        <v>24.54910836552386</v>
      </c>
      <c r="AF183" s="139">
        <v>14.72946501931432</v>
      </c>
      <c r="AG183" s="138">
        <v>14.72946501931432</v>
      </c>
      <c r="AH183" s="139">
        <v>29.45893003862864</v>
      </c>
      <c r="AI183" s="138">
        <v>24.54910836552386</v>
      </c>
      <c r="AJ183" s="138">
        <v>29.45893003862864</v>
      </c>
      <c r="AK183" s="138">
        <v>17.184375855866701</v>
      </c>
      <c r="AL183" s="139">
        <v>17.184375855866701</v>
      </c>
      <c r="AM183" s="139">
        <v>7.3647325096571592</v>
      </c>
      <c r="AN183" s="139">
        <v>12.27455418276193</v>
      </c>
      <c r="AO183" s="139">
        <v>7.3647325096571592</v>
      </c>
      <c r="AP183" s="139">
        <v>73.647325096571592</v>
      </c>
      <c r="AQ183" s="139">
        <v>39.278573384838182</v>
      </c>
      <c r="AR183" s="37"/>
    </row>
    <row r="184" spans="1:44" ht="19.5" customHeight="1">
      <c r="A184" s="140"/>
      <c r="B184" s="141" t="s">
        <v>2780</v>
      </c>
      <c r="C184" s="140" t="s">
        <v>835</v>
      </c>
      <c r="D184" s="142" t="s">
        <v>2797</v>
      </c>
      <c r="E184" s="143">
        <f>E183+E177</f>
        <v>7</v>
      </c>
      <c r="F184" s="144">
        <v>637062.08363167255</v>
      </c>
      <c r="G184" s="144">
        <v>150810.14321894501</v>
      </c>
      <c r="H184" s="144">
        <v>787872.22685061744</v>
      </c>
      <c r="I184" s="53">
        <v>221.5771306561102</v>
      </c>
      <c r="J184" s="53">
        <v>221.5771306561102</v>
      </c>
      <c r="K184" s="54">
        <v>73.859043552036738</v>
      </c>
      <c r="L184" s="53">
        <v>118.17446968325881</v>
      </c>
      <c r="M184" s="54">
        <v>147.7180871040735</v>
      </c>
      <c r="N184" s="54">
        <v>88.630852262444094</v>
      </c>
      <c r="O184" s="53">
        <v>88.630852262444094</v>
      </c>
      <c r="P184" s="54">
        <v>177.26170452488819</v>
      </c>
      <c r="Q184" s="53">
        <v>147.7180871040735</v>
      </c>
      <c r="R184" s="53">
        <v>177.26170452488819</v>
      </c>
      <c r="S184" s="53">
        <v>103.40266097285151</v>
      </c>
      <c r="T184" s="54">
        <v>103.40266097285151</v>
      </c>
      <c r="U184" s="54">
        <v>44.315426131222047</v>
      </c>
      <c r="V184" s="54">
        <v>73.859043552036738</v>
      </c>
      <c r="W184" s="54">
        <v>44.315426131222047</v>
      </c>
      <c r="X184" s="54">
        <v>443.15426131222051</v>
      </c>
      <c r="Y184" s="54">
        <v>236.34893936651761</v>
      </c>
      <c r="Z184" s="54"/>
      <c r="AA184" s="53">
        <v>52.453410219922773</v>
      </c>
      <c r="AB184" s="53">
        <v>52.453410219922773</v>
      </c>
      <c r="AC184" s="54">
        <v>17.484470073307591</v>
      </c>
      <c r="AD184" s="53">
        <v>27.97515211729214</v>
      </c>
      <c r="AE184" s="54">
        <v>34.968940146615182</v>
      </c>
      <c r="AF184" s="54">
        <v>20.981364087969109</v>
      </c>
      <c r="AG184" s="53">
        <v>20.981364087969109</v>
      </c>
      <c r="AH184" s="54">
        <v>41.96272817593821</v>
      </c>
      <c r="AI184" s="53">
        <v>34.968940146615182</v>
      </c>
      <c r="AJ184" s="53">
        <v>41.96272817593821</v>
      </c>
      <c r="AK184" s="53">
        <v>24.478258102630619</v>
      </c>
      <c r="AL184" s="54">
        <v>24.478258102630619</v>
      </c>
      <c r="AM184" s="54">
        <v>10.490682043984551</v>
      </c>
      <c r="AN184" s="54">
        <v>17.484470073307591</v>
      </c>
      <c r="AO184" s="54">
        <v>10.490682043984551</v>
      </c>
      <c r="AP184" s="54">
        <v>104.9068204398455</v>
      </c>
      <c r="AQ184" s="54">
        <v>55.95030423458428</v>
      </c>
      <c r="AR184" s="48"/>
    </row>
    <row r="185" spans="1:44" ht="19.5" customHeight="1">
      <c r="A185" s="26">
        <f>A182+1</f>
        <v>8</v>
      </c>
      <c r="B185" s="81" t="s">
        <v>133</v>
      </c>
      <c r="C185" s="110" t="s">
        <v>94</v>
      </c>
      <c r="D185" s="114" t="s">
        <v>2808</v>
      </c>
      <c r="E185" s="79"/>
      <c r="F185" s="32">
        <v>53501</v>
      </c>
      <c r="G185" s="32">
        <v>15914.766682618159</v>
      </c>
      <c r="H185" s="32">
        <v>69415.766682618167</v>
      </c>
      <c r="I185" s="33">
        <v>18.608230456368641</v>
      </c>
      <c r="J185" s="33">
        <v>18.608230456368641</v>
      </c>
      <c r="K185" s="34">
        <v>6.2027434854562129</v>
      </c>
      <c r="L185" s="33">
        <v>9.9243895767299417</v>
      </c>
      <c r="M185" s="34">
        <v>12.405486970912429</v>
      </c>
      <c r="N185" s="34">
        <v>7.4432921825474567</v>
      </c>
      <c r="O185" s="33">
        <v>7.4432921825474567</v>
      </c>
      <c r="P185" s="34">
        <v>14.88658436509491</v>
      </c>
      <c r="Q185" s="33">
        <v>12.405486970912429</v>
      </c>
      <c r="R185" s="33">
        <v>14.88658436509491</v>
      </c>
      <c r="S185" s="33">
        <v>8.6838408796386997</v>
      </c>
      <c r="T185" s="34">
        <v>8.6838408796386997</v>
      </c>
      <c r="U185" s="34">
        <v>3.7216460912737279</v>
      </c>
      <c r="V185" s="34">
        <v>6.2027434854562129</v>
      </c>
      <c r="W185" s="34">
        <v>3.7216460912737279</v>
      </c>
      <c r="X185" s="34">
        <v>37.216460912737283</v>
      </c>
      <c r="Y185" s="34">
        <v>19.84877915345988</v>
      </c>
      <c r="Z185" s="34"/>
      <c r="AA185" s="33">
        <v>5.535329173090151</v>
      </c>
      <c r="AB185" s="33">
        <v>5.535329173090151</v>
      </c>
      <c r="AC185" s="34">
        <v>1.8451097243633841</v>
      </c>
      <c r="AD185" s="33">
        <v>2.952175558981414</v>
      </c>
      <c r="AE185" s="34">
        <v>3.6902194487267672</v>
      </c>
      <c r="AF185" s="34">
        <v>2.21413166923606</v>
      </c>
      <c r="AG185" s="33">
        <v>2.21413166923606</v>
      </c>
      <c r="AH185" s="34">
        <v>4.4282633384721208</v>
      </c>
      <c r="AI185" s="33">
        <v>3.6902194487267672</v>
      </c>
      <c r="AJ185" s="33">
        <v>4.4282633384721208</v>
      </c>
      <c r="AK185" s="33">
        <v>2.583153614108737</v>
      </c>
      <c r="AL185" s="34">
        <v>2.583153614108737</v>
      </c>
      <c r="AM185" s="34">
        <v>1.10706583461803</v>
      </c>
      <c r="AN185" s="34">
        <v>1.8451097243633841</v>
      </c>
      <c r="AO185" s="34">
        <v>1.10706583461803</v>
      </c>
      <c r="AP185" s="34">
        <v>11.0706583461803</v>
      </c>
      <c r="AQ185" s="34">
        <v>5.9043511179628281</v>
      </c>
      <c r="AR185" s="37"/>
    </row>
    <row r="186" spans="1:44" ht="19.5" customHeight="1">
      <c r="A186" s="26">
        <f t="shared" ref="A186:A189" si="11">A185+1</f>
        <v>9</v>
      </c>
      <c r="B186" s="81" t="s">
        <v>133</v>
      </c>
      <c r="C186" s="110" t="s">
        <v>94</v>
      </c>
      <c r="D186" s="114" t="s">
        <v>2818</v>
      </c>
      <c r="E186" s="89"/>
      <c r="F186" s="32">
        <v>0</v>
      </c>
      <c r="G186" s="32">
        <v>16392.209683096709</v>
      </c>
      <c r="H186" s="32">
        <v>16392.209683096709</v>
      </c>
      <c r="I186" s="33">
        <v>0</v>
      </c>
      <c r="J186" s="33">
        <v>0</v>
      </c>
      <c r="K186" s="145">
        <v>0</v>
      </c>
      <c r="L186" s="33">
        <v>0</v>
      </c>
      <c r="M186" s="145">
        <v>0</v>
      </c>
      <c r="N186" s="145">
        <v>0</v>
      </c>
      <c r="O186" s="33">
        <v>0</v>
      </c>
      <c r="P186" s="145">
        <v>0</v>
      </c>
      <c r="Q186" s="33">
        <v>0</v>
      </c>
      <c r="R186" s="33">
        <v>0</v>
      </c>
      <c r="S186" s="33">
        <v>0</v>
      </c>
      <c r="T186" s="145">
        <v>0</v>
      </c>
      <c r="U186" s="145">
        <v>0</v>
      </c>
      <c r="V186" s="145">
        <v>0</v>
      </c>
      <c r="W186" s="145">
        <v>0</v>
      </c>
      <c r="X186" s="145">
        <v>0</v>
      </c>
      <c r="Y186" s="145">
        <v>0</v>
      </c>
      <c r="Z186" s="145"/>
      <c r="AA186" s="33">
        <v>5.7013890482828549</v>
      </c>
      <c r="AB186" s="33">
        <v>5.7013890482828549</v>
      </c>
      <c r="AC186" s="145">
        <v>1.900463016094285</v>
      </c>
      <c r="AD186" s="33">
        <v>3.0407408257508561</v>
      </c>
      <c r="AE186" s="145">
        <v>3.8009260321885701</v>
      </c>
      <c r="AF186" s="145">
        <v>2.2805556193131422</v>
      </c>
      <c r="AG186" s="33">
        <v>2.2805556193131422</v>
      </c>
      <c r="AH186" s="145">
        <v>4.5611112386262844</v>
      </c>
      <c r="AI186" s="33">
        <v>3.8009260321885701</v>
      </c>
      <c r="AJ186" s="33">
        <v>4.5611112386262844</v>
      </c>
      <c r="AK186" s="33">
        <v>2.6606482225319992</v>
      </c>
      <c r="AL186" s="145">
        <v>2.6606482225319992</v>
      </c>
      <c r="AM186" s="145">
        <v>1.1402778096565711</v>
      </c>
      <c r="AN186" s="145">
        <v>1.900463016094285</v>
      </c>
      <c r="AO186" s="145">
        <v>1.1402778096565711</v>
      </c>
      <c r="AP186" s="145">
        <v>11.40277809656571</v>
      </c>
      <c r="AQ186" s="145">
        <v>6.0814816515017123</v>
      </c>
      <c r="AR186" s="39"/>
    </row>
    <row r="187" spans="1:44" ht="19.5" customHeight="1">
      <c r="A187" s="26">
        <f t="shared" si="11"/>
        <v>10</v>
      </c>
      <c r="B187" s="114" t="s">
        <v>2829</v>
      </c>
      <c r="C187" s="110" t="s">
        <v>159</v>
      </c>
      <c r="D187" s="114" t="s">
        <v>2831</v>
      </c>
      <c r="E187" s="79"/>
      <c r="F187" s="32">
        <v>120723.20884092709</v>
      </c>
      <c r="G187" s="32">
        <v>18720.0538767586</v>
      </c>
      <c r="H187" s="32">
        <v>139443.26271768569</v>
      </c>
      <c r="I187" s="33">
        <v>41.988846779392759</v>
      </c>
      <c r="J187" s="33">
        <v>41.988846779392759</v>
      </c>
      <c r="K187" s="34">
        <v>13.99628225979759</v>
      </c>
      <c r="L187" s="33">
        <v>22.39405161567614</v>
      </c>
      <c r="M187" s="34">
        <v>27.99256451959517</v>
      </c>
      <c r="N187" s="34">
        <v>16.7955387117571</v>
      </c>
      <c r="O187" s="33">
        <v>16.7955387117571</v>
      </c>
      <c r="P187" s="34">
        <v>33.591077423514207</v>
      </c>
      <c r="Q187" s="33">
        <v>27.99256451959517</v>
      </c>
      <c r="R187" s="33">
        <v>33.591077423514207</v>
      </c>
      <c r="S187" s="33">
        <v>19.594795163716618</v>
      </c>
      <c r="T187" s="34">
        <v>19.594795163716618</v>
      </c>
      <c r="U187" s="34">
        <v>8.3977693558785518</v>
      </c>
      <c r="V187" s="34">
        <v>13.99628225979759</v>
      </c>
      <c r="W187" s="34">
        <v>8.3977693558785518</v>
      </c>
      <c r="X187" s="34">
        <v>83.977693558785518</v>
      </c>
      <c r="Y187" s="34">
        <v>44.788103231352281</v>
      </c>
      <c r="Z187" s="34"/>
      <c r="AA187" s="33">
        <v>6.5110386103878657</v>
      </c>
      <c r="AB187" s="33">
        <v>6.5110386103878657</v>
      </c>
      <c r="AC187" s="34">
        <v>2.1703462034626222</v>
      </c>
      <c r="AD187" s="33">
        <v>3.4725539255401952</v>
      </c>
      <c r="AE187" s="34">
        <v>4.3406924069252426</v>
      </c>
      <c r="AF187" s="34">
        <v>2.6044154441551459</v>
      </c>
      <c r="AG187" s="33">
        <v>2.6044154441551459</v>
      </c>
      <c r="AH187" s="34">
        <v>5.2088308883102927</v>
      </c>
      <c r="AI187" s="33">
        <v>4.3406924069252426</v>
      </c>
      <c r="AJ187" s="33">
        <v>5.2088308883102927</v>
      </c>
      <c r="AK187" s="33">
        <v>3.038484684847671</v>
      </c>
      <c r="AL187" s="34">
        <v>3.038484684847671</v>
      </c>
      <c r="AM187" s="34">
        <v>1.302207722077573</v>
      </c>
      <c r="AN187" s="34">
        <v>2.1703462034626222</v>
      </c>
      <c r="AO187" s="34">
        <v>1.302207722077573</v>
      </c>
      <c r="AP187" s="34">
        <v>13.02207722077573</v>
      </c>
      <c r="AQ187" s="34">
        <v>6.9451078510803894</v>
      </c>
      <c r="AR187" s="39"/>
    </row>
    <row r="188" spans="1:44" ht="19.5" customHeight="1">
      <c r="A188" s="26">
        <f t="shared" si="11"/>
        <v>11</v>
      </c>
      <c r="B188" s="81" t="s">
        <v>133</v>
      </c>
      <c r="C188" s="110" t="s">
        <v>94</v>
      </c>
      <c r="D188" s="114" t="s">
        <v>2840</v>
      </c>
      <c r="E188" s="79"/>
      <c r="F188" s="32">
        <v>26130.564684183359</v>
      </c>
      <c r="G188" s="32">
        <v>27320.349471827849</v>
      </c>
      <c r="H188" s="32">
        <v>53450.914156011197</v>
      </c>
      <c r="I188" s="33">
        <v>9.0884949738945355</v>
      </c>
      <c r="J188" s="33">
        <v>9.0884949738945355</v>
      </c>
      <c r="K188" s="34">
        <v>3.0294983246315108</v>
      </c>
      <c r="L188" s="33">
        <v>4.8471973194104194</v>
      </c>
      <c r="M188" s="34">
        <v>6.0589966492630234</v>
      </c>
      <c r="N188" s="34">
        <v>3.6353979895578141</v>
      </c>
      <c r="O188" s="33">
        <v>3.6353979895578141</v>
      </c>
      <c r="P188" s="34">
        <v>7.2707959791156282</v>
      </c>
      <c r="Q188" s="33">
        <v>6.0589966492630234</v>
      </c>
      <c r="R188" s="33">
        <v>7.2707959791156282</v>
      </c>
      <c r="S188" s="33">
        <v>4.2412976544841161</v>
      </c>
      <c r="T188" s="34">
        <v>4.2412976544841161</v>
      </c>
      <c r="U188" s="34">
        <v>1.8176989947789071</v>
      </c>
      <c r="V188" s="34">
        <v>3.0294983246315108</v>
      </c>
      <c r="W188" s="34">
        <v>1.8176989947789071</v>
      </c>
      <c r="X188" s="34">
        <v>18.176989947789071</v>
      </c>
      <c r="Y188" s="34">
        <v>9.6943946388208371</v>
      </c>
      <c r="Z188" s="54"/>
      <c r="AA188" s="33">
        <v>9.5023150804714263</v>
      </c>
      <c r="AB188" s="33">
        <v>9.5023150804714263</v>
      </c>
      <c r="AC188" s="34">
        <v>3.1674383601571421</v>
      </c>
      <c r="AD188" s="33">
        <v>5.0679013762514273</v>
      </c>
      <c r="AE188" s="34">
        <v>6.3348767203142842</v>
      </c>
      <c r="AF188" s="34">
        <v>3.8009260321885709</v>
      </c>
      <c r="AG188" s="33">
        <v>3.8009260321885709</v>
      </c>
      <c r="AH188" s="34">
        <v>7.6018520643771419</v>
      </c>
      <c r="AI188" s="33">
        <v>6.3348767203142842</v>
      </c>
      <c r="AJ188" s="33">
        <v>7.6018520643771419</v>
      </c>
      <c r="AK188" s="33">
        <v>4.4344137042199989</v>
      </c>
      <c r="AL188" s="34">
        <v>4.4344137042199989</v>
      </c>
      <c r="AM188" s="34">
        <v>1.900463016094285</v>
      </c>
      <c r="AN188" s="34">
        <v>3.1674383601571421</v>
      </c>
      <c r="AO188" s="34">
        <v>1.900463016094285</v>
      </c>
      <c r="AP188" s="34">
        <v>19.004630160942849</v>
      </c>
      <c r="AQ188" s="34">
        <v>10.135802752502849</v>
      </c>
      <c r="AR188" s="39"/>
    </row>
    <row r="189" spans="1:44" ht="19.5" customHeight="1">
      <c r="A189" s="26">
        <f t="shared" si="11"/>
        <v>12</v>
      </c>
      <c r="B189" s="81" t="s">
        <v>133</v>
      </c>
      <c r="C189" s="110" t="s">
        <v>94</v>
      </c>
      <c r="D189" s="114" t="s">
        <v>2851</v>
      </c>
      <c r="E189" s="79"/>
      <c r="F189" s="32">
        <v>26130.564684183359</v>
      </c>
      <c r="G189" s="32">
        <v>28320.349471827802</v>
      </c>
      <c r="H189" s="32">
        <v>54450.91415601116</v>
      </c>
      <c r="I189" s="33">
        <v>9.0884949738945355</v>
      </c>
      <c r="J189" s="33">
        <v>9.0884949738945355</v>
      </c>
      <c r="K189" s="145">
        <v>3.0294983246315108</v>
      </c>
      <c r="L189" s="33">
        <v>4.8471973194104194</v>
      </c>
      <c r="M189" s="145">
        <v>6.0589966492630234</v>
      </c>
      <c r="N189" s="145">
        <v>3.6353979895578141</v>
      </c>
      <c r="O189" s="33">
        <v>3.6353979895578141</v>
      </c>
      <c r="P189" s="145">
        <v>7.2707959791156282</v>
      </c>
      <c r="Q189" s="33">
        <v>6.0589966492630234</v>
      </c>
      <c r="R189" s="33">
        <v>7.2707959791156282</v>
      </c>
      <c r="S189" s="33">
        <v>4.2412976544841161</v>
      </c>
      <c r="T189" s="145">
        <v>4.2412976544841161</v>
      </c>
      <c r="U189" s="145">
        <v>1.8176989947789071</v>
      </c>
      <c r="V189" s="145">
        <v>3.0294983246315108</v>
      </c>
      <c r="W189" s="145">
        <v>1.8176989947789071</v>
      </c>
      <c r="X189" s="145">
        <v>18.176989947789071</v>
      </c>
      <c r="Y189" s="145">
        <v>9.6943946388208371</v>
      </c>
      <c r="Z189" s="146"/>
      <c r="AA189" s="53">
        <v>9.8501259710410949</v>
      </c>
      <c r="AB189" s="53">
        <v>9.8501259710410949</v>
      </c>
      <c r="AC189" s="146">
        <v>3.2833753236803642</v>
      </c>
      <c r="AD189" s="53">
        <v>5.2534005178885836</v>
      </c>
      <c r="AE189" s="146">
        <v>6.5667506473607284</v>
      </c>
      <c r="AF189" s="146">
        <v>3.940050388416438</v>
      </c>
      <c r="AG189" s="53">
        <v>3.940050388416438</v>
      </c>
      <c r="AH189" s="146">
        <v>7.8801007768328759</v>
      </c>
      <c r="AI189" s="53">
        <v>6.5667506473607284</v>
      </c>
      <c r="AJ189" s="53">
        <v>7.8801007768328759</v>
      </c>
      <c r="AK189" s="53">
        <v>4.5967254531525104</v>
      </c>
      <c r="AL189" s="146">
        <v>4.5967254531525104</v>
      </c>
      <c r="AM189" s="146">
        <v>1.970025194208219</v>
      </c>
      <c r="AN189" s="146">
        <v>3.2833753236803642</v>
      </c>
      <c r="AO189" s="146">
        <v>1.970025194208219</v>
      </c>
      <c r="AP189" s="146">
        <v>19.70025194208219</v>
      </c>
      <c r="AQ189" s="146">
        <v>10.506801035777171</v>
      </c>
      <c r="AR189" s="37"/>
    </row>
    <row r="190" spans="1:44" ht="19.5" customHeight="1">
      <c r="A190" s="49"/>
      <c r="B190" s="80" t="s">
        <v>133</v>
      </c>
      <c r="C190" s="49" t="s">
        <v>389</v>
      </c>
      <c r="D190" s="116" t="s">
        <v>2860</v>
      </c>
      <c r="E190" s="89">
        <v>5</v>
      </c>
      <c r="F190" s="52">
        <v>226485.3382092939</v>
      </c>
      <c r="G190" s="52">
        <v>106667.7291861291</v>
      </c>
      <c r="H190" s="52">
        <v>333153.06739542302</v>
      </c>
      <c r="I190" s="53">
        <v>78.774067183550471</v>
      </c>
      <c r="J190" s="53">
        <v>78.774067183550471</v>
      </c>
      <c r="K190" s="54">
        <v>26.258022394516821</v>
      </c>
      <c r="L190" s="53">
        <v>42.012835831226923</v>
      </c>
      <c r="M190" s="54">
        <v>52.516044789033643</v>
      </c>
      <c r="N190" s="54">
        <v>31.509626873420189</v>
      </c>
      <c r="O190" s="53">
        <v>31.509626873420189</v>
      </c>
      <c r="P190" s="54">
        <v>63.019253746840377</v>
      </c>
      <c r="Q190" s="53">
        <v>52.516044789033643</v>
      </c>
      <c r="R190" s="53">
        <v>63.019253746840377</v>
      </c>
      <c r="S190" s="53">
        <v>36.761231352323563</v>
      </c>
      <c r="T190" s="54">
        <v>36.761231352323563</v>
      </c>
      <c r="U190" s="54">
        <v>15.7548134367101</v>
      </c>
      <c r="V190" s="54">
        <v>26.258022394516821</v>
      </c>
      <c r="W190" s="54">
        <v>15.7548134367101</v>
      </c>
      <c r="X190" s="54">
        <v>157.54813436710089</v>
      </c>
      <c r="Y190" s="54">
        <v>84.025671662453846</v>
      </c>
      <c r="Z190" s="54"/>
      <c r="AA190" s="53">
        <v>37.100197883273388</v>
      </c>
      <c r="AB190" s="53">
        <v>37.100197883273388</v>
      </c>
      <c r="AC190" s="54">
        <v>12.36673262775779</v>
      </c>
      <c r="AD190" s="53">
        <v>19.786772204412479</v>
      </c>
      <c r="AE190" s="54">
        <v>24.73346525551559</v>
      </c>
      <c r="AF190" s="54">
        <v>14.840079153309359</v>
      </c>
      <c r="AG190" s="53">
        <v>14.840079153309359</v>
      </c>
      <c r="AH190" s="54">
        <v>29.680158306618711</v>
      </c>
      <c r="AI190" s="53">
        <v>24.73346525551559</v>
      </c>
      <c r="AJ190" s="53">
        <v>29.680158306618711</v>
      </c>
      <c r="AK190" s="53">
        <v>17.31342567886092</v>
      </c>
      <c r="AL190" s="54">
        <v>17.31342567886092</v>
      </c>
      <c r="AM190" s="54">
        <v>7.4200395766546778</v>
      </c>
      <c r="AN190" s="54">
        <v>12.36673262775779</v>
      </c>
      <c r="AO190" s="54">
        <v>7.4200395766546778</v>
      </c>
      <c r="AP190" s="54">
        <v>74.200395766546777</v>
      </c>
      <c r="AQ190" s="54">
        <v>39.573544408824951</v>
      </c>
      <c r="AR190" s="37"/>
    </row>
    <row r="191" spans="1:44" ht="19.5" customHeight="1">
      <c r="A191" s="65"/>
      <c r="B191" s="147" t="s">
        <v>2780</v>
      </c>
      <c r="C191" s="65" t="s">
        <v>835</v>
      </c>
      <c r="D191" s="147" t="s">
        <v>2869</v>
      </c>
      <c r="E191" s="67">
        <f>E190+E184</f>
        <v>12</v>
      </c>
      <c r="F191" s="68">
        <v>863547.42184096645</v>
      </c>
      <c r="G191" s="68">
        <v>257477.8724050741</v>
      </c>
      <c r="H191" s="68">
        <v>1121025.294246041</v>
      </c>
      <c r="I191" s="148">
        <v>300.35119783966081</v>
      </c>
      <c r="J191" s="148">
        <v>300.35119783966081</v>
      </c>
      <c r="K191" s="149">
        <v>100.11706594655359</v>
      </c>
      <c r="L191" s="148">
        <v>160.1873055144857</v>
      </c>
      <c r="M191" s="149">
        <v>200.2341318931071</v>
      </c>
      <c r="N191" s="149">
        <v>120.1404791358643</v>
      </c>
      <c r="O191" s="148">
        <v>120.1404791358643</v>
      </c>
      <c r="P191" s="149">
        <v>240.28095827172859</v>
      </c>
      <c r="Q191" s="148">
        <v>200.2341318931071</v>
      </c>
      <c r="R191" s="148">
        <v>240.28095827172859</v>
      </c>
      <c r="S191" s="148">
        <v>140.163892325175</v>
      </c>
      <c r="T191" s="149">
        <v>140.163892325175</v>
      </c>
      <c r="U191" s="149">
        <v>60.070239567932148</v>
      </c>
      <c r="V191" s="149">
        <v>100.11706594655359</v>
      </c>
      <c r="W191" s="149">
        <v>60.070239567932148</v>
      </c>
      <c r="X191" s="149">
        <v>600.70239567932151</v>
      </c>
      <c r="Y191" s="149">
        <v>320.37461102897151</v>
      </c>
      <c r="Z191" s="70"/>
      <c r="AA191" s="69">
        <v>89.553608103196154</v>
      </c>
      <c r="AB191" s="69">
        <v>89.553608103196154</v>
      </c>
      <c r="AC191" s="70">
        <v>29.851202701065379</v>
      </c>
      <c r="AD191" s="69">
        <v>47.761924321704619</v>
      </c>
      <c r="AE191" s="70">
        <v>59.702405402130758</v>
      </c>
      <c r="AF191" s="70">
        <v>35.821443241278473</v>
      </c>
      <c r="AG191" s="69">
        <v>35.821443241278473</v>
      </c>
      <c r="AH191" s="70">
        <v>71.642886482556932</v>
      </c>
      <c r="AI191" s="69">
        <v>59.702405402130758</v>
      </c>
      <c r="AJ191" s="69">
        <v>71.642886482556932</v>
      </c>
      <c r="AK191" s="69">
        <v>41.791683781491543</v>
      </c>
      <c r="AL191" s="70">
        <v>41.791683781491543</v>
      </c>
      <c r="AM191" s="70">
        <v>17.910721620639229</v>
      </c>
      <c r="AN191" s="70">
        <v>29.851202701065379</v>
      </c>
      <c r="AO191" s="70">
        <v>17.910721620639229</v>
      </c>
      <c r="AP191" s="70">
        <v>179.10721620639231</v>
      </c>
      <c r="AQ191" s="70">
        <v>95.523848643409238</v>
      </c>
      <c r="AR191" s="121"/>
    </row>
    <row r="192" spans="1:44" ht="19.5" customHeight="1">
      <c r="A192" s="62"/>
      <c r="B192" s="76"/>
      <c r="C192" s="51"/>
      <c r="D192" s="63"/>
      <c r="E192" s="51"/>
      <c r="F192" s="32"/>
      <c r="G192" s="32"/>
      <c r="H192" s="32">
        <v>0</v>
      </c>
      <c r="I192" s="53">
        <v>0</v>
      </c>
      <c r="J192" s="53">
        <v>0</v>
      </c>
      <c r="K192" s="54">
        <v>0</v>
      </c>
      <c r="L192" s="53">
        <v>0</v>
      </c>
      <c r="M192" s="54">
        <v>0</v>
      </c>
      <c r="N192" s="54">
        <v>0</v>
      </c>
      <c r="O192" s="53">
        <v>0</v>
      </c>
      <c r="P192" s="54">
        <v>0</v>
      </c>
      <c r="Q192" s="53">
        <v>0</v>
      </c>
      <c r="R192" s="53">
        <v>0</v>
      </c>
      <c r="S192" s="53">
        <v>0</v>
      </c>
      <c r="T192" s="54">
        <v>0</v>
      </c>
      <c r="U192" s="54">
        <v>0</v>
      </c>
      <c r="V192" s="54">
        <v>0</v>
      </c>
      <c r="W192" s="54">
        <v>0</v>
      </c>
      <c r="X192" s="54">
        <v>0</v>
      </c>
      <c r="Y192" s="54">
        <v>0</v>
      </c>
      <c r="Z192" s="34"/>
      <c r="AA192" s="33">
        <v>0</v>
      </c>
      <c r="AB192" s="33">
        <v>0</v>
      </c>
      <c r="AC192" s="34">
        <v>0</v>
      </c>
      <c r="AD192" s="33">
        <v>0</v>
      </c>
      <c r="AE192" s="34">
        <v>0</v>
      </c>
      <c r="AF192" s="34">
        <v>0</v>
      </c>
      <c r="AG192" s="33">
        <v>0</v>
      </c>
      <c r="AH192" s="34">
        <v>0</v>
      </c>
      <c r="AI192" s="33">
        <v>0</v>
      </c>
      <c r="AJ192" s="33">
        <v>0</v>
      </c>
      <c r="AK192" s="33">
        <v>0</v>
      </c>
      <c r="AL192" s="34">
        <v>0</v>
      </c>
      <c r="AM192" s="34">
        <v>0</v>
      </c>
      <c r="AN192" s="34">
        <v>0</v>
      </c>
      <c r="AO192" s="34">
        <v>0</v>
      </c>
      <c r="AP192" s="34">
        <v>0</v>
      </c>
      <c r="AQ192" s="34">
        <v>0</v>
      </c>
      <c r="AR192" s="121"/>
    </row>
    <row r="193" spans="1:44" ht="19.5" customHeight="1">
      <c r="A193" s="67"/>
      <c r="B193" s="67" t="s">
        <v>2889</v>
      </c>
      <c r="C193" s="67" t="s">
        <v>81</v>
      </c>
      <c r="D193" s="93"/>
      <c r="E193" s="68">
        <f>E191+E172+E153+E135+E115+E75+E39+E20</f>
        <v>127</v>
      </c>
      <c r="F193" s="68">
        <v>10592879.61062406</v>
      </c>
      <c r="G193" s="68">
        <v>3427741.0272520832</v>
      </c>
      <c r="H193" s="68">
        <v>14020620.63787614</v>
      </c>
      <c r="I193" s="150">
        <v>3684.3188910685972</v>
      </c>
      <c r="J193" s="150">
        <v>3684.3188910685972</v>
      </c>
      <c r="K193" s="96">
        <v>1228.106297022865</v>
      </c>
      <c r="L193" s="150">
        <v>1964.970075236585</v>
      </c>
      <c r="M193" s="96">
        <v>2456.2125940457308</v>
      </c>
      <c r="N193" s="96">
        <v>1473.7275564274389</v>
      </c>
      <c r="O193" s="150">
        <v>1473.7275564274389</v>
      </c>
      <c r="P193" s="96">
        <v>2947.4551128548769</v>
      </c>
      <c r="Q193" s="150">
        <v>2456.2125940457308</v>
      </c>
      <c r="R193" s="150">
        <v>2947.4551128548769</v>
      </c>
      <c r="S193" s="150">
        <v>1719.348815832012</v>
      </c>
      <c r="T193" s="96">
        <v>1719.348815832012</v>
      </c>
      <c r="U193" s="96">
        <v>736.86377821371934</v>
      </c>
      <c r="V193" s="96">
        <v>1228.106297022865</v>
      </c>
      <c r="W193" s="96">
        <v>736.86377821371934</v>
      </c>
      <c r="X193" s="96">
        <v>7368.6377821371934</v>
      </c>
      <c r="Y193" s="96">
        <v>3929.94015047317</v>
      </c>
      <c r="Z193" s="96"/>
      <c r="AA193" s="150">
        <v>1192.2056593307891</v>
      </c>
      <c r="AB193" s="150">
        <v>1192.2056593307891</v>
      </c>
      <c r="AC193" s="96">
        <v>397.40188644359631</v>
      </c>
      <c r="AD193" s="150">
        <v>635.84301830975403</v>
      </c>
      <c r="AE193" s="96">
        <v>794.80377288719251</v>
      </c>
      <c r="AF193" s="96">
        <v>476.88226373231561</v>
      </c>
      <c r="AG193" s="150">
        <v>476.88226373231561</v>
      </c>
      <c r="AH193" s="96">
        <v>953.7645274646311</v>
      </c>
      <c r="AI193" s="150">
        <v>794.80377288719251</v>
      </c>
      <c r="AJ193" s="150">
        <v>953.7645274646311</v>
      </c>
      <c r="AK193" s="150">
        <v>556.36264102103485</v>
      </c>
      <c r="AL193" s="96">
        <v>556.36264102103485</v>
      </c>
      <c r="AM193" s="96">
        <v>238.4411318661578</v>
      </c>
      <c r="AN193" s="96">
        <v>397.40188644359631</v>
      </c>
      <c r="AO193" s="96">
        <v>238.4411318661578</v>
      </c>
      <c r="AP193" s="96">
        <v>2384.4113186615782</v>
      </c>
      <c r="AQ193" s="96">
        <v>1271.6860366195081</v>
      </c>
      <c r="AR193" s="39"/>
    </row>
    <row r="194" spans="1:44" ht="19.5" customHeight="1">
      <c r="A194" s="32"/>
      <c r="B194" s="32"/>
      <c r="C194" s="32"/>
      <c r="D194" s="151"/>
      <c r="E194" s="32"/>
      <c r="F194" s="32">
        <v>10616045.19173977</v>
      </c>
      <c r="G194" s="32">
        <v>3464927.2024606052</v>
      </c>
      <c r="H194" s="32">
        <v>14080972.394200381</v>
      </c>
      <c r="I194" s="33">
        <v>3692.3761324670172</v>
      </c>
      <c r="J194" s="33">
        <v>3692.3761324670172</v>
      </c>
      <c r="K194" s="34">
        <v>1230.7920441556721</v>
      </c>
      <c r="L194" s="33">
        <v>1969.267270649076</v>
      </c>
      <c r="M194" s="34">
        <v>2461.5840883113451</v>
      </c>
      <c r="N194" s="34">
        <v>1476.950452986807</v>
      </c>
      <c r="O194" s="33">
        <v>1476.950452986807</v>
      </c>
      <c r="P194" s="34">
        <v>2953.900905973614</v>
      </c>
      <c r="Q194" s="33">
        <v>2461.5840883113451</v>
      </c>
      <c r="R194" s="33">
        <v>2953.900905973614</v>
      </c>
      <c r="S194" s="33">
        <v>1723.108861817941</v>
      </c>
      <c r="T194" s="34">
        <v>1723.108861817941</v>
      </c>
      <c r="U194" s="34">
        <v>738.47522649340351</v>
      </c>
      <c r="V194" s="34">
        <v>1230.7920441556721</v>
      </c>
      <c r="W194" s="34">
        <v>738.47522649340351</v>
      </c>
      <c r="X194" s="34">
        <v>7384.7522649340344</v>
      </c>
      <c r="Y194" s="34">
        <v>3938.5345412981519</v>
      </c>
      <c r="Z194" s="54"/>
      <c r="AA194" s="53">
        <v>1205.1394160469449</v>
      </c>
      <c r="AB194" s="53">
        <v>1205.1394160469449</v>
      </c>
      <c r="AC194" s="54">
        <v>401.71313868231499</v>
      </c>
      <c r="AD194" s="53">
        <v>642.74102189170412</v>
      </c>
      <c r="AE194" s="54">
        <v>803.4262773646301</v>
      </c>
      <c r="AF194" s="54">
        <v>482.05576641877809</v>
      </c>
      <c r="AG194" s="53">
        <v>482.05576641877809</v>
      </c>
      <c r="AH194" s="54">
        <v>964.11153283755618</v>
      </c>
      <c r="AI194" s="53">
        <v>803.4262773646301</v>
      </c>
      <c r="AJ194" s="53">
        <v>964.11153283755618</v>
      </c>
      <c r="AK194" s="53">
        <v>562.39839415524114</v>
      </c>
      <c r="AL194" s="54">
        <v>562.39839415524114</v>
      </c>
      <c r="AM194" s="54">
        <v>241.02788320938899</v>
      </c>
      <c r="AN194" s="54">
        <v>401.71313868231499</v>
      </c>
      <c r="AO194" s="54">
        <v>241.02788320938899</v>
      </c>
      <c r="AP194" s="54">
        <v>2410.2788320938898</v>
      </c>
      <c r="AQ194" s="54">
        <v>1285.482043783408</v>
      </c>
      <c r="AR194" s="39"/>
    </row>
    <row r="195" spans="1:44" ht="19.5" customHeight="1">
      <c r="A195" s="76" t="s">
        <v>2916</v>
      </c>
      <c r="B195" s="152"/>
      <c r="C195" s="153"/>
      <c r="D195" s="152"/>
      <c r="E195" s="52"/>
      <c r="F195" s="32">
        <v>-23165.581115713339</v>
      </c>
      <c r="G195" s="32">
        <v>-37186.175208522007</v>
      </c>
      <c r="H195" s="32">
        <v>-60351.75632423535</v>
      </c>
      <c r="I195" s="33">
        <v>-8.0572413984205014</v>
      </c>
      <c r="J195" s="33">
        <v>-8.0572413984205014</v>
      </c>
      <c r="K195" s="34">
        <v>-2.6857471328068332</v>
      </c>
      <c r="L195" s="33">
        <v>-4.2971954124909342</v>
      </c>
      <c r="M195" s="34">
        <v>-5.3714942656136664</v>
      </c>
      <c r="N195" s="34">
        <v>-3.2228965593682011</v>
      </c>
      <c r="O195" s="33">
        <v>-3.2228965593682011</v>
      </c>
      <c r="P195" s="34">
        <v>-6.4457931187364013</v>
      </c>
      <c r="Q195" s="33">
        <v>-5.3714942656136664</v>
      </c>
      <c r="R195" s="33">
        <v>-6.4457931187364013</v>
      </c>
      <c r="S195" s="33">
        <v>-3.7600459859295672</v>
      </c>
      <c r="T195" s="34">
        <v>-3.7600459859295672</v>
      </c>
      <c r="U195" s="34">
        <v>-1.6114482796841001</v>
      </c>
      <c r="V195" s="34">
        <v>-2.6857471328068332</v>
      </c>
      <c r="W195" s="34">
        <v>-1.6114482796841001</v>
      </c>
      <c r="X195" s="34">
        <v>-16.114482796840999</v>
      </c>
      <c r="Y195" s="34">
        <v>-8.5943908249818683</v>
      </c>
      <c r="Z195" s="34"/>
      <c r="AA195" s="33">
        <v>-12.93375671615633</v>
      </c>
      <c r="AB195" s="33">
        <v>-12.93375671615633</v>
      </c>
      <c r="AC195" s="34">
        <v>-4.3112522387187751</v>
      </c>
      <c r="AD195" s="33">
        <v>-6.8980035819500403</v>
      </c>
      <c r="AE195" s="34">
        <v>-8.6225044774375501</v>
      </c>
      <c r="AF195" s="34">
        <v>-5.1735026864625304</v>
      </c>
      <c r="AG195" s="33">
        <v>-5.1735026864625304</v>
      </c>
      <c r="AH195" s="34">
        <v>-10.347005372925061</v>
      </c>
      <c r="AI195" s="33">
        <v>-8.6225044774375501</v>
      </c>
      <c r="AJ195" s="33">
        <v>-10.347005372925061</v>
      </c>
      <c r="AK195" s="33">
        <v>-6.0357531342062858</v>
      </c>
      <c r="AL195" s="34">
        <v>-6.0357531342062858</v>
      </c>
      <c r="AM195" s="34">
        <v>-2.5867513432312652</v>
      </c>
      <c r="AN195" s="34">
        <v>-4.3112522387187751</v>
      </c>
      <c r="AO195" s="34">
        <v>-2.5867513432312652</v>
      </c>
      <c r="AP195" s="34">
        <v>-25.867513432312649</v>
      </c>
      <c r="AQ195" s="34">
        <v>-13.796007163900081</v>
      </c>
      <c r="AR195" s="37"/>
    </row>
    <row r="196" spans="1:44" ht="19.5" customHeight="1">
      <c r="A196" s="64">
        <v>1</v>
      </c>
      <c r="B196" s="56" t="s">
        <v>2926</v>
      </c>
      <c r="C196" s="58" t="s">
        <v>132</v>
      </c>
      <c r="D196" s="56" t="s">
        <v>2927</v>
      </c>
      <c r="E196" s="30"/>
      <c r="F196" s="32">
        <v>0</v>
      </c>
      <c r="G196" s="32">
        <v>60104.768838021257</v>
      </c>
      <c r="H196" s="32">
        <v>60104.768838021257</v>
      </c>
      <c r="I196" s="33">
        <v>0</v>
      </c>
      <c r="J196" s="33">
        <v>0</v>
      </c>
      <c r="K196" s="34">
        <v>0</v>
      </c>
      <c r="L196" s="33">
        <v>0</v>
      </c>
      <c r="M196" s="34">
        <v>0</v>
      </c>
      <c r="N196" s="34">
        <v>0</v>
      </c>
      <c r="O196" s="33">
        <v>0</v>
      </c>
      <c r="P196" s="34">
        <v>0</v>
      </c>
      <c r="Q196" s="33">
        <v>0</v>
      </c>
      <c r="R196" s="33">
        <v>0</v>
      </c>
      <c r="S196" s="33">
        <v>0</v>
      </c>
      <c r="T196" s="34">
        <v>0</v>
      </c>
      <c r="U196" s="34">
        <v>0</v>
      </c>
      <c r="V196" s="34">
        <v>0</v>
      </c>
      <c r="W196" s="34">
        <v>0</v>
      </c>
      <c r="X196" s="34">
        <v>0</v>
      </c>
      <c r="Y196" s="34">
        <v>0</v>
      </c>
      <c r="Z196" s="34"/>
      <c r="AA196" s="33">
        <v>20.905093177037141</v>
      </c>
      <c r="AB196" s="33">
        <v>20.905093177037141</v>
      </c>
      <c r="AC196" s="34">
        <v>6.9683643923457117</v>
      </c>
      <c r="AD196" s="33">
        <v>11.14938302775314</v>
      </c>
      <c r="AE196" s="34">
        <v>13.93672878469142</v>
      </c>
      <c r="AF196" s="34">
        <v>8.3620372708148558</v>
      </c>
      <c r="AG196" s="33">
        <v>8.3620372708148558</v>
      </c>
      <c r="AH196" s="34">
        <v>16.724074541629712</v>
      </c>
      <c r="AI196" s="33">
        <v>13.93672878469142</v>
      </c>
      <c r="AJ196" s="33">
        <v>16.724074541629712</v>
      </c>
      <c r="AK196" s="33">
        <v>9.7557101492839973</v>
      </c>
      <c r="AL196" s="34">
        <v>9.7557101492839973</v>
      </c>
      <c r="AM196" s="34">
        <v>4.1810186354074279</v>
      </c>
      <c r="AN196" s="34">
        <v>6.9683643923457117</v>
      </c>
      <c r="AO196" s="34">
        <v>4.1810186354074279</v>
      </c>
      <c r="AP196" s="34">
        <v>41.810186354074283</v>
      </c>
      <c r="AQ196" s="34">
        <v>22.298766055506281</v>
      </c>
      <c r="AR196" s="39"/>
    </row>
    <row r="197" spans="1:44" ht="19.5" customHeight="1">
      <c r="A197" s="64">
        <f t="shared" ref="A197:A199" si="12">A196+1</f>
        <v>2</v>
      </c>
      <c r="B197" s="56" t="s">
        <v>2941</v>
      </c>
      <c r="C197" s="154" t="s">
        <v>94</v>
      </c>
      <c r="D197" s="56" t="s">
        <v>2944</v>
      </c>
      <c r="E197" s="30"/>
      <c r="F197" s="32">
        <v>100000</v>
      </c>
      <c r="G197" s="32">
        <v>54640.698943655691</v>
      </c>
      <c r="H197" s="32">
        <v>154640.69894365571</v>
      </c>
      <c r="I197" s="33">
        <v>34.781089056968348</v>
      </c>
      <c r="J197" s="33">
        <v>34.781089056968348</v>
      </c>
      <c r="K197" s="34">
        <v>11.59369635232278</v>
      </c>
      <c r="L197" s="33">
        <v>18.549914163716451</v>
      </c>
      <c r="M197" s="34">
        <v>23.187392704645561</v>
      </c>
      <c r="N197" s="34">
        <v>13.91243562278734</v>
      </c>
      <c r="O197" s="33">
        <v>13.91243562278734</v>
      </c>
      <c r="P197" s="34">
        <v>27.824871245574681</v>
      </c>
      <c r="Q197" s="33">
        <v>23.187392704645561</v>
      </c>
      <c r="R197" s="33">
        <v>27.824871245574681</v>
      </c>
      <c r="S197" s="33">
        <v>16.2311748932519</v>
      </c>
      <c r="T197" s="34">
        <v>16.2311748932519</v>
      </c>
      <c r="U197" s="34">
        <v>6.9562178113936701</v>
      </c>
      <c r="V197" s="34">
        <v>11.59369635232278</v>
      </c>
      <c r="W197" s="34">
        <v>6.9562178113936701</v>
      </c>
      <c r="X197" s="34">
        <v>69.562178113936696</v>
      </c>
      <c r="Y197" s="34">
        <v>37.09982832743291</v>
      </c>
      <c r="Z197" s="34"/>
      <c r="AA197" s="33">
        <v>19.004630160942849</v>
      </c>
      <c r="AB197" s="33">
        <v>19.004630160942849</v>
      </c>
      <c r="AC197" s="34">
        <v>6.3348767203142842</v>
      </c>
      <c r="AD197" s="33">
        <v>10.135802752502849</v>
      </c>
      <c r="AE197" s="34">
        <v>12.66975344062857</v>
      </c>
      <c r="AF197" s="34">
        <v>7.6018520643771419</v>
      </c>
      <c r="AG197" s="33">
        <v>7.6018520643771419</v>
      </c>
      <c r="AH197" s="34">
        <v>15.20370412875428</v>
      </c>
      <c r="AI197" s="33">
        <v>12.66975344062857</v>
      </c>
      <c r="AJ197" s="33">
        <v>15.20370412875428</v>
      </c>
      <c r="AK197" s="33">
        <v>8.8688274084399978</v>
      </c>
      <c r="AL197" s="34">
        <v>8.8688274084399978</v>
      </c>
      <c r="AM197" s="34">
        <v>3.8009260321885709</v>
      </c>
      <c r="AN197" s="34">
        <v>6.3348767203142842</v>
      </c>
      <c r="AO197" s="34">
        <v>3.8009260321885709</v>
      </c>
      <c r="AP197" s="34">
        <v>38.009260321885712</v>
      </c>
      <c r="AQ197" s="34">
        <v>20.271605505005709</v>
      </c>
      <c r="AR197" s="39"/>
    </row>
    <row r="198" spans="1:44" ht="19.5" customHeight="1">
      <c r="A198" s="64">
        <f t="shared" si="12"/>
        <v>3</v>
      </c>
      <c r="B198" s="155" t="s">
        <v>133</v>
      </c>
      <c r="C198" s="154" t="s">
        <v>94</v>
      </c>
      <c r="D198" s="56" t="s">
        <v>2960</v>
      </c>
      <c r="E198" s="30"/>
      <c r="F198" s="32">
        <v>30000</v>
      </c>
      <c r="G198" s="32">
        <v>43288.165376721401</v>
      </c>
      <c r="H198" s="32">
        <v>73288.165376721401</v>
      </c>
      <c r="I198" s="53">
        <v>10.43432671709051</v>
      </c>
      <c r="J198" s="53">
        <v>10.43432671709051</v>
      </c>
      <c r="K198" s="54">
        <v>3.4781089056968351</v>
      </c>
      <c r="L198" s="53">
        <v>5.564974249114937</v>
      </c>
      <c r="M198" s="54">
        <v>6.9562178113936701</v>
      </c>
      <c r="N198" s="54">
        <v>4.173730686836203</v>
      </c>
      <c r="O198" s="53">
        <v>4.173730686836203</v>
      </c>
      <c r="P198" s="54">
        <v>8.3474613736724059</v>
      </c>
      <c r="Q198" s="53">
        <v>6.9562178113936701</v>
      </c>
      <c r="R198" s="53">
        <v>8.3474613736724059</v>
      </c>
      <c r="S198" s="53">
        <v>4.8693524679755704</v>
      </c>
      <c r="T198" s="54">
        <v>4.8693524679755704</v>
      </c>
      <c r="U198" s="54">
        <v>2.086865343418101</v>
      </c>
      <c r="V198" s="54">
        <v>3.4781089056968351</v>
      </c>
      <c r="W198" s="54">
        <v>2.086865343418101</v>
      </c>
      <c r="X198" s="54">
        <v>20.868653434181009</v>
      </c>
      <c r="Y198" s="54">
        <v>11.12994849822987</v>
      </c>
      <c r="Z198" s="34"/>
      <c r="AA198" s="33">
        <v>15.05609535080521</v>
      </c>
      <c r="AB198" s="33">
        <v>15.05609535080521</v>
      </c>
      <c r="AC198" s="34">
        <v>5.0186984502684044</v>
      </c>
      <c r="AD198" s="33">
        <v>8.0299175204294464</v>
      </c>
      <c r="AE198" s="34">
        <v>10.037396900536811</v>
      </c>
      <c r="AF198" s="34">
        <v>6.0224381403220848</v>
      </c>
      <c r="AG198" s="33">
        <v>6.0224381403220848</v>
      </c>
      <c r="AH198" s="34">
        <v>12.04487628064417</v>
      </c>
      <c r="AI198" s="33">
        <v>10.037396900536811</v>
      </c>
      <c r="AJ198" s="33">
        <v>12.04487628064417</v>
      </c>
      <c r="AK198" s="33">
        <v>7.026177830375766</v>
      </c>
      <c r="AL198" s="34">
        <v>7.026177830375766</v>
      </c>
      <c r="AM198" s="34">
        <v>3.011219070161042</v>
      </c>
      <c r="AN198" s="34">
        <v>5.0186984502684044</v>
      </c>
      <c r="AO198" s="34">
        <v>3.011219070161042</v>
      </c>
      <c r="AP198" s="34">
        <v>30.11219070161042</v>
      </c>
      <c r="AQ198" s="34">
        <v>16.059835040858889</v>
      </c>
      <c r="AR198" s="39"/>
    </row>
    <row r="199" spans="1:44" ht="19.5" customHeight="1">
      <c r="A199" s="64">
        <f t="shared" si="12"/>
        <v>4</v>
      </c>
      <c r="B199" s="56" t="s">
        <v>2926</v>
      </c>
      <c r="C199" s="58" t="s">
        <v>132</v>
      </c>
      <c r="D199" s="56" t="s">
        <v>2969</v>
      </c>
      <c r="E199" s="30"/>
      <c r="F199" s="32">
        <v>0</v>
      </c>
      <c r="G199" s="32">
        <v>20000</v>
      </c>
      <c r="H199" s="32">
        <v>20000</v>
      </c>
      <c r="I199" s="33">
        <v>0</v>
      </c>
      <c r="J199" s="33">
        <v>0</v>
      </c>
      <c r="K199" s="34">
        <v>0</v>
      </c>
      <c r="L199" s="33">
        <v>0</v>
      </c>
      <c r="M199" s="34">
        <v>0</v>
      </c>
      <c r="N199" s="34">
        <v>0</v>
      </c>
      <c r="O199" s="33">
        <v>0</v>
      </c>
      <c r="P199" s="34">
        <v>0</v>
      </c>
      <c r="Q199" s="33">
        <v>0</v>
      </c>
      <c r="R199" s="33">
        <v>0</v>
      </c>
      <c r="S199" s="33">
        <v>0</v>
      </c>
      <c r="T199" s="34">
        <v>0</v>
      </c>
      <c r="U199" s="34">
        <v>0</v>
      </c>
      <c r="V199" s="34">
        <v>0</v>
      </c>
      <c r="W199" s="34">
        <v>0</v>
      </c>
      <c r="X199" s="34">
        <v>0</v>
      </c>
      <c r="Y199" s="34">
        <v>0</v>
      </c>
      <c r="Z199" s="34"/>
      <c r="AA199" s="33">
        <v>6.956217811393671</v>
      </c>
      <c r="AB199" s="33">
        <v>6.956217811393671</v>
      </c>
      <c r="AC199" s="34">
        <v>2.318739270464556</v>
      </c>
      <c r="AD199" s="33">
        <v>3.7099828327432909</v>
      </c>
      <c r="AE199" s="34">
        <v>4.6374785409291128</v>
      </c>
      <c r="AF199" s="34">
        <v>2.7824871245574681</v>
      </c>
      <c r="AG199" s="33">
        <v>2.7824871245574681</v>
      </c>
      <c r="AH199" s="34">
        <v>5.564974249114937</v>
      </c>
      <c r="AI199" s="33">
        <v>4.6374785409291128</v>
      </c>
      <c r="AJ199" s="33">
        <v>5.564974249114937</v>
      </c>
      <c r="AK199" s="33">
        <v>3.2462349786503801</v>
      </c>
      <c r="AL199" s="34">
        <v>3.2462349786503801</v>
      </c>
      <c r="AM199" s="34">
        <v>1.391243562278734</v>
      </c>
      <c r="AN199" s="34">
        <v>2.318739270464556</v>
      </c>
      <c r="AO199" s="34">
        <v>1.391243562278734</v>
      </c>
      <c r="AP199" s="34">
        <v>13.91243562278734</v>
      </c>
      <c r="AQ199" s="34">
        <v>7.4199656654865818</v>
      </c>
      <c r="AR199" s="39"/>
    </row>
    <row r="200" spans="1:44" ht="19.5" customHeight="1">
      <c r="A200" s="83"/>
      <c r="B200" s="76" t="s">
        <v>2978</v>
      </c>
      <c r="C200" s="51" t="s">
        <v>185</v>
      </c>
      <c r="D200" s="63" t="s">
        <v>2979</v>
      </c>
      <c r="E200" s="51">
        <v>4</v>
      </c>
      <c r="F200" s="52">
        <v>130000</v>
      </c>
      <c r="G200" s="52">
        <v>178033.63315839841</v>
      </c>
      <c r="H200" s="52">
        <v>308033.63315839833</v>
      </c>
      <c r="I200" s="33">
        <v>45.215415774058862</v>
      </c>
      <c r="J200" s="33">
        <v>45.215415774058862</v>
      </c>
      <c r="K200" s="34">
        <v>15.071805258019619</v>
      </c>
      <c r="L200" s="33">
        <v>24.114888412831391</v>
      </c>
      <c r="M200" s="34">
        <v>30.143610516039239</v>
      </c>
      <c r="N200" s="34">
        <v>18.08616630962355</v>
      </c>
      <c r="O200" s="33">
        <v>18.08616630962355</v>
      </c>
      <c r="P200" s="34">
        <v>36.172332619247094</v>
      </c>
      <c r="Q200" s="33">
        <v>30.143610516039239</v>
      </c>
      <c r="R200" s="33">
        <v>36.172332619247094</v>
      </c>
      <c r="S200" s="33">
        <v>21.100527361227471</v>
      </c>
      <c r="T200" s="34">
        <v>21.100527361227471</v>
      </c>
      <c r="U200" s="34">
        <v>9.0430831548117734</v>
      </c>
      <c r="V200" s="34">
        <v>15.071805258019619</v>
      </c>
      <c r="W200" s="34">
        <v>9.0430831548117734</v>
      </c>
      <c r="X200" s="34">
        <v>90.430831548117723</v>
      </c>
      <c r="Y200" s="34">
        <v>48.229776825662782</v>
      </c>
      <c r="Z200" s="34"/>
      <c r="AA200" s="33">
        <v>61.922036500178869</v>
      </c>
      <c r="AB200" s="33">
        <v>61.922036500178869</v>
      </c>
      <c r="AC200" s="34">
        <v>20.640678833392951</v>
      </c>
      <c r="AD200" s="33">
        <v>33.025086133428729</v>
      </c>
      <c r="AE200" s="34">
        <v>41.281357666785908</v>
      </c>
      <c r="AF200" s="34">
        <v>24.768814600071551</v>
      </c>
      <c r="AG200" s="33">
        <v>24.768814600071551</v>
      </c>
      <c r="AH200" s="34">
        <v>49.537629200143087</v>
      </c>
      <c r="AI200" s="33">
        <v>41.281357666785908</v>
      </c>
      <c r="AJ200" s="33">
        <v>49.537629200143087</v>
      </c>
      <c r="AK200" s="33">
        <v>28.89695036675014</v>
      </c>
      <c r="AL200" s="34">
        <v>28.89695036675014</v>
      </c>
      <c r="AM200" s="34">
        <v>12.38440730003577</v>
      </c>
      <c r="AN200" s="34">
        <v>20.640678833392951</v>
      </c>
      <c r="AO200" s="34">
        <v>12.38440730003577</v>
      </c>
      <c r="AP200" s="34">
        <v>123.8440730003577</v>
      </c>
      <c r="AQ200" s="34">
        <v>66.050172266857459</v>
      </c>
      <c r="AR200" s="39"/>
    </row>
    <row r="201" spans="1:44" ht="19.5" customHeight="1">
      <c r="A201" s="64">
        <f>A199+1</f>
        <v>5</v>
      </c>
      <c r="B201" s="155" t="s">
        <v>133</v>
      </c>
      <c r="C201" s="154" t="s">
        <v>94</v>
      </c>
      <c r="D201" s="56" t="s">
        <v>2992</v>
      </c>
      <c r="E201" s="30"/>
      <c r="F201" s="32">
        <v>18016.300470476941</v>
      </c>
      <c r="G201" s="32">
        <v>44318.381273309547</v>
      </c>
      <c r="H201" s="32">
        <v>62334.681743786503</v>
      </c>
      <c r="I201" s="33">
        <v>6.2662655114075942</v>
      </c>
      <c r="J201" s="33">
        <v>6.2662655114075942</v>
      </c>
      <c r="K201" s="34">
        <v>2.0887551704691978</v>
      </c>
      <c r="L201" s="33">
        <v>3.342008272750717</v>
      </c>
      <c r="M201" s="34">
        <v>4.1775103409383956</v>
      </c>
      <c r="N201" s="34">
        <v>2.506506204563038</v>
      </c>
      <c r="O201" s="33">
        <v>2.506506204563038</v>
      </c>
      <c r="P201" s="34">
        <v>5.0130124091260759</v>
      </c>
      <c r="Q201" s="33">
        <v>4.1775103409383956</v>
      </c>
      <c r="R201" s="33">
        <v>5.0130124091260759</v>
      </c>
      <c r="S201" s="33">
        <v>2.9242572386568768</v>
      </c>
      <c r="T201" s="34">
        <v>2.9242572386568768</v>
      </c>
      <c r="U201" s="34">
        <v>1.253253102281519</v>
      </c>
      <c r="V201" s="34">
        <v>2.0887551704691978</v>
      </c>
      <c r="W201" s="34">
        <v>1.253253102281519</v>
      </c>
      <c r="X201" s="34">
        <v>12.53253102281519</v>
      </c>
      <c r="Y201" s="34">
        <v>6.684016545501434</v>
      </c>
      <c r="Z201" s="34"/>
      <c r="AA201" s="33">
        <v>15.41441565927658</v>
      </c>
      <c r="AB201" s="33">
        <v>15.41441565927658</v>
      </c>
      <c r="AC201" s="34">
        <v>5.1381385530921921</v>
      </c>
      <c r="AD201" s="33">
        <v>8.2210216849475088</v>
      </c>
      <c r="AE201" s="34">
        <v>10.276277106184381</v>
      </c>
      <c r="AF201" s="34">
        <v>6.1657662637106316</v>
      </c>
      <c r="AG201" s="33">
        <v>6.1657662637106316</v>
      </c>
      <c r="AH201" s="34">
        <v>12.33153252742126</v>
      </c>
      <c r="AI201" s="33">
        <v>10.276277106184381</v>
      </c>
      <c r="AJ201" s="33">
        <v>12.33153252742126</v>
      </c>
      <c r="AK201" s="33">
        <v>7.1933939743290702</v>
      </c>
      <c r="AL201" s="34">
        <v>7.1933939743290702</v>
      </c>
      <c r="AM201" s="34">
        <v>3.0828831318553158</v>
      </c>
      <c r="AN201" s="34">
        <v>5.1381385530921921</v>
      </c>
      <c r="AO201" s="34">
        <v>3.0828831318553158</v>
      </c>
      <c r="AP201" s="34">
        <v>30.82883131855316</v>
      </c>
      <c r="AQ201" s="34">
        <v>16.442043369895021</v>
      </c>
      <c r="AR201" s="39"/>
    </row>
    <row r="202" spans="1:44" ht="19.5" customHeight="1">
      <c r="A202" s="64">
        <f t="shared" ref="A202:A204" si="13">A201+1</f>
        <v>6</v>
      </c>
      <c r="B202" s="16" t="s">
        <v>3007</v>
      </c>
      <c r="C202" s="58" t="s">
        <v>290</v>
      </c>
      <c r="D202" s="56" t="s">
        <v>3008</v>
      </c>
      <c r="E202" s="30"/>
      <c r="F202" s="32">
        <v>0</v>
      </c>
      <c r="G202" s="32">
        <v>56640.698943655698</v>
      </c>
      <c r="H202" s="32">
        <v>56640.698943655698</v>
      </c>
      <c r="I202" s="33">
        <v>0</v>
      </c>
      <c r="J202" s="33">
        <v>0</v>
      </c>
      <c r="K202" s="34">
        <v>0</v>
      </c>
      <c r="L202" s="33">
        <v>0</v>
      </c>
      <c r="M202" s="34">
        <v>0</v>
      </c>
      <c r="N202" s="34">
        <v>0</v>
      </c>
      <c r="O202" s="33">
        <v>0</v>
      </c>
      <c r="P202" s="34">
        <v>0</v>
      </c>
      <c r="Q202" s="33">
        <v>0</v>
      </c>
      <c r="R202" s="33">
        <v>0</v>
      </c>
      <c r="S202" s="33">
        <v>0</v>
      </c>
      <c r="T202" s="34">
        <v>0</v>
      </c>
      <c r="U202" s="34">
        <v>0</v>
      </c>
      <c r="V202" s="34">
        <v>0</v>
      </c>
      <c r="W202" s="34">
        <v>0</v>
      </c>
      <c r="X202" s="34">
        <v>0</v>
      </c>
      <c r="Y202" s="34">
        <v>0</v>
      </c>
      <c r="Z202" s="34"/>
      <c r="AA202" s="33">
        <v>19.700251942082222</v>
      </c>
      <c r="AB202" s="33">
        <v>19.700251942082222</v>
      </c>
      <c r="AC202" s="34">
        <v>6.56675064736074</v>
      </c>
      <c r="AD202" s="33">
        <v>10.50680103577719</v>
      </c>
      <c r="AE202" s="34">
        <v>13.13350129472148</v>
      </c>
      <c r="AF202" s="34">
        <v>7.8801007768328892</v>
      </c>
      <c r="AG202" s="33">
        <v>7.8801007768328892</v>
      </c>
      <c r="AH202" s="34">
        <v>15.76020155366578</v>
      </c>
      <c r="AI202" s="33">
        <v>13.13350129472148</v>
      </c>
      <c r="AJ202" s="33">
        <v>15.76020155366578</v>
      </c>
      <c r="AK202" s="33">
        <v>9.1934509063050367</v>
      </c>
      <c r="AL202" s="34">
        <v>9.1934509063050367</v>
      </c>
      <c r="AM202" s="34">
        <v>3.9400503884164451</v>
      </c>
      <c r="AN202" s="34">
        <v>6.56675064736074</v>
      </c>
      <c r="AO202" s="34">
        <v>3.9400503884164451</v>
      </c>
      <c r="AP202" s="34">
        <v>39.400503884164443</v>
      </c>
      <c r="AQ202" s="34">
        <v>21.01360207155437</v>
      </c>
      <c r="AR202" s="39"/>
    </row>
    <row r="203" spans="1:44" ht="19.5" customHeight="1">
      <c r="A203" s="64">
        <f t="shared" si="13"/>
        <v>7</v>
      </c>
      <c r="B203" s="56" t="s">
        <v>3015</v>
      </c>
      <c r="C203" s="30" t="s">
        <v>159</v>
      </c>
      <c r="D203" s="56" t="s">
        <v>3016</v>
      </c>
      <c r="E203" s="30"/>
      <c r="F203" s="32">
        <v>121723.20884092701</v>
      </c>
      <c r="G203" s="32">
        <v>43288.165376721401</v>
      </c>
      <c r="H203" s="32">
        <v>165011.37421764841</v>
      </c>
      <c r="I203" s="33">
        <v>42.336657669962399</v>
      </c>
      <c r="J203" s="33">
        <v>42.336657669962399</v>
      </c>
      <c r="K203" s="34">
        <v>14.1122192233208</v>
      </c>
      <c r="L203" s="33">
        <v>22.579550757313282</v>
      </c>
      <c r="M203" s="34">
        <v>28.224438446641599</v>
      </c>
      <c r="N203" s="34">
        <v>16.93466306798496</v>
      </c>
      <c r="O203" s="33">
        <v>16.93466306798496</v>
      </c>
      <c r="P203" s="34">
        <v>33.869326135969921</v>
      </c>
      <c r="Q203" s="33">
        <v>28.224438446641599</v>
      </c>
      <c r="R203" s="33">
        <v>33.869326135969921</v>
      </c>
      <c r="S203" s="33">
        <v>19.757106912649121</v>
      </c>
      <c r="T203" s="34">
        <v>19.757106912649121</v>
      </c>
      <c r="U203" s="34">
        <v>8.4673315339924802</v>
      </c>
      <c r="V203" s="34">
        <v>14.1122192233208</v>
      </c>
      <c r="W203" s="34">
        <v>8.4673315339924802</v>
      </c>
      <c r="X203" s="34">
        <v>84.673315339924798</v>
      </c>
      <c r="Y203" s="34">
        <v>45.159101514626563</v>
      </c>
      <c r="Z203" s="34"/>
      <c r="AA203" s="33">
        <v>15.05609535080521</v>
      </c>
      <c r="AB203" s="33">
        <v>15.05609535080521</v>
      </c>
      <c r="AC203" s="34">
        <v>5.0186984502684044</v>
      </c>
      <c r="AD203" s="33">
        <v>8.0299175204294464</v>
      </c>
      <c r="AE203" s="34">
        <v>10.037396900536811</v>
      </c>
      <c r="AF203" s="34">
        <v>6.0224381403220848</v>
      </c>
      <c r="AG203" s="33">
        <v>6.0224381403220848</v>
      </c>
      <c r="AH203" s="34">
        <v>12.04487628064417</v>
      </c>
      <c r="AI203" s="33">
        <v>10.037396900536811</v>
      </c>
      <c r="AJ203" s="33">
        <v>12.04487628064417</v>
      </c>
      <c r="AK203" s="33">
        <v>7.026177830375766</v>
      </c>
      <c r="AL203" s="34">
        <v>7.026177830375766</v>
      </c>
      <c r="AM203" s="34">
        <v>3.011219070161042</v>
      </c>
      <c r="AN203" s="34">
        <v>5.0186984502684044</v>
      </c>
      <c r="AO203" s="34">
        <v>3.011219070161042</v>
      </c>
      <c r="AP203" s="34">
        <v>30.11219070161042</v>
      </c>
      <c r="AQ203" s="34">
        <v>16.059835040858889</v>
      </c>
      <c r="AR203" s="39"/>
    </row>
    <row r="204" spans="1:44" ht="19.5" customHeight="1">
      <c r="A204" s="64">
        <f t="shared" si="13"/>
        <v>8</v>
      </c>
      <c r="B204" s="16" t="s">
        <v>3028</v>
      </c>
      <c r="C204" s="30" t="s">
        <v>230</v>
      </c>
      <c r="D204" s="56" t="s">
        <v>3031</v>
      </c>
      <c r="E204" s="30"/>
      <c r="F204" s="32">
        <v>122723.20884092701</v>
      </c>
      <c r="G204" s="32">
        <v>55733.512922528796</v>
      </c>
      <c r="H204" s="32">
        <v>178456.7217634558</v>
      </c>
      <c r="I204" s="33">
        <v>42.684468560532082</v>
      </c>
      <c r="J204" s="33">
        <v>42.684468560532082</v>
      </c>
      <c r="K204" s="34">
        <v>14.22815618684403</v>
      </c>
      <c r="L204" s="33">
        <v>22.765049898950441</v>
      </c>
      <c r="M204" s="34">
        <v>28.45631237368805</v>
      </c>
      <c r="N204" s="34">
        <v>17.073787424212831</v>
      </c>
      <c r="O204" s="33">
        <v>17.073787424212831</v>
      </c>
      <c r="P204" s="34">
        <v>34.14757484842567</v>
      </c>
      <c r="Q204" s="33">
        <v>28.45631237368805</v>
      </c>
      <c r="R204" s="33">
        <v>34.14757484842567</v>
      </c>
      <c r="S204" s="33">
        <v>19.919418661581641</v>
      </c>
      <c r="T204" s="34">
        <v>19.919418661581641</v>
      </c>
      <c r="U204" s="34">
        <v>8.5368937121064175</v>
      </c>
      <c r="V204" s="34">
        <v>14.22815618684403</v>
      </c>
      <c r="W204" s="34">
        <v>8.5368937121064175</v>
      </c>
      <c r="X204" s="34">
        <v>85.368937121064164</v>
      </c>
      <c r="Y204" s="34">
        <v>45.530099797900888</v>
      </c>
      <c r="Z204" s="34"/>
      <c r="AA204" s="33">
        <v>19.384722764161701</v>
      </c>
      <c r="AB204" s="33">
        <v>19.384722764161701</v>
      </c>
      <c r="AC204" s="34">
        <v>6.4615742547205679</v>
      </c>
      <c r="AD204" s="33">
        <v>10.33851880755291</v>
      </c>
      <c r="AE204" s="34">
        <v>12.923148509441139</v>
      </c>
      <c r="AF204" s="34">
        <v>7.7538891056646824</v>
      </c>
      <c r="AG204" s="33">
        <v>7.7538891056646824</v>
      </c>
      <c r="AH204" s="34">
        <v>15.507778211329359</v>
      </c>
      <c r="AI204" s="33">
        <v>12.923148509441139</v>
      </c>
      <c r="AJ204" s="33">
        <v>15.507778211329359</v>
      </c>
      <c r="AK204" s="33">
        <v>9.0462039566087959</v>
      </c>
      <c r="AL204" s="34">
        <v>9.0462039566087959</v>
      </c>
      <c r="AM204" s="34">
        <v>3.8769445528323412</v>
      </c>
      <c r="AN204" s="34">
        <v>6.4615742547205679</v>
      </c>
      <c r="AO204" s="34">
        <v>3.8769445528323412</v>
      </c>
      <c r="AP204" s="34">
        <v>38.769445528323409</v>
      </c>
      <c r="AQ204" s="34">
        <v>20.677037615105821</v>
      </c>
      <c r="AR204" s="39"/>
    </row>
    <row r="205" spans="1:44" ht="19.5" customHeight="1">
      <c r="A205" s="83"/>
      <c r="B205" s="76" t="s">
        <v>3041</v>
      </c>
      <c r="C205" s="51" t="s">
        <v>997</v>
      </c>
      <c r="D205" s="63" t="s">
        <v>3042</v>
      </c>
      <c r="E205" s="51">
        <v>4</v>
      </c>
      <c r="F205" s="52">
        <v>262462.71815233101</v>
      </c>
      <c r="G205" s="52">
        <v>199980.7585162154</v>
      </c>
      <c r="H205" s="52">
        <v>462443.47666854638</v>
      </c>
      <c r="I205" s="53">
        <v>91.287391741902084</v>
      </c>
      <c r="J205" s="53">
        <v>91.287391741902084</v>
      </c>
      <c r="K205" s="54">
        <v>30.42913058063402</v>
      </c>
      <c r="L205" s="53">
        <v>48.68660892901444</v>
      </c>
      <c r="M205" s="54">
        <v>60.858261161268047</v>
      </c>
      <c r="N205" s="54">
        <v>36.514956696760827</v>
      </c>
      <c r="O205" s="53">
        <v>36.514956696760827</v>
      </c>
      <c r="P205" s="54">
        <v>73.029913393521667</v>
      </c>
      <c r="Q205" s="53">
        <v>60.858261161268047</v>
      </c>
      <c r="R205" s="53">
        <v>73.029913393521667</v>
      </c>
      <c r="S205" s="53">
        <v>42.600782812887637</v>
      </c>
      <c r="T205" s="54">
        <v>42.600782812887637</v>
      </c>
      <c r="U205" s="54">
        <v>18.25747834838042</v>
      </c>
      <c r="V205" s="54">
        <v>30.42913058063402</v>
      </c>
      <c r="W205" s="54">
        <v>18.25747834838042</v>
      </c>
      <c r="X205" s="54">
        <v>182.5747834838042</v>
      </c>
      <c r="Y205" s="54">
        <v>97.37321785802888</v>
      </c>
      <c r="Z205" s="54"/>
      <c r="AA205" s="53">
        <v>69.55548571632572</v>
      </c>
      <c r="AB205" s="53">
        <v>69.55548571632572</v>
      </c>
      <c r="AC205" s="54">
        <v>23.185161905441909</v>
      </c>
      <c r="AD205" s="53">
        <v>37.096259048707047</v>
      </c>
      <c r="AE205" s="54">
        <v>46.370323810883811</v>
      </c>
      <c r="AF205" s="54">
        <v>27.822194286530291</v>
      </c>
      <c r="AG205" s="53">
        <v>27.822194286530291</v>
      </c>
      <c r="AH205" s="54">
        <v>55.644388573060567</v>
      </c>
      <c r="AI205" s="53">
        <v>46.370323810883811</v>
      </c>
      <c r="AJ205" s="53">
        <v>55.644388573060567</v>
      </c>
      <c r="AK205" s="53">
        <v>32.459226667618672</v>
      </c>
      <c r="AL205" s="54">
        <v>32.459226667618672</v>
      </c>
      <c r="AM205" s="54">
        <v>13.91109714326514</v>
      </c>
      <c r="AN205" s="54">
        <v>23.185161905441909</v>
      </c>
      <c r="AO205" s="54">
        <v>13.91109714326514</v>
      </c>
      <c r="AP205" s="54">
        <v>139.11097143265141</v>
      </c>
      <c r="AQ205" s="54">
        <v>74.192518097414094</v>
      </c>
      <c r="AR205" s="37"/>
    </row>
    <row r="206" spans="1:44" ht="19.5" customHeight="1">
      <c r="A206" s="64">
        <f>A204+1</f>
        <v>9</v>
      </c>
      <c r="B206" s="155" t="s">
        <v>133</v>
      </c>
      <c r="C206" s="154" t="s">
        <v>94</v>
      </c>
      <c r="D206" s="56" t="s">
        <v>3058</v>
      </c>
      <c r="E206" s="30"/>
      <c r="F206" s="32">
        <v>0</v>
      </c>
      <c r="G206" s="32">
        <v>50160.161630275928</v>
      </c>
      <c r="H206" s="32">
        <v>50160.161630275928</v>
      </c>
      <c r="I206" s="33">
        <v>0</v>
      </c>
      <c r="J206" s="33">
        <v>0</v>
      </c>
      <c r="K206" s="34">
        <v>0</v>
      </c>
      <c r="L206" s="33">
        <v>0</v>
      </c>
      <c r="M206" s="34">
        <v>0</v>
      </c>
      <c r="N206" s="34">
        <v>0</v>
      </c>
      <c r="O206" s="33">
        <v>0</v>
      </c>
      <c r="P206" s="34">
        <v>0</v>
      </c>
      <c r="Q206" s="33">
        <v>0</v>
      </c>
      <c r="R206" s="33">
        <v>0</v>
      </c>
      <c r="S206" s="33">
        <v>0</v>
      </c>
      <c r="T206" s="34">
        <v>0</v>
      </c>
      <c r="U206" s="34">
        <v>0</v>
      </c>
      <c r="V206" s="34">
        <v>0</v>
      </c>
      <c r="W206" s="34">
        <v>0</v>
      </c>
      <c r="X206" s="34">
        <v>0</v>
      </c>
      <c r="Y206" s="34">
        <v>0</v>
      </c>
      <c r="Z206" s="54"/>
      <c r="AA206" s="33">
        <v>17.446250487745541</v>
      </c>
      <c r="AB206" s="33">
        <v>17.446250487745541</v>
      </c>
      <c r="AC206" s="34">
        <v>5.8154168292485124</v>
      </c>
      <c r="AD206" s="33">
        <v>9.304666926797621</v>
      </c>
      <c r="AE206" s="34">
        <v>11.63083365849702</v>
      </c>
      <c r="AF206" s="34">
        <v>6.9785001950982162</v>
      </c>
      <c r="AG206" s="33">
        <v>6.9785001950982162</v>
      </c>
      <c r="AH206" s="34">
        <v>13.957000390196431</v>
      </c>
      <c r="AI206" s="33">
        <v>11.63083365849702</v>
      </c>
      <c r="AJ206" s="33">
        <v>13.957000390196431</v>
      </c>
      <c r="AK206" s="33">
        <v>8.1415835609479181</v>
      </c>
      <c r="AL206" s="34">
        <v>8.1415835609479181</v>
      </c>
      <c r="AM206" s="34">
        <v>3.4892500975491081</v>
      </c>
      <c r="AN206" s="34">
        <v>5.8154168292485124</v>
      </c>
      <c r="AO206" s="34">
        <v>3.4892500975491081</v>
      </c>
      <c r="AP206" s="34">
        <v>34.892500975491082</v>
      </c>
      <c r="AQ206" s="34">
        <v>18.609333853595238</v>
      </c>
      <c r="AR206" s="39"/>
    </row>
    <row r="207" spans="1:44" ht="19.5" customHeight="1">
      <c r="A207" s="64">
        <f t="shared" ref="A207:A209" si="14">A206+1</f>
        <v>10</v>
      </c>
      <c r="B207" s="56" t="s">
        <v>3066</v>
      </c>
      <c r="C207" s="30" t="s">
        <v>230</v>
      </c>
      <c r="D207" s="56" t="s">
        <v>3067</v>
      </c>
      <c r="E207" s="30"/>
      <c r="F207" s="32">
        <v>122723.20884092701</v>
      </c>
      <c r="G207" s="32">
        <v>50160.161630275928</v>
      </c>
      <c r="H207" s="32">
        <v>172883.37047120291</v>
      </c>
      <c r="I207" s="33">
        <v>42.684468560532082</v>
      </c>
      <c r="J207" s="33">
        <v>42.684468560532082</v>
      </c>
      <c r="K207" s="34">
        <v>14.22815618684403</v>
      </c>
      <c r="L207" s="33">
        <v>22.765049898950441</v>
      </c>
      <c r="M207" s="34">
        <v>28.45631237368805</v>
      </c>
      <c r="N207" s="34">
        <v>17.073787424212831</v>
      </c>
      <c r="O207" s="33">
        <v>17.073787424212831</v>
      </c>
      <c r="P207" s="34">
        <v>34.14757484842567</v>
      </c>
      <c r="Q207" s="33">
        <v>28.45631237368805</v>
      </c>
      <c r="R207" s="33">
        <v>34.14757484842567</v>
      </c>
      <c r="S207" s="33">
        <v>19.919418661581641</v>
      </c>
      <c r="T207" s="34">
        <v>19.919418661581641</v>
      </c>
      <c r="U207" s="34">
        <v>8.5368937121064175</v>
      </c>
      <c r="V207" s="34">
        <v>14.22815618684403</v>
      </c>
      <c r="W207" s="34">
        <v>8.5368937121064175</v>
      </c>
      <c r="X207" s="34">
        <v>85.368937121064164</v>
      </c>
      <c r="Y207" s="34">
        <v>45.530099797900888</v>
      </c>
      <c r="Z207" s="54"/>
      <c r="AA207" s="33">
        <v>17.446250487745541</v>
      </c>
      <c r="AB207" s="33">
        <v>17.446250487745541</v>
      </c>
      <c r="AC207" s="34">
        <v>5.8154168292485124</v>
      </c>
      <c r="AD207" s="33">
        <v>9.304666926797621</v>
      </c>
      <c r="AE207" s="34">
        <v>11.63083365849702</v>
      </c>
      <c r="AF207" s="34">
        <v>6.9785001950982162</v>
      </c>
      <c r="AG207" s="33">
        <v>6.9785001950982162</v>
      </c>
      <c r="AH207" s="34">
        <v>13.957000390196431</v>
      </c>
      <c r="AI207" s="33">
        <v>11.63083365849702</v>
      </c>
      <c r="AJ207" s="33">
        <v>13.957000390196431</v>
      </c>
      <c r="AK207" s="33">
        <v>8.1415835609479181</v>
      </c>
      <c r="AL207" s="34">
        <v>8.1415835609479181</v>
      </c>
      <c r="AM207" s="34">
        <v>3.4892500975491081</v>
      </c>
      <c r="AN207" s="34">
        <v>5.8154168292485124</v>
      </c>
      <c r="AO207" s="34">
        <v>3.4892500975491081</v>
      </c>
      <c r="AP207" s="34">
        <v>34.892500975491082</v>
      </c>
      <c r="AQ207" s="34">
        <v>18.609333853595238</v>
      </c>
      <c r="AR207" s="37"/>
    </row>
    <row r="208" spans="1:44" ht="19.5" customHeight="1">
      <c r="A208" s="64">
        <f t="shared" si="14"/>
        <v>11</v>
      </c>
      <c r="B208" s="56" t="s">
        <v>3075</v>
      </c>
      <c r="C208" s="30" t="s">
        <v>159</v>
      </c>
      <c r="D208" s="56" t="s">
        <v>3078</v>
      </c>
      <c r="E208" s="30"/>
      <c r="F208" s="32">
        <v>120723.20884092709</v>
      </c>
      <c r="G208" s="32">
        <v>43288.165376721401</v>
      </c>
      <c r="H208" s="32">
        <v>164011.3742176485</v>
      </c>
      <c r="I208" s="33">
        <v>41.988846779392759</v>
      </c>
      <c r="J208" s="33">
        <v>41.988846779392759</v>
      </c>
      <c r="K208" s="34">
        <v>13.99628225979759</v>
      </c>
      <c r="L208" s="33">
        <v>22.39405161567614</v>
      </c>
      <c r="M208" s="34">
        <v>27.99256451959517</v>
      </c>
      <c r="N208" s="34">
        <v>16.7955387117571</v>
      </c>
      <c r="O208" s="33">
        <v>16.7955387117571</v>
      </c>
      <c r="P208" s="34">
        <v>33.591077423514207</v>
      </c>
      <c r="Q208" s="33">
        <v>27.99256451959517</v>
      </c>
      <c r="R208" s="33">
        <v>33.591077423514207</v>
      </c>
      <c r="S208" s="33">
        <v>19.594795163716618</v>
      </c>
      <c r="T208" s="34">
        <v>19.594795163716618</v>
      </c>
      <c r="U208" s="34">
        <v>8.3977693558785518</v>
      </c>
      <c r="V208" s="34">
        <v>13.99628225979759</v>
      </c>
      <c r="W208" s="34">
        <v>8.3977693558785518</v>
      </c>
      <c r="X208" s="34">
        <v>83.977693558785518</v>
      </c>
      <c r="Y208" s="34">
        <v>44.788103231352281</v>
      </c>
      <c r="Z208" s="54"/>
      <c r="AA208" s="33">
        <v>15.05609535080521</v>
      </c>
      <c r="AB208" s="33">
        <v>15.05609535080521</v>
      </c>
      <c r="AC208" s="34">
        <v>5.0186984502684044</v>
      </c>
      <c r="AD208" s="33">
        <v>8.0299175204294464</v>
      </c>
      <c r="AE208" s="34">
        <v>10.037396900536811</v>
      </c>
      <c r="AF208" s="34">
        <v>6.0224381403220848</v>
      </c>
      <c r="AG208" s="33">
        <v>6.0224381403220848</v>
      </c>
      <c r="AH208" s="34">
        <v>12.04487628064417</v>
      </c>
      <c r="AI208" s="33">
        <v>10.037396900536811</v>
      </c>
      <c r="AJ208" s="33">
        <v>12.04487628064417</v>
      </c>
      <c r="AK208" s="33">
        <v>7.026177830375766</v>
      </c>
      <c r="AL208" s="34">
        <v>7.026177830375766</v>
      </c>
      <c r="AM208" s="34">
        <v>3.011219070161042</v>
      </c>
      <c r="AN208" s="34">
        <v>5.0186984502684044</v>
      </c>
      <c r="AO208" s="34">
        <v>3.011219070161042</v>
      </c>
      <c r="AP208" s="34">
        <v>30.11219070161042</v>
      </c>
      <c r="AQ208" s="34">
        <v>16.059835040858889</v>
      </c>
      <c r="AR208" s="37"/>
    </row>
    <row r="209" spans="1:44" ht="19.5" customHeight="1">
      <c r="A209" s="64">
        <f t="shared" si="14"/>
        <v>12</v>
      </c>
      <c r="B209" s="16" t="s">
        <v>3090</v>
      </c>
      <c r="C209" s="58" t="s">
        <v>132</v>
      </c>
      <c r="D209" s="56" t="s">
        <v>3091</v>
      </c>
      <c r="E209" s="30"/>
      <c r="F209" s="32">
        <v>0</v>
      </c>
      <c r="G209" s="32">
        <v>60104.768838021257</v>
      </c>
      <c r="H209" s="32">
        <v>60104.768838021257</v>
      </c>
      <c r="I209" s="53">
        <v>0</v>
      </c>
      <c r="J209" s="53">
        <v>0</v>
      </c>
      <c r="K209" s="54">
        <v>0</v>
      </c>
      <c r="L209" s="53">
        <v>0</v>
      </c>
      <c r="M209" s="54">
        <v>0</v>
      </c>
      <c r="N209" s="54">
        <v>0</v>
      </c>
      <c r="O209" s="53">
        <v>0</v>
      </c>
      <c r="P209" s="54">
        <v>0</v>
      </c>
      <c r="Q209" s="53">
        <v>0</v>
      </c>
      <c r="R209" s="53">
        <v>0</v>
      </c>
      <c r="S209" s="53">
        <v>0</v>
      </c>
      <c r="T209" s="54">
        <v>0</v>
      </c>
      <c r="U209" s="54">
        <v>0</v>
      </c>
      <c r="V209" s="54">
        <v>0</v>
      </c>
      <c r="W209" s="54">
        <v>0</v>
      </c>
      <c r="X209" s="54">
        <v>0</v>
      </c>
      <c r="Y209" s="54">
        <v>0</v>
      </c>
      <c r="Z209" s="34"/>
      <c r="AA209" s="33">
        <v>20.905093177037141</v>
      </c>
      <c r="AB209" s="33">
        <v>20.905093177037141</v>
      </c>
      <c r="AC209" s="34">
        <v>6.9683643923457117</v>
      </c>
      <c r="AD209" s="33">
        <v>11.14938302775314</v>
      </c>
      <c r="AE209" s="34">
        <v>13.93672878469142</v>
      </c>
      <c r="AF209" s="34">
        <v>8.3620372708148558</v>
      </c>
      <c r="AG209" s="33">
        <v>8.3620372708148558</v>
      </c>
      <c r="AH209" s="34">
        <v>16.724074541629712</v>
      </c>
      <c r="AI209" s="33">
        <v>13.93672878469142</v>
      </c>
      <c r="AJ209" s="33">
        <v>16.724074541629712</v>
      </c>
      <c r="AK209" s="33">
        <v>9.7557101492839973</v>
      </c>
      <c r="AL209" s="34">
        <v>9.7557101492839973</v>
      </c>
      <c r="AM209" s="34">
        <v>4.1810186354074279</v>
      </c>
      <c r="AN209" s="34">
        <v>6.9683643923457117</v>
      </c>
      <c r="AO209" s="34">
        <v>4.1810186354074279</v>
      </c>
      <c r="AP209" s="34">
        <v>41.810186354074283</v>
      </c>
      <c r="AQ209" s="34">
        <v>22.298766055506281</v>
      </c>
      <c r="AR209" s="37"/>
    </row>
    <row r="210" spans="1:44" ht="19.5" customHeight="1">
      <c r="A210" s="83"/>
      <c r="B210" s="76" t="s">
        <v>3101</v>
      </c>
      <c r="C210" s="51" t="s">
        <v>185</v>
      </c>
      <c r="D210" s="63" t="s">
        <v>3102</v>
      </c>
      <c r="E210" s="51">
        <v>4</v>
      </c>
      <c r="F210" s="52">
        <v>243446.41768185419</v>
      </c>
      <c r="G210" s="52">
        <v>203713.25747529449</v>
      </c>
      <c r="H210" s="52">
        <v>447159.67515714868</v>
      </c>
      <c r="I210" s="33">
        <v>84.673315339924841</v>
      </c>
      <c r="J210" s="33">
        <v>84.673315339924841</v>
      </c>
      <c r="K210" s="34">
        <v>28.22443844664161</v>
      </c>
      <c r="L210" s="33">
        <v>45.159101514626578</v>
      </c>
      <c r="M210" s="34">
        <v>56.448876893283227</v>
      </c>
      <c r="N210" s="34">
        <v>33.869326135969942</v>
      </c>
      <c r="O210" s="33">
        <v>33.869326135969942</v>
      </c>
      <c r="P210" s="34">
        <v>67.738652271939884</v>
      </c>
      <c r="Q210" s="33">
        <v>56.448876893283227</v>
      </c>
      <c r="R210" s="33">
        <v>67.738652271939884</v>
      </c>
      <c r="S210" s="33">
        <v>39.514213825298263</v>
      </c>
      <c r="T210" s="34">
        <v>39.514213825298263</v>
      </c>
      <c r="U210" s="34">
        <v>16.934663067984971</v>
      </c>
      <c r="V210" s="34">
        <v>28.22443844664161</v>
      </c>
      <c r="W210" s="34">
        <v>16.934663067984971</v>
      </c>
      <c r="X210" s="34">
        <v>169.34663067984971</v>
      </c>
      <c r="Y210" s="34">
        <v>90.318203029253169</v>
      </c>
      <c r="Z210" s="54"/>
      <c r="AA210" s="33">
        <v>70.853689503333428</v>
      </c>
      <c r="AB210" s="33">
        <v>70.853689503333428</v>
      </c>
      <c r="AC210" s="34">
        <v>23.61789650111114</v>
      </c>
      <c r="AD210" s="33">
        <v>37.788634401777827</v>
      </c>
      <c r="AE210" s="34">
        <v>47.23579300222228</v>
      </c>
      <c r="AF210" s="34">
        <v>28.34147580133337</v>
      </c>
      <c r="AG210" s="33">
        <v>28.34147580133337</v>
      </c>
      <c r="AH210" s="34">
        <v>56.682951602666741</v>
      </c>
      <c r="AI210" s="33">
        <v>47.23579300222228</v>
      </c>
      <c r="AJ210" s="33">
        <v>56.682951602666741</v>
      </c>
      <c r="AK210" s="33">
        <v>33.0650551015556</v>
      </c>
      <c r="AL210" s="34">
        <v>33.0650551015556</v>
      </c>
      <c r="AM210" s="34">
        <v>14.17073790066669</v>
      </c>
      <c r="AN210" s="34">
        <v>23.61789650111114</v>
      </c>
      <c r="AO210" s="34">
        <v>14.17073790066669</v>
      </c>
      <c r="AP210" s="34">
        <v>141.70737900666691</v>
      </c>
      <c r="AQ210" s="34">
        <v>75.577268803555654</v>
      </c>
      <c r="AR210" s="39"/>
    </row>
    <row r="211" spans="1:44" ht="19.5" customHeight="1">
      <c r="A211" s="67"/>
      <c r="B211" s="118" t="s">
        <v>133</v>
      </c>
      <c r="C211" s="67" t="s">
        <v>435</v>
      </c>
      <c r="D211" s="156" t="s">
        <v>3110</v>
      </c>
      <c r="E211" s="67">
        <f>E210+E205+E200</f>
        <v>12</v>
      </c>
      <c r="F211" s="68">
        <v>635909.13583418517</v>
      </c>
      <c r="G211" s="68">
        <v>581727.64914990833</v>
      </c>
      <c r="H211" s="68">
        <v>1217636.7849840941</v>
      </c>
      <c r="I211" s="33">
        <v>221.17612285588581</v>
      </c>
      <c r="J211" s="33">
        <v>221.17612285588581</v>
      </c>
      <c r="K211" s="34">
        <v>73.72537428529526</v>
      </c>
      <c r="L211" s="33">
        <v>117.9605988564724</v>
      </c>
      <c r="M211" s="34">
        <v>147.45074857059049</v>
      </c>
      <c r="N211" s="34">
        <v>88.470449142354326</v>
      </c>
      <c r="O211" s="33">
        <v>88.470449142354326</v>
      </c>
      <c r="P211" s="34">
        <v>176.94089828470871</v>
      </c>
      <c r="Q211" s="33">
        <v>147.45074857059049</v>
      </c>
      <c r="R211" s="33">
        <v>176.94089828470871</v>
      </c>
      <c r="S211" s="33">
        <v>103.21552399941341</v>
      </c>
      <c r="T211" s="34">
        <v>103.21552399941341</v>
      </c>
      <c r="U211" s="34">
        <v>44.235224571177163</v>
      </c>
      <c r="V211" s="34">
        <v>73.72537428529526</v>
      </c>
      <c r="W211" s="34">
        <v>44.235224571177163</v>
      </c>
      <c r="X211" s="34">
        <v>442.35224571177162</v>
      </c>
      <c r="Y211" s="34">
        <v>235.92119771294489</v>
      </c>
      <c r="Z211" s="34"/>
      <c r="AA211" s="33">
        <v>202.331211719838</v>
      </c>
      <c r="AB211" s="33">
        <v>202.331211719838</v>
      </c>
      <c r="AC211" s="34">
        <v>67.443737239946003</v>
      </c>
      <c r="AD211" s="33">
        <v>107.9099795839136</v>
      </c>
      <c r="AE211" s="34">
        <v>134.88747447989201</v>
      </c>
      <c r="AF211" s="34">
        <v>80.932484687935201</v>
      </c>
      <c r="AG211" s="33">
        <v>80.932484687935201</v>
      </c>
      <c r="AH211" s="34">
        <v>161.8649693758704</v>
      </c>
      <c r="AI211" s="33">
        <v>134.88747447989201</v>
      </c>
      <c r="AJ211" s="33">
        <v>161.8649693758704</v>
      </c>
      <c r="AK211" s="33">
        <v>94.421232135924413</v>
      </c>
      <c r="AL211" s="34">
        <v>94.421232135924413</v>
      </c>
      <c r="AM211" s="34">
        <v>40.4662423439676</v>
      </c>
      <c r="AN211" s="34">
        <v>67.443737239946003</v>
      </c>
      <c r="AO211" s="34">
        <v>40.4662423439676</v>
      </c>
      <c r="AP211" s="34">
        <v>404.66242343967599</v>
      </c>
      <c r="AQ211" s="34">
        <v>215.81995916782719</v>
      </c>
      <c r="AR211" s="121"/>
    </row>
    <row r="212" spans="1:44" ht="19.5" customHeight="1">
      <c r="A212" s="51"/>
      <c r="B212" s="76"/>
      <c r="C212" s="51"/>
      <c r="D212" s="63"/>
      <c r="E212" s="51"/>
      <c r="F212" s="32"/>
      <c r="G212" s="32"/>
      <c r="H212" s="32">
        <v>0</v>
      </c>
      <c r="I212" s="33">
        <v>0</v>
      </c>
      <c r="J212" s="33">
        <v>0</v>
      </c>
      <c r="K212" s="34">
        <v>0</v>
      </c>
      <c r="L212" s="33">
        <v>0</v>
      </c>
      <c r="M212" s="34">
        <v>0</v>
      </c>
      <c r="N212" s="34">
        <v>0</v>
      </c>
      <c r="O212" s="33">
        <v>0</v>
      </c>
      <c r="P212" s="34">
        <v>0</v>
      </c>
      <c r="Q212" s="33">
        <v>0</v>
      </c>
      <c r="R212" s="33">
        <v>0</v>
      </c>
      <c r="S212" s="33">
        <v>0</v>
      </c>
      <c r="T212" s="34">
        <v>0</v>
      </c>
      <c r="U212" s="34">
        <v>0</v>
      </c>
      <c r="V212" s="34">
        <v>0</v>
      </c>
      <c r="W212" s="34">
        <v>0</v>
      </c>
      <c r="X212" s="34">
        <v>0</v>
      </c>
      <c r="Y212" s="34">
        <v>0</v>
      </c>
      <c r="Z212" s="34"/>
      <c r="AA212" s="33">
        <v>0</v>
      </c>
      <c r="AB212" s="33">
        <v>0</v>
      </c>
      <c r="AC212" s="34">
        <v>0</v>
      </c>
      <c r="AD212" s="33">
        <v>0</v>
      </c>
      <c r="AE212" s="34">
        <v>0</v>
      </c>
      <c r="AF212" s="34">
        <v>0</v>
      </c>
      <c r="AG212" s="33">
        <v>0</v>
      </c>
      <c r="AH212" s="34">
        <v>0</v>
      </c>
      <c r="AI212" s="33">
        <v>0</v>
      </c>
      <c r="AJ212" s="33">
        <v>0</v>
      </c>
      <c r="AK212" s="33">
        <v>0</v>
      </c>
      <c r="AL212" s="34">
        <v>0</v>
      </c>
      <c r="AM212" s="34">
        <v>0</v>
      </c>
      <c r="AN212" s="34">
        <v>0</v>
      </c>
      <c r="AO212" s="34">
        <v>0</v>
      </c>
      <c r="AP212" s="34">
        <v>0</v>
      </c>
      <c r="AQ212" s="34">
        <v>0</v>
      </c>
      <c r="AR212" s="39"/>
    </row>
    <row r="213" spans="1:44" ht="19.5" customHeight="1">
      <c r="A213" s="76" t="s">
        <v>3134</v>
      </c>
      <c r="B213" s="76"/>
      <c r="C213" s="51"/>
      <c r="D213" s="63"/>
      <c r="E213" s="51"/>
      <c r="F213" s="32"/>
      <c r="G213" s="32"/>
      <c r="H213" s="32">
        <v>0</v>
      </c>
      <c r="I213" s="33">
        <v>0</v>
      </c>
      <c r="J213" s="33">
        <v>0</v>
      </c>
      <c r="K213" s="34">
        <v>0</v>
      </c>
      <c r="L213" s="33">
        <v>0</v>
      </c>
      <c r="M213" s="34">
        <v>0</v>
      </c>
      <c r="N213" s="34">
        <v>0</v>
      </c>
      <c r="O213" s="33">
        <v>0</v>
      </c>
      <c r="P213" s="34">
        <v>0</v>
      </c>
      <c r="Q213" s="33">
        <v>0</v>
      </c>
      <c r="R213" s="33">
        <v>0</v>
      </c>
      <c r="S213" s="33">
        <v>0</v>
      </c>
      <c r="T213" s="34">
        <v>0</v>
      </c>
      <c r="U213" s="34">
        <v>0</v>
      </c>
      <c r="V213" s="34">
        <v>0</v>
      </c>
      <c r="W213" s="34">
        <v>0</v>
      </c>
      <c r="X213" s="34">
        <v>0</v>
      </c>
      <c r="Y213" s="34">
        <v>0</v>
      </c>
      <c r="Z213" s="34"/>
      <c r="AA213" s="33">
        <v>0</v>
      </c>
      <c r="AB213" s="33">
        <v>0</v>
      </c>
      <c r="AC213" s="34">
        <v>0</v>
      </c>
      <c r="AD213" s="33">
        <v>0</v>
      </c>
      <c r="AE213" s="34">
        <v>0</v>
      </c>
      <c r="AF213" s="34">
        <v>0</v>
      </c>
      <c r="AG213" s="33">
        <v>0</v>
      </c>
      <c r="AH213" s="34">
        <v>0</v>
      </c>
      <c r="AI213" s="33">
        <v>0</v>
      </c>
      <c r="AJ213" s="33">
        <v>0</v>
      </c>
      <c r="AK213" s="33">
        <v>0</v>
      </c>
      <c r="AL213" s="34">
        <v>0</v>
      </c>
      <c r="AM213" s="34">
        <v>0</v>
      </c>
      <c r="AN213" s="34">
        <v>0</v>
      </c>
      <c r="AO213" s="34">
        <v>0</v>
      </c>
      <c r="AP213" s="34">
        <v>0</v>
      </c>
      <c r="AQ213" s="34">
        <v>0</v>
      </c>
      <c r="AR213" s="39"/>
    </row>
    <row r="214" spans="1:44" ht="19.5" customHeight="1">
      <c r="A214" s="64">
        <v>1</v>
      </c>
      <c r="B214" s="155" t="s">
        <v>133</v>
      </c>
      <c r="C214" s="154" t="s">
        <v>94</v>
      </c>
      <c r="D214" s="56" t="s">
        <v>3145</v>
      </c>
      <c r="E214" s="30"/>
      <c r="F214" s="32">
        <v>20716</v>
      </c>
      <c r="G214" s="32">
        <v>31829.53336523633</v>
      </c>
      <c r="H214" s="32">
        <v>52545.533365236333</v>
      </c>
      <c r="I214" s="33">
        <v>7.2052504090415637</v>
      </c>
      <c r="J214" s="33">
        <v>7.2052504090415637</v>
      </c>
      <c r="K214" s="34">
        <v>2.401750136347188</v>
      </c>
      <c r="L214" s="33">
        <v>3.8428002181555012</v>
      </c>
      <c r="M214" s="34">
        <v>4.8035002726943752</v>
      </c>
      <c r="N214" s="34">
        <v>2.882100163616625</v>
      </c>
      <c r="O214" s="33">
        <v>2.882100163616625</v>
      </c>
      <c r="P214" s="34">
        <v>5.7642003272332509</v>
      </c>
      <c r="Q214" s="33">
        <v>4.8035002726943752</v>
      </c>
      <c r="R214" s="33">
        <v>5.7642003272332509</v>
      </c>
      <c r="S214" s="33">
        <v>3.3624501908860629</v>
      </c>
      <c r="T214" s="34">
        <v>3.3624501908860629</v>
      </c>
      <c r="U214" s="34">
        <v>1.441050081808313</v>
      </c>
      <c r="V214" s="34">
        <v>2.401750136347188</v>
      </c>
      <c r="W214" s="34">
        <v>1.441050081808313</v>
      </c>
      <c r="X214" s="34">
        <v>14.410500818083131</v>
      </c>
      <c r="Y214" s="34">
        <v>7.6856004363110024</v>
      </c>
      <c r="Z214" s="34"/>
      <c r="AA214" s="33">
        <v>11.0706583461803</v>
      </c>
      <c r="AB214" s="33">
        <v>11.0706583461803</v>
      </c>
      <c r="AC214" s="34">
        <v>3.6902194487267672</v>
      </c>
      <c r="AD214" s="33">
        <v>5.9043511179628281</v>
      </c>
      <c r="AE214" s="34">
        <v>7.3804388974535344</v>
      </c>
      <c r="AF214" s="34">
        <v>4.4282633384721208</v>
      </c>
      <c r="AG214" s="33">
        <v>4.4282633384721208</v>
      </c>
      <c r="AH214" s="34">
        <v>8.8565266769442417</v>
      </c>
      <c r="AI214" s="33">
        <v>7.3804388974535344</v>
      </c>
      <c r="AJ214" s="33">
        <v>8.8565266769442417</v>
      </c>
      <c r="AK214" s="33">
        <v>5.1663072282174749</v>
      </c>
      <c r="AL214" s="34">
        <v>5.1663072282174749</v>
      </c>
      <c r="AM214" s="34">
        <v>2.21413166923606</v>
      </c>
      <c r="AN214" s="34">
        <v>3.6902194487267672</v>
      </c>
      <c r="AO214" s="34">
        <v>2.21413166923606</v>
      </c>
      <c r="AP214" s="34">
        <v>22.141316692360601</v>
      </c>
      <c r="AQ214" s="34">
        <v>11.80870223592566</v>
      </c>
      <c r="AR214" s="39"/>
    </row>
    <row r="215" spans="1:44" ht="19.5" customHeight="1">
      <c r="A215" s="64">
        <f>A214+1</f>
        <v>2</v>
      </c>
      <c r="B215" s="16" t="s">
        <v>3160</v>
      </c>
      <c r="C215" s="30" t="s">
        <v>94</v>
      </c>
      <c r="D215" s="56" t="s">
        <v>3161</v>
      </c>
      <c r="E215" s="30"/>
      <c r="F215" s="32">
        <v>108650.8879568344</v>
      </c>
      <c r="G215" s="32">
        <v>22293.405169011519</v>
      </c>
      <c r="H215" s="32">
        <v>130944.2931258459</v>
      </c>
      <c r="I215" s="33">
        <v>37.789962101453483</v>
      </c>
      <c r="J215" s="33">
        <v>37.789962101453483</v>
      </c>
      <c r="K215" s="34">
        <v>12.596654033817821</v>
      </c>
      <c r="L215" s="33">
        <v>20.154646454108519</v>
      </c>
      <c r="M215" s="34">
        <v>25.193308067635648</v>
      </c>
      <c r="N215" s="34">
        <v>15.11598484058139</v>
      </c>
      <c r="O215" s="33">
        <v>15.11598484058139</v>
      </c>
      <c r="P215" s="34">
        <v>30.231969681162781</v>
      </c>
      <c r="Q215" s="33">
        <v>25.193308067635648</v>
      </c>
      <c r="R215" s="33">
        <v>30.231969681162781</v>
      </c>
      <c r="S215" s="33">
        <v>17.63531564734496</v>
      </c>
      <c r="T215" s="34">
        <v>17.63531564734496</v>
      </c>
      <c r="U215" s="34">
        <v>7.5579924202906961</v>
      </c>
      <c r="V215" s="34">
        <v>12.596654033817821</v>
      </c>
      <c r="W215" s="34">
        <v>7.5579924202906961</v>
      </c>
      <c r="X215" s="34">
        <v>75.579924202906952</v>
      </c>
      <c r="Y215" s="34">
        <v>40.309292908217053</v>
      </c>
      <c r="Z215" s="34"/>
      <c r="AA215" s="33">
        <v>7.7538891056646833</v>
      </c>
      <c r="AB215" s="33">
        <v>7.7538891056646833</v>
      </c>
      <c r="AC215" s="34">
        <v>2.584629701888228</v>
      </c>
      <c r="AD215" s="33">
        <v>4.1354075230211649</v>
      </c>
      <c r="AE215" s="34">
        <v>5.1692594037764552</v>
      </c>
      <c r="AF215" s="34">
        <v>3.1015556422658741</v>
      </c>
      <c r="AG215" s="33">
        <v>3.1015556422658741</v>
      </c>
      <c r="AH215" s="34">
        <v>6.2031112845317473</v>
      </c>
      <c r="AI215" s="33">
        <v>5.1692594037764552</v>
      </c>
      <c r="AJ215" s="33">
        <v>6.2031112845317473</v>
      </c>
      <c r="AK215" s="33">
        <v>3.6184815826435188</v>
      </c>
      <c r="AL215" s="34">
        <v>3.6184815826435188</v>
      </c>
      <c r="AM215" s="34">
        <v>1.5507778211329371</v>
      </c>
      <c r="AN215" s="34">
        <v>2.584629701888228</v>
      </c>
      <c r="AO215" s="34">
        <v>1.5507778211329371</v>
      </c>
      <c r="AP215" s="34">
        <v>15.50777821132937</v>
      </c>
      <c r="AQ215" s="34">
        <v>8.2708150460423298</v>
      </c>
      <c r="AR215" s="39"/>
    </row>
    <row r="216" spans="1:44" ht="19.5" customHeight="1">
      <c r="A216" s="83"/>
      <c r="B216" s="76" t="s">
        <v>133</v>
      </c>
      <c r="C216" s="51" t="s">
        <v>389</v>
      </c>
      <c r="D216" s="63" t="s">
        <v>3174</v>
      </c>
      <c r="E216" s="51">
        <v>2</v>
      </c>
      <c r="F216" s="52">
        <v>129366.8879568344</v>
      </c>
      <c r="G216" s="52">
        <v>54122.938534247849</v>
      </c>
      <c r="H216" s="52">
        <v>183489.82649108229</v>
      </c>
      <c r="I216" s="53">
        <v>44.995212510495037</v>
      </c>
      <c r="J216" s="53">
        <v>44.995212510495037</v>
      </c>
      <c r="K216" s="54">
        <v>14.99840417016501</v>
      </c>
      <c r="L216" s="53">
        <v>23.997446672264029</v>
      </c>
      <c r="M216" s="54">
        <v>29.996808340330031</v>
      </c>
      <c r="N216" s="54">
        <v>17.998085004198021</v>
      </c>
      <c r="O216" s="53">
        <v>17.998085004198021</v>
      </c>
      <c r="P216" s="54">
        <v>35.996170008396042</v>
      </c>
      <c r="Q216" s="53">
        <v>29.996808340330031</v>
      </c>
      <c r="R216" s="53">
        <v>35.996170008396042</v>
      </c>
      <c r="S216" s="53">
        <v>20.997765838231022</v>
      </c>
      <c r="T216" s="54">
        <v>20.997765838231022</v>
      </c>
      <c r="U216" s="54">
        <v>8.9990425020990106</v>
      </c>
      <c r="V216" s="54">
        <v>14.99840417016501</v>
      </c>
      <c r="W216" s="54">
        <v>8.9990425020990106</v>
      </c>
      <c r="X216" s="54">
        <v>89.990425020990088</v>
      </c>
      <c r="Y216" s="54">
        <v>47.994893344528052</v>
      </c>
      <c r="Z216" s="54"/>
      <c r="AA216" s="53">
        <v>18.824547451844989</v>
      </c>
      <c r="AB216" s="53">
        <v>18.824547451844989</v>
      </c>
      <c r="AC216" s="54">
        <v>6.2748491506149948</v>
      </c>
      <c r="AD216" s="53">
        <v>10.03975864098399</v>
      </c>
      <c r="AE216" s="54">
        <v>12.54969830122999</v>
      </c>
      <c r="AF216" s="54">
        <v>7.5298189807379954</v>
      </c>
      <c r="AG216" s="53">
        <v>7.5298189807379954</v>
      </c>
      <c r="AH216" s="54">
        <v>15.059637961475991</v>
      </c>
      <c r="AI216" s="53">
        <v>12.54969830122999</v>
      </c>
      <c r="AJ216" s="53">
        <v>15.059637961475991</v>
      </c>
      <c r="AK216" s="53">
        <v>8.7847888108609951</v>
      </c>
      <c r="AL216" s="54">
        <v>8.7847888108609951</v>
      </c>
      <c r="AM216" s="54">
        <v>3.7649094903689981</v>
      </c>
      <c r="AN216" s="54">
        <v>6.2748491506149948</v>
      </c>
      <c r="AO216" s="54">
        <v>3.7649094903689981</v>
      </c>
      <c r="AP216" s="54">
        <v>37.649094903689978</v>
      </c>
      <c r="AQ216" s="54">
        <v>20.079517281967991</v>
      </c>
      <c r="AR216" s="37"/>
    </row>
    <row r="217" spans="1:44" ht="19.5" customHeight="1">
      <c r="A217" s="55">
        <f>A215+1</f>
        <v>3</v>
      </c>
      <c r="B217" s="56" t="s">
        <v>2164</v>
      </c>
      <c r="C217" s="30" t="s">
        <v>230</v>
      </c>
      <c r="D217" s="100" t="s">
        <v>3186</v>
      </c>
      <c r="E217" s="30"/>
      <c r="F217" s="32">
        <v>120723.20884092709</v>
      </c>
      <c r="G217" s="32">
        <v>33440.107753517281</v>
      </c>
      <c r="H217" s="32">
        <v>154163.31659444439</v>
      </c>
      <c r="I217" s="33">
        <v>41.988846779392759</v>
      </c>
      <c r="J217" s="33">
        <v>41.988846779392759</v>
      </c>
      <c r="K217" s="34">
        <v>13.99628225979759</v>
      </c>
      <c r="L217" s="33">
        <v>22.39405161567614</v>
      </c>
      <c r="M217" s="34">
        <v>27.99256451959517</v>
      </c>
      <c r="N217" s="34">
        <v>16.7955387117571</v>
      </c>
      <c r="O217" s="33">
        <v>16.7955387117571</v>
      </c>
      <c r="P217" s="34">
        <v>33.591077423514207</v>
      </c>
      <c r="Q217" s="33">
        <v>27.99256451959517</v>
      </c>
      <c r="R217" s="33">
        <v>33.591077423514207</v>
      </c>
      <c r="S217" s="33">
        <v>19.594795163716618</v>
      </c>
      <c r="T217" s="34">
        <v>19.594795163716618</v>
      </c>
      <c r="U217" s="34">
        <v>8.3977693558785518</v>
      </c>
      <c r="V217" s="34">
        <v>13.99628225979759</v>
      </c>
      <c r="W217" s="34">
        <v>8.3977693558785518</v>
      </c>
      <c r="X217" s="34">
        <v>83.977693558785518</v>
      </c>
      <c r="Y217" s="34">
        <v>44.788103231352281</v>
      </c>
      <c r="Z217" s="54"/>
      <c r="AA217" s="33">
        <v>11.63083365849702</v>
      </c>
      <c r="AB217" s="33">
        <v>11.63083365849702</v>
      </c>
      <c r="AC217" s="34">
        <v>3.8769445528323412</v>
      </c>
      <c r="AD217" s="33">
        <v>6.2031112845317473</v>
      </c>
      <c r="AE217" s="34">
        <v>7.7538891056646824</v>
      </c>
      <c r="AF217" s="34">
        <v>4.6523334633988096</v>
      </c>
      <c r="AG217" s="33">
        <v>4.6523334633988096</v>
      </c>
      <c r="AH217" s="34">
        <v>9.304666926797621</v>
      </c>
      <c r="AI217" s="33">
        <v>7.7538891056646824</v>
      </c>
      <c r="AJ217" s="33">
        <v>9.304666926797621</v>
      </c>
      <c r="AK217" s="33">
        <v>5.4277223739652776</v>
      </c>
      <c r="AL217" s="34">
        <v>5.4277223739652776</v>
      </c>
      <c r="AM217" s="34">
        <v>2.3261667316994048</v>
      </c>
      <c r="AN217" s="34">
        <v>3.8769445528323412</v>
      </c>
      <c r="AO217" s="34">
        <v>2.3261667316994048</v>
      </c>
      <c r="AP217" s="34">
        <v>23.26166731699405</v>
      </c>
      <c r="AQ217" s="34">
        <v>12.406222569063489</v>
      </c>
      <c r="AR217" s="39"/>
    </row>
    <row r="218" spans="1:44" ht="19.5" customHeight="1">
      <c r="A218" s="64">
        <f t="shared" ref="A218:A220" si="15">A217+1</f>
        <v>4</v>
      </c>
      <c r="B218" s="56" t="s">
        <v>3197</v>
      </c>
      <c r="C218" s="30" t="s">
        <v>230</v>
      </c>
      <c r="D218" s="56" t="s">
        <v>3200</v>
      </c>
      <c r="E218" s="30"/>
      <c r="F218" s="32">
        <v>120723.20884092709</v>
      </c>
      <c r="G218" s="32">
        <v>27866.756461264398</v>
      </c>
      <c r="H218" s="32">
        <v>148589.9653021915</v>
      </c>
      <c r="I218" s="33">
        <v>41.988846779392759</v>
      </c>
      <c r="J218" s="33">
        <v>41.988846779392759</v>
      </c>
      <c r="K218" s="34">
        <v>13.99628225979759</v>
      </c>
      <c r="L218" s="33">
        <v>22.39405161567614</v>
      </c>
      <c r="M218" s="34">
        <v>27.99256451959517</v>
      </c>
      <c r="N218" s="34">
        <v>16.7955387117571</v>
      </c>
      <c r="O218" s="33">
        <v>16.7955387117571</v>
      </c>
      <c r="P218" s="34">
        <v>33.591077423514207</v>
      </c>
      <c r="Q218" s="33">
        <v>27.99256451959517</v>
      </c>
      <c r="R218" s="33">
        <v>33.591077423514207</v>
      </c>
      <c r="S218" s="33">
        <v>19.594795163716618</v>
      </c>
      <c r="T218" s="34">
        <v>19.594795163716618</v>
      </c>
      <c r="U218" s="34">
        <v>8.3977693558785518</v>
      </c>
      <c r="V218" s="34">
        <v>13.99628225979759</v>
      </c>
      <c r="W218" s="34">
        <v>8.3977693558785518</v>
      </c>
      <c r="X218" s="34">
        <v>83.977693558785518</v>
      </c>
      <c r="Y218" s="34">
        <v>44.788103231352281</v>
      </c>
      <c r="Z218" s="34"/>
      <c r="AA218" s="33">
        <v>9.6923613820808523</v>
      </c>
      <c r="AB218" s="33">
        <v>9.6923613820808523</v>
      </c>
      <c r="AC218" s="34">
        <v>3.230787127360284</v>
      </c>
      <c r="AD218" s="33">
        <v>5.1692594037764552</v>
      </c>
      <c r="AE218" s="34">
        <v>6.4615742547205679</v>
      </c>
      <c r="AF218" s="34">
        <v>3.8769445528323412</v>
      </c>
      <c r="AG218" s="33">
        <v>3.8769445528323412</v>
      </c>
      <c r="AH218" s="34">
        <v>7.7538891056646824</v>
      </c>
      <c r="AI218" s="33">
        <v>6.4615742547205679</v>
      </c>
      <c r="AJ218" s="33">
        <v>7.7538891056646824</v>
      </c>
      <c r="AK218" s="33">
        <v>4.523101978304398</v>
      </c>
      <c r="AL218" s="34">
        <v>4.523101978304398</v>
      </c>
      <c r="AM218" s="34">
        <v>1.938472276416171</v>
      </c>
      <c r="AN218" s="34">
        <v>3.230787127360284</v>
      </c>
      <c r="AO218" s="34">
        <v>1.938472276416171</v>
      </c>
      <c r="AP218" s="34">
        <v>19.384722764161701</v>
      </c>
      <c r="AQ218" s="34">
        <v>10.33851880755291</v>
      </c>
      <c r="AR218" s="37"/>
    </row>
    <row r="219" spans="1:44" ht="19.5" customHeight="1">
      <c r="A219" s="64">
        <f t="shared" si="15"/>
        <v>5</v>
      </c>
      <c r="B219" s="155" t="s">
        <v>133</v>
      </c>
      <c r="C219" s="154" t="s">
        <v>94</v>
      </c>
      <c r="D219" s="56" t="s">
        <v>3212</v>
      </c>
      <c r="E219" s="30"/>
      <c r="F219" s="32">
        <v>30000</v>
      </c>
      <c r="G219" s="32">
        <v>30682.264030303781</v>
      </c>
      <c r="H219" s="32">
        <v>60682.264030303777</v>
      </c>
      <c r="I219" s="33">
        <v>10.43432671709051</v>
      </c>
      <c r="J219" s="33">
        <v>10.43432671709051</v>
      </c>
      <c r="K219" s="34">
        <v>3.4781089056968351</v>
      </c>
      <c r="L219" s="33">
        <v>5.564974249114937</v>
      </c>
      <c r="M219" s="34">
        <v>6.9562178113936701</v>
      </c>
      <c r="N219" s="34">
        <v>4.173730686836203</v>
      </c>
      <c r="O219" s="33">
        <v>4.173730686836203</v>
      </c>
      <c r="P219" s="34">
        <v>8.3474613736724059</v>
      </c>
      <c r="Q219" s="33">
        <v>6.9562178113936701</v>
      </c>
      <c r="R219" s="33">
        <v>8.3474613736724059</v>
      </c>
      <c r="S219" s="33">
        <v>4.8693524679755704</v>
      </c>
      <c r="T219" s="34">
        <v>4.8693524679755704</v>
      </c>
      <c r="U219" s="34">
        <v>2.086865343418101</v>
      </c>
      <c r="V219" s="34">
        <v>3.4781089056968351</v>
      </c>
      <c r="W219" s="34">
        <v>2.086865343418101</v>
      </c>
      <c r="X219" s="34">
        <v>20.868653434181009</v>
      </c>
      <c r="Y219" s="34">
        <v>11.12994849822987</v>
      </c>
      <c r="Z219" s="34"/>
      <c r="AA219" s="33">
        <v>10.671625577074121</v>
      </c>
      <c r="AB219" s="33">
        <v>10.671625577074121</v>
      </c>
      <c r="AC219" s="34">
        <v>3.5572085256913741</v>
      </c>
      <c r="AD219" s="33">
        <v>5.691533641106199</v>
      </c>
      <c r="AE219" s="34">
        <v>7.1144170513827483</v>
      </c>
      <c r="AF219" s="34">
        <v>4.2686502308296497</v>
      </c>
      <c r="AG219" s="33">
        <v>4.2686502308296497</v>
      </c>
      <c r="AH219" s="34">
        <v>8.5373004616592993</v>
      </c>
      <c r="AI219" s="33">
        <v>7.1144170513827483</v>
      </c>
      <c r="AJ219" s="33">
        <v>8.5373004616592993</v>
      </c>
      <c r="AK219" s="33">
        <v>4.9800919359679243</v>
      </c>
      <c r="AL219" s="34">
        <v>4.9800919359679243</v>
      </c>
      <c r="AM219" s="34">
        <v>2.1343251154148248</v>
      </c>
      <c r="AN219" s="34">
        <v>3.5572085256913741</v>
      </c>
      <c r="AO219" s="34">
        <v>2.1343251154148248</v>
      </c>
      <c r="AP219" s="34">
        <v>21.343251154148248</v>
      </c>
      <c r="AQ219" s="34">
        <v>11.3830672822124</v>
      </c>
      <c r="AR219" s="39"/>
    </row>
    <row r="220" spans="1:44" ht="19.5" customHeight="1">
      <c r="A220" s="64">
        <f t="shared" si="15"/>
        <v>6</v>
      </c>
      <c r="B220" s="155" t="s">
        <v>133</v>
      </c>
      <c r="C220" s="154" t="s">
        <v>94</v>
      </c>
      <c r="D220" s="56" t="s">
        <v>3224</v>
      </c>
      <c r="E220" s="30"/>
      <c r="F220" s="32">
        <v>37929.05362205673</v>
      </c>
      <c r="G220" s="32">
        <v>33440.107753517281</v>
      </c>
      <c r="H220" s="32">
        <v>71369.161375574011</v>
      </c>
      <c r="I220" s="33">
        <v>13.192137918752829</v>
      </c>
      <c r="J220" s="33">
        <v>13.192137918752829</v>
      </c>
      <c r="K220" s="34">
        <v>4.3973793062509436</v>
      </c>
      <c r="L220" s="33">
        <v>7.0358068900015107</v>
      </c>
      <c r="M220" s="34">
        <v>8.7947586125018873</v>
      </c>
      <c r="N220" s="34">
        <v>5.2768551675011333</v>
      </c>
      <c r="O220" s="33">
        <v>5.2768551675011333</v>
      </c>
      <c r="P220" s="34">
        <v>10.55371033500227</v>
      </c>
      <c r="Q220" s="33">
        <v>8.7947586125018873</v>
      </c>
      <c r="R220" s="33">
        <v>10.55371033500227</v>
      </c>
      <c r="S220" s="33">
        <v>6.156331028751322</v>
      </c>
      <c r="T220" s="34">
        <v>6.156331028751322</v>
      </c>
      <c r="U220" s="34">
        <v>2.6384275837505671</v>
      </c>
      <c r="V220" s="34">
        <v>4.3973793062509436</v>
      </c>
      <c r="W220" s="34">
        <v>2.6384275837505671</v>
      </c>
      <c r="X220" s="34">
        <v>26.384275837505669</v>
      </c>
      <c r="Y220" s="34">
        <v>14.07161378000302</v>
      </c>
      <c r="Z220" s="34"/>
      <c r="AA220" s="33">
        <v>11.63083365849702</v>
      </c>
      <c r="AB220" s="33">
        <v>11.63083365849702</v>
      </c>
      <c r="AC220" s="34">
        <v>3.8769445528323412</v>
      </c>
      <c r="AD220" s="33">
        <v>6.2031112845317473</v>
      </c>
      <c r="AE220" s="34">
        <v>7.7538891056646824</v>
      </c>
      <c r="AF220" s="34">
        <v>4.6523334633988096</v>
      </c>
      <c r="AG220" s="33">
        <v>4.6523334633988096</v>
      </c>
      <c r="AH220" s="34">
        <v>9.304666926797621</v>
      </c>
      <c r="AI220" s="33">
        <v>7.7538891056646824</v>
      </c>
      <c r="AJ220" s="33">
        <v>9.304666926797621</v>
      </c>
      <c r="AK220" s="33">
        <v>5.4277223739652776</v>
      </c>
      <c r="AL220" s="34">
        <v>5.4277223739652776</v>
      </c>
      <c r="AM220" s="34">
        <v>2.3261667316994048</v>
      </c>
      <c r="AN220" s="34">
        <v>3.8769445528323412</v>
      </c>
      <c r="AO220" s="34">
        <v>2.3261667316994048</v>
      </c>
      <c r="AP220" s="34">
        <v>23.26166731699405</v>
      </c>
      <c r="AQ220" s="34">
        <v>12.406222569063489</v>
      </c>
      <c r="AR220" s="39"/>
    </row>
    <row r="221" spans="1:44" ht="19.5" customHeight="1">
      <c r="A221" s="83"/>
      <c r="B221" s="63" t="s">
        <v>3229</v>
      </c>
      <c r="C221" s="51" t="s">
        <v>185</v>
      </c>
      <c r="D221" s="63" t="s">
        <v>3230</v>
      </c>
      <c r="E221" s="51">
        <v>4</v>
      </c>
      <c r="F221" s="52">
        <v>309375.47130391101</v>
      </c>
      <c r="G221" s="52">
        <v>125429.2359986027</v>
      </c>
      <c r="H221" s="52">
        <v>434804.70730251382</v>
      </c>
      <c r="I221" s="53">
        <v>107.60415819462889</v>
      </c>
      <c r="J221" s="53">
        <v>107.60415819462889</v>
      </c>
      <c r="K221" s="54">
        <v>35.868052731542953</v>
      </c>
      <c r="L221" s="53">
        <v>57.38888437046873</v>
      </c>
      <c r="M221" s="54">
        <v>71.736105463085906</v>
      </c>
      <c r="N221" s="54">
        <v>43.041663277851548</v>
      </c>
      <c r="O221" s="53">
        <v>43.041663277851548</v>
      </c>
      <c r="P221" s="54">
        <v>86.083326555703096</v>
      </c>
      <c r="Q221" s="53">
        <v>71.736105463085906</v>
      </c>
      <c r="R221" s="53">
        <v>86.083326555703096</v>
      </c>
      <c r="S221" s="53">
        <v>50.215273824160143</v>
      </c>
      <c r="T221" s="54">
        <v>50.215273824160143</v>
      </c>
      <c r="U221" s="54">
        <v>21.52083163892577</v>
      </c>
      <c r="V221" s="54">
        <v>35.868052731542953</v>
      </c>
      <c r="W221" s="54">
        <v>21.52083163892577</v>
      </c>
      <c r="X221" s="54">
        <v>215.2083163892577</v>
      </c>
      <c r="Y221" s="54">
        <v>114.7777687409375</v>
      </c>
      <c r="Z221" s="54"/>
      <c r="AA221" s="53">
        <v>43.625654276149021</v>
      </c>
      <c r="AB221" s="53">
        <v>43.625654276149021</v>
      </c>
      <c r="AC221" s="54">
        <v>14.541884758716339</v>
      </c>
      <c r="AD221" s="53">
        <v>23.26701561394615</v>
      </c>
      <c r="AE221" s="54">
        <v>29.083769517432678</v>
      </c>
      <c r="AF221" s="54">
        <v>17.45026171045961</v>
      </c>
      <c r="AG221" s="53">
        <v>17.45026171045961</v>
      </c>
      <c r="AH221" s="54">
        <v>34.900523420919221</v>
      </c>
      <c r="AI221" s="53">
        <v>29.083769517432678</v>
      </c>
      <c r="AJ221" s="53">
        <v>34.900523420919221</v>
      </c>
      <c r="AK221" s="53">
        <v>20.358638662202878</v>
      </c>
      <c r="AL221" s="54">
        <v>20.358638662202878</v>
      </c>
      <c r="AM221" s="54">
        <v>8.7251308552298052</v>
      </c>
      <c r="AN221" s="54">
        <v>14.541884758716339</v>
      </c>
      <c r="AO221" s="54">
        <v>8.7251308552298052</v>
      </c>
      <c r="AP221" s="54">
        <v>87.251308552298042</v>
      </c>
      <c r="AQ221" s="54">
        <v>46.534031227892292</v>
      </c>
      <c r="AR221" s="37"/>
    </row>
    <row r="222" spans="1:44" ht="19.5" customHeight="1">
      <c r="A222" s="64">
        <f>A220+1</f>
        <v>7</v>
      </c>
      <c r="B222" s="56" t="s">
        <v>3242</v>
      </c>
      <c r="C222" s="30" t="s">
        <v>94</v>
      </c>
      <c r="D222" s="56" t="s">
        <v>3243</v>
      </c>
      <c r="E222" s="79"/>
      <c r="F222" s="32">
        <v>130000</v>
      </c>
      <c r="G222" s="32">
        <v>87190.717661485949</v>
      </c>
      <c r="H222" s="32">
        <v>217190.71766148589</v>
      </c>
      <c r="I222" s="33">
        <v>45.215415774058862</v>
      </c>
      <c r="J222" s="33">
        <v>45.215415774058862</v>
      </c>
      <c r="K222" s="34">
        <v>15.071805258019619</v>
      </c>
      <c r="L222" s="33">
        <v>24.114888412831391</v>
      </c>
      <c r="M222" s="34">
        <v>30.143610516039239</v>
      </c>
      <c r="N222" s="34">
        <v>18.08616630962355</v>
      </c>
      <c r="O222" s="33">
        <v>18.08616630962355</v>
      </c>
      <c r="P222" s="34">
        <v>36.172332619247094</v>
      </c>
      <c r="Q222" s="33">
        <v>30.143610516039239</v>
      </c>
      <c r="R222" s="33">
        <v>36.172332619247094</v>
      </c>
      <c r="S222" s="33">
        <v>21.100527361227471</v>
      </c>
      <c r="T222" s="34">
        <v>21.100527361227471</v>
      </c>
      <c r="U222" s="34">
        <v>9.0430831548117734</v>
      </c>
      <c r="V222" s="34">
        <v>15.071805258019619</v>
      </c>
      <c r="W222" s="34">
        <v>9.0430831548117734</v>
      </c>
      <c r="X222" s="34">
        <v>90.430831548117723</v>
      </c>
      <c r="Y222" s="34">
        <v>48.229776825662782</v>
      </c>
      <c r="Z222" s="34"/>
      <c r="AA222" s="33">
        <v>30.32588115925126</v>
      </c>
      <c r="AB222" s="33">
        <v>30.32588115925126</v>
      </c>
      <c r="AC222" s="34">
        <v>10.108627053083749</v>
      </c>
      <c r="AD222" s="33">
        <v>16.17380328493401</v>
      </c>
      <c r="AE222" s="34">
        <v>20.217254106167509</v>
      </c>
      <c r="AF222" s="34">
        <v>12.1303524637005</v>
      </c>
      <c r="AG222" s="33">
        <v>12.1303524637005</v>
      </c>
      <c r="AH222" s="34">
        <v>24.260704927401012</v>
      </c>
      <c r="AI222" s="33">
        <v>20.217254106167509</v>
      </c>
      <c r="AJ222" s="33">
        <v>24.260704927401012</v>
      </c>
      <c r="AK222" s="33">
        <v>14.152077874317261</v>
      </c>
      <c r="AL222" s="34">
        <v>14.152077874317261</v>
      </c>
      <c r="AM222" s="34">
        <v>6.065176231850252</v>
      </c>
      <c r="AN222" s="34">
        <v>10.108627053083749</v>
      </c>
      <c r="AO222" s="34">
        <v>6.065176231850252</v>
      </c>
      <c r="AP222" s="34">
        <v>60.65176231850252</v>
      </c>
      <c r="AQ222" s="34">
        <v>32.347606569868013</v>
      </c>
      <c r="AR222" s="39"/>
    </row>
    <row r="223" spans="1:44" ht="19.5" customHeight="1">
      <c r="A223" s="64">
        <f t="shared" ref="A223:A226" si="16">A222+1</f>
        <v>8</v>
      </c>
      <c r="B223" s="56" t="s">
        <v>2052</v>
      </c>
      <c r="C223" s="79" t="s">
        <v>230</v>
      </c>
      <c r="D223" s="56" t="s">
        <v>3253</v>
      </c>
      <c r="E223" s="30"/>
      <c r="F223" s="32">
        <v>120723.20884092709</v>
      </c>
      <c r="G223" s="32">
        <v>27866.756461264398</v>
      </c>
      <c r="H223" s="32">
        <v>148589.9653021915</v>
      </c>
      <c r="I223" s="33">
        <v>41.988846779392759</v>
      </c>
      <c r="J223" s="33">
        <v>41.988846779392759</v>
      </c>
      <c r="K223" s="34">
        <v>13.99628225979759</v>
      </c>
      <c r="L223" s="33">
        <v>22.39405161567614</v>
      </c>
      <c r="M223" s="34">
        <v>27.99256451959517</v>
      </c>
      <c r="N223" s="34">
        <v>16.7955387117571</v>
      </c>
      <c r="O223" s="33">
        <v>16.7955387117571</v>
      </c>
      <c r="P223" s="34">
        <v>33.591077423514207</v>
      </c>
      <c r="Q223" s="33">
        <v>27.99256451959517</v>
      </c>
      <c r="R223" s="33">
        <v>33.591077423514207</v>
      </c>
      <c r="S223" s="33">
        <v>19.594795163716618</v>
      </c>
      <c r="T223" s="34">
        <v>19.594795163716618</v>
      </c>
      <c r="U223" s="34">
        <v>8.3977693558785518</v>
      </c>
      <c r="V223" s="34">
        <v>13.99628225979759</v>
      </c>
      <c r="W223" s="34">
        <v>8.3977693558785518</v>
      </c>
      <c r="X223" s="34">
        <v>83.977693558785518</v>
      </c>
      <c r="Y223" s="34">
        <v>44.788103231352281</v>
      </c>
      <c r="Z223" s="34"/>
      <c r="AA223" s="33">
        <v>9.6923613820808523</v>
      </c>
      <c r="AB223" s="33">
        <v>9.6923613820808523</v>
      </c>
      <c r="AC223" s="34">
        <v>3.230787127360284</v>
      </c>
      <c r="AD223" s="33">
        <v>5.1692594037764552</v>
      </c>
      <c r="AE223" s="34">
        <v>6.4615742547205679</v>
      </c>
      <c r="AF223" s="34">
        <v>3.8769445528323412</v>
      </c>
      <c r="AG223" s="33">
        <v>3.8769445528323412</v>
      </c>
      <c r="AH223" s="34">
        <v>7.7538891056646824</v>
      </c>
      <c r="AI223" s="33">
        <v>6.4615742547205679</v>
      </c>
      <c r="AJ223" s="33">
        <v>7.7538891056646824</v>
      </c>
      <c r="AK223" s="33">
        <v>4.523101978304398</v>
      </c>
      <c r="AL223" s="34">
        <v>4.523101978304398</v>
      </c>
      <c r="AM223" s="34">
        <v>1.938472276416171</v>
      </c>
      <c r="AN223" s="34">
        <v>3.230787127360284</v>
      </c>
      <c r="AO223" s="34">
        <v>1.938472276416171</v>
      </c>
      <c r="AP223" s="34">
        <v>19.384722764161701</v>
      </c>
      <c r="AQ223" s="34">
        <v>10.33851880755291</v>
      </c>
      <c r="AR223" s="39"/>
    </row>
    <row r="224" spans="1:44" ht="19.5" customHeight="1">
      <c r="A224" s="64">
        <f t="shared" si="16"/>
        <v>9</v>
      </c>
      <c r="B224" s="155" t="s">
        <v>133</v>
      </c>
      <c r="C224" s="154" t="s">
        <v>94</v>
      </c>
      <c r="D224" s="78" t="s">
        <v>3266</v>
      </c>
      <c r="E224" s="79"/>
      <c r="F224" s="32">
        <v>18016.300470476941</v>
      </c>
      <c r="G224" s="32">
        <v>33440.107753517281</v>
      </c>
      <c r="H224" s="32">
        <v>51456.408223994222</v>
      </c>
      <c r="I224" s="33">
        <v>6.2662655114075942</v>
      </c>
      <c r="J224" s="33">
        <v>6.2662655114075942</v>
      </c>
      <c r="K224" s="34">
        <v>2.0887551704691978</v>
      </c>
      <c r="L224" s="33">
        <v>3.342008272750717</v>
      </c>
      <c r="M224" s="34">
        <v>4.1775103409383956</v>
      </c>
      <c r="N224" s="34">
        <v>2.506506204563038</v>
      </c>
      <c r="O224" s="33">
        <v>2.506506204563038</v>
      </c>
      <c r="P224" s="34">
        <v>5.0130124091260759</v>
      </c>
      <c r="Q224" s="33">
        <v>4.1775103409383956</v>
      </c>
      <c r="R224" s="33">
        <v>5.0130124091260759</v>
      </c>
      <c r="S224" s="33">
        <v>2.9242572386568768</v>
      </c>
      <c r="T224" s="34">
        <v>2.9242572386568768</v>
      </c>
      <c r="U224" s="34">
        <v>1.253253102281519</v>
      </c>
      <c r="V224" s="34">
        <v>2.0887551704691978</v>
      </c>
      <c r="W224" s="34">
        <v>1.253253102281519</v>
      </c>
      <c r="X224" s="34">
        <v>12.53253102281519</v>
      </c>
      <c r="Y224" s="34">
        <v>6.684016545501434</v>
      </c>
      <c r="Z224" s="34"/>
      <c r="AA224" s="33">
        <v>11.63083365849702</v>
      </c>
      <c r="AB224" s="33">
        <v>11.63083365849702</v>
      </c>
      <c r="AC224" s="34">
        <v>3.8769445528323412</v>
      </c>
      <c r="AD224" s="33">
        <v>6.2031112845317473</v>
      </c>
      <c r="AE224" s="34">
        <v>7.7538891056646824</v>
      </c>
      <c r="AF224" s="34">
        <v>4.6523334633988096</v>
      </c>
      <c r="AG224" s="33">
        <v>4.6523334633988096</v>
      </c>
      <c r="AH224" s="34">
        <v>9.304666926797621</v>
      </c>
      <c r="AI224" s="33">
        <v>7.7538891056646824</v>
      </c>
      <c r="AJ224" s="33">
        <v>9.304666926797621</v>
      </c>
      <c r="AK224" s="33">
        <v>5.4277223739652776</v>
      </c>
      <c r="AL224" s="34">
        <v>5.4277223739652776</v>
      </c>
      <c r="AM224" s="34">
        <v>2.3261667316994048</v>
      </c>
      <c r="AN224" s="34">
        <v>3.8769445528323412</v>
      </c>
      <c r="AO224" s="34">
        <v>2.3261667316994048</v>
      </c>
      <c r="AP224" s="34">
        <v>23.26166731699405</v>
      </c>
      <c r="AQ224" s="34">
        <v>12.406222569063489</v>
      </c>
      <c r="AR224" s="39"/>
    </row>
    <row r="225" spans="1:44" ht="19.5" customHeight="1">
      <c r="A225" s="64">
        <f t="shared" si="16"/>
        <v>10</v>
      </c>
      <c r="B225" s="78" t="s">
        <v>3276</v>
      </c>
      <c r="C225" s="30" t="s">
        <v>159</v>
      </c>
      <c r="D225" s="78" t="s">
        <v>3277</v>
      </c>
      <c r="E225" s="79"/>
      <c r="F225" s="32">
        <v>127309.00340452571</v>
      </c>
      <c r="G225" s="32">
        <v>22293.405169011519</v>
      </c>
      <c r="H225" s="32">
        <v>149602.40857353719</v>
      </c>
      <c r="I225" s="33">
        <v>44.279457851666947</v>
      </c>
      <c r="J225" s="33">
        <v>44.279457851666947</v>
      </c>
      <c r="K225" s="34">
        <v>14.75981928388898</v>
      </c>
      <c r="L225" s="33">
        <v>23.615710854222371</v>
      </c>
      <c r="M225" s="34">
        <v>29.51963856777796</v>
      </c>
      <c r="N225" s="34">
        <v>17.711783140666778</v>
      </c>
      <c r="O225" s="33">
        <v>17.711783140666778</v>
      </c>
      <c r="P225" s="34">
        <v>35.423566281333557</v>
      </c>
      <c r="Q225" s="33">
        <v>29.51963856777796</v>
      </c>
      <c r="R225" s="33">
        <v>35.423566281333557</v>
      </c>
      <c r="S225" s="33">
        <v>20.66374699744458</v>
      </c>
      <c r="T225" s="34">
        <v>20.66374699744458</v>
      </c>
      <c r="U225" s="34">
        <v>8.8558915703333891</v>
      </c>
      <c r="V225" s="34">
        <v>14.75981928388898</v>
      </c>
      <c r="W225" s="34">
        <v>8.8558915703333891</v>
      </c>
      <c r="X225" s="34">
        <v>88.558915703333895</v>
      </c>
      <c r="Y225" s="34">
        <v>47.231421708444742</v>
      </c>
      <c r="Z225" s="34"/>
      <c r="AA225" s="33">
        <v>7.7538891056646833</v>
      </c>
      <c r="AB225" s="33">
        <v>7.7538891056646833</v>
      </c>
      <c r="AC225" s="34">
        <v>2.584629701888228</v>
      </c>
      <c r="AD225" s="33">
        <v>4.1354075230211649</v>
      </c>
      <c r="AE225" s="34">
        <v>5.1692594037764552</v>
      </c>
      <c r="AF225" s="34">
        <v>3.1015556422658741</v>
      </c>
      <c r="AG225" s="33">
        <v>3.1015556422658741</v>
      </c>
      <c r="AH225" s="34">
        <v>6.2031112845317473</v>
      </c>
      <c r="AI225" s="33">
        <v>5.1692594037764552</v>
      </c>
      <c r="AJ225" s="33">
        <v>6.2031112845317473</v>
      </c>
      <c r="AK225" s="33">
        <v>3.6184815826435188</v>
      </c>
      <c r="AL225" s="34">
        <v>3.6184815826435188</v>
      </c>
      <c r="AM225" s="34">
        <v>1.5507778211329371</v>
      </c>
      <c r="AN225" s="34">
        <v>2.584629701888228</v>
      </c>
      <c r="AO225" s="34">
        <v>1.5507778211329371</v>
      </c>
      <c r="AP225" s="34">
        <v>15.50777821132937</v>
      </c>
      <c r="AQ225" s="34">
        <v>8.2708150460423298</v>
      </c>
      <c r="AR225" s="39"/>
    </row>
    <row r="226" spans="1:44" ht="19.5" customHeight="1">
      <c r="A226" s="64">
        <f t="shared" si="16"/>
        <v>11</v>
      </c>
      <c r="B226" s="56" t="s">
        <v>3285</v>
      </c>
      <c r="C226" s="58" t="s">
        <v>132</v>
      </c>
      <c r="D226" s="56" t="s">
        <v>3286</v>
      </c>
      <c r="E226" s="30"/>
      <c r="F226" s="32">
        <v>0</v>
      </c>
      <c r="G226" s="32">
        <v>38248.489260558978</v>
      </c>
      <c r="H226" s="32">
        <v>38248.489260558978</v>
      </c>
      <c r="I226" s="53">
        <v>0</v>
      </c>
      <c r="J226" s="53">
        <v>0</v>
      </c>
      <c r="K226" s="54">
        <v>0</v>
      </c>
      <c r="L226" s="53">
        <v>0</v>
      </c>
      <c r="M226" s="54">
        <v>0</v>
      </c>
      <c r="N226" s="54">
        <v>0</v>
      </c>
      <c r="O226" s="53">
        <v>0</v>
      </c>
      <c r="P226" s="54">
        <v>0</v>
      </c>
      <c r="Q226" s="53">
        <v>0</v>
      </c>
      <c r="R226" s="53">
        <v>0</v>
      </c>
      <c r="S226" s="53">
        <v>0</v>
      </c>
      <c r="T226" s="54">
        <v>0</v>
      </c>
      <c r="U226" s="54">
        <v>0</v>
      </c>
      <c r="V226" s="54">
        <v>0</v>
      </c>
      <c r="W226" s="54">
        <v>0</v>
      </c>
      <c r="X226" s="54">
        <v>0</v>
      </c>
      <c r="Y226" s="54">
        <v>0</v>
      </c>
      <c r="Z226" s="34"/>
      <c r="AA226" s="33">
        <v>13.30324111266</v>
      </c>
      <c r="AB226" s="33">
        <v>13.30324111266</v>
      </c>
      <c r="AC226" s="34">
        <v>4.434413704219998</v>
      </c>
      <c r="AD226" s="33">
        <v>7.0950619267519981</v>
      </c>
      <c r="AE226" s="34">
        <v>8.8688274084399961</v>
      </c>
      <c r="AF226" s="34">
        <v>5.3212964450639992</v>
      </c>
      <c r="AG226" s="33">
        <v>5.3212964450639992</v>
      </c>
      <c r="AH226" s="34">
        <v>10.642592890128</v>
      </c>
      <c r="AI226" s="33">
        <v>8.8688274084399961</v>
      </c>
      <c r="AJ226" s="33">
        <v>10.642592890128</v>
      </c>
      <c r="AK226" s="33">
        <v>6.2081791859079987</v>
      </c>
      <c r="AL226" s="34">
        <v>6.2081791859079987</v>
      </c>
      <c r="AM226" s="34">
        <v>2.6606482225320001</v>
      </c>
      <c r="AN226" s="34">
        <v>4.434413704219998</v>
      </c>
      <c r="AO226" s="34">
        <v>2.6606482225320001</v>
      </c>
      <c r="AP226" s="34">
        <v>26.60648222531999</v>
      </c>
      <c r="AQ226" s="34">
        <v>14.190123853504</v>
      </c>
      <c r="AR226" s="39"/>
    </row>
    <row r="227" spans="1:44" ht="19.5" customHeight="1">
      <c r="A227" s="51"/>
      <c r="B227" s="63" t="s">
        <v>3294</v>
      </c>
      <c r="C227" s="51" t="s">
        <v>185</v>
      </c>
      <c r="D227" s="63" t="s">
        <v>3295</v>
      </c>
      <c r="E227" s="51">
        <v>5</v>
      </c>
      <c r="F227" s="52">
        <v>396048.51271592983</v>
      </c>
      <c r="G227" s="52">
        <v>209039.47630583821</v>
      </c>
      <c r="H227" s="52">
        <v>605087.98902176786</v>
      </c>
      <c r="I227" s="33">
        <v>137.74998591652621</v>
      </c>
      <c r="J227" s="33">
        <v>137.74998591652621</v>
      </c>
      <c r="K227" s="34">
        <v>45.916661972175383</v>
      </c>
      <c r="L227" s="33">
        <v>73.466659155480613</v>
      </c>
      <c r="M227" s="34">
        <v>91.833323944350767</v>
      </c>
      <c r="N227" s="34">
        <v>55.099994366610467</v>
      </c>
      <c r="O227" s="33">
        <v>55.099994366610467</v>
      </c>
      <c r="P227" s="34">
        <v>110.19998873322091</v>
      </c>
      <c r="Q227" s="33">
        <v>91.833323944350767</v>
      </c>
      <c r="R227" s="33">
        <v>110.19998873322091</v>
      </c>
      <c r="S227" s="33">
        <v>64.283326761045544</v>
      </c>
      <c r="T227" s="34">
        <v>64.283326761045544</v>
      </c>
      <c r="U227" s="34">
        <v>27.54999718330523</v>
      </c>
      <c r="V227" s="34">
        <v>45.916661972175383</v>
      </c>
      <c r="W227" s="34">
        <v>27.54999718330523</v>
      </c>
      <c r="X227" s="34">
        <v>275.49997183305231</v>
      </c>
      <c r="Y227" s="34">
        <v>146.9333183109612</v>
      </c>
      <c r="Z227" s="34"/>
      <c r="AA227" s="33">
        <v>72.706206418153826</v>
      </c>
      <c r="AB227" s="33">
        <v>72.706206418153826</v>
      </c>
      <c r="AC227" s="34">
        <v>24.2354021393846</v>
      </c>
      <c r="AD227" s="33">
        <v>38.776643423015372</v>
      </c>
      <c r="AE227" s="34">
        <v>48.470804278769208</v>
      </c>
      <c r="AF227" s="34">
        <v>29.082482567261529</v>
      </c>
      <c r="AG227" s="33">
        <v>29.082482567261529</v>
      </c>
      <c r="AH227" s="34">
        <v>58.164965134523058</v>
      </c>
      <c r="AI227" s="33">
        <v>48.470804278769208</v>
      </c>
      <c r="AJ227" s="33">
        <v>58.164965134523058</v>
      </c>
      <c r="AK227" s="33">
        <v>33.929562995138447</v>
      </c>
      <c r="AL227" s="34">
        <v>33.929562995138447</v>
      </c>
      <c r="AM227" s="34">
        <v>14.541241283630759</v>
      </c>
      <c r="AN227" s="34">
        <v>24.2354021393846</v>
      </c>
      <c r="AO227" s="34">
        <v>14.541241283630759</v>
      </c>
      <c r="AP227" s="34">
        <v>145.41241283630771</v>
      </c>
      <c r="AQ227" s="34">
        <v>77.553286846030744</v>
      </c>
      <c r="AR227" s="39"/>
    </row>
    <row r="228" spans="1:44" ht="19.5" customHeight="1">
      <c r="A228" s="64">
        <f>A226+1</f>
        <v>12</v>
      </c>
      <c r="B228" s="16" t="s">
        <v>3306</v>
      </c>
      <c r="C228" s="58" t="s">
        <v>464</v>
      </c>
      <c r="D228" s="56" t="s">
        <v>3308</v>
      </c>
      <c r="E228" s="30"/>
      <c r="F228" s="32">
        <v>4000</v>
      </c>
      <c r="G228" s="32">
        <v>44530.578162411133</v>
      </c>
      <c r="H228" s="32">
        <v>48530.578162411133</v>
      </c>
      <c r="I228" s="33">
        <v>1.391243562278734</v>
      </c>
      <c r="J228" s="33">
        <v>1.391243562278734</v>
      </c>
      <c r="K228" s="34">
        <v>0.4637478540929113</v>
      </c>
      <c r="L228" s="33">
        <v>0.7419965665486582</v>
      </c>
      <c r="M228" s="34">
        <v>0.92749570818582261</v>
      </c>
      <c r="N228" s="34">
        <v>0.55649742491149368</v>
      </c>
      <c r="O228" s="33">
        <v>0.55649742491149368</v>
      </c>
      <c r="P228" s="34">
        <v>1.1129948498229869</v>
      </c>
      <c r="Q228" s="33">
        <v>0.92749570818582261</v>
      </c>
      <c r="R228" s="33">
        <v>1.1129948498229869</v>
      </c>
      <c r="S228" s="33">
        <v>0.64924699573007594</v>
      </c>
      <c r="T228" s="34">
        <v>0.64924699573007594</v>
      </c>
      <c r="U228" s="34">
        <v>0.27824871245574678</v>
      </c>
      <c r="V228" s="34">
        <v>0.4637478540929113</v>
      </c>
      <c r="W228" s="34">
        <v>0.27824871245574678</v>
      </c>
      <c r="X228" s="34">
        <v>2.7824871245574681</v>
      </c>
      <c r="Y228" s="34">
        <v>1.483993133097316</v>
      </c>
      <c r="Z228" s="54"/>
      <c r="AA228" s="33">
        <v>15.488220048251121</v>
      </c>
      <c r="AB228" s="33">
        <v>15.488220048251121</v>
      </c>
      <c r="AC228" s="34">
        <v>5.1627400160837036</v>
      </c>
      <c r="AD228" s="33">
        <v>8.2603840257339289</v>
      </c>
      <c r="AE228" s="34">
        <v>10.325480032167411</v>
      </c>
      <c r="AF228" s="34">
        <v>6.1952880193004471</v>
      </c>
      <c r="AG228" s="33">
        <v>6.1952880193004471</v>
      </c>
      <c r="AH228" s="34">
        <v>12.390576038600891</v>
      </c>
      <c r="AI228" s="33">
        <v>10.325480032167411</v>
      </c>
      <c r="AJ228" s="33">
        <v>12.390576038600891</v>
      </c>
      <c r="AK228" s="33">
        <v>7.227836022517188</v>
      </c>
      <c r="AL228" s="34">
        <v>7.227836022517188</v>
      </c>
      <c r="AM228" s="34">
        <v>3.097644009650224</v>
      </c>
      <c r="AN228" s="34">
        <v>5.1627400160837036</v>
      </c>
      <c r="AO228" s="34">
        <v>3.097644009650224</v>
      </c>
      <c r="AP228" s="34">
        <v>30.97644009650223</v>
      </c>
      <c r="AQ228" s="34">
        <v>16.520768051467861</v>
      </c>
      <c r="AR228" s="39"/>
    </row>
    <row r="229" spans="1:44" ht="19.5" customHeight="1">
      <c r="A229" s="64">
        <f t="shared" ref="A229:A230" si="17">A228+1</f>
        <v>13</v>
      </c>
      <c r="B229" s="16" t="s">
        <v>3306</v>
      </c>
      <c r="C229" s="58" t="s">
        <v>464</v>
      </c>
      <c r="D229" s="56" t="s">
        <v>3313</v>
      </c>
      <c r="E229" s="30"/>
      <c r="F229" s="32">
        <v>22510</v>
      </c>
      <c r="G229" s="32">
        <v>23866.845101699699</v>
      </c>
      <c r="H229" s="32">
        <v>46376.845101699699</v>
      </c>
      <c r="I229" s="33">
        <v>7.8292231467235771</v>
      </c>
      <c r="J229" s="33">
        <v>7.8292231467235771</v>
      </c>
      <c r="K229" s="34">
        <v>2.6097410489078592</v>
      </c>
      <c r="L229" s="33">
        <v>4.175585678252574</v>
      </c>
      <c r="M229" s="34">
        <v>5.2194820978157166</v>
      </c>
      <c r="N229" s="34">
        <v>3.1316892586894309</v>
      </c>
      <c r="O229" s="33">
        <v>3.1316892586894309</v>
      </c>
      <c r="P229" s="34">
        <v>6.2633785173788619</v>
      </c>
      <c r="Q229" s="33">
        <v>5.2194820978157166</v>
      </c>
      <c r="R229" s="33">
        <v>6.2633785173788619</v>
      </c>
      <c r="S229" s="33">
        <v>3.6536374684710031</v>
      </c>
      <c r="T229" s="34">
        <v>3.6536374684710031</v>
      </c>
      <c r="U229" s="34">
        <v>1.565844629344715</v>
      </c>
      <c r="V229" s="34">
        <v>2.6097410489078592</v>
      </c>
      <c r="W229" s="34">
        <v>1.565844629344715</v>
      </c>
      <c r="X229" s="34">
        <v>15.658446293447151</v>
      </c>
      <c r="Y229" s="34">
        <v>8.351171356505148</v>
      </c>
      <c r="Z229" s="34"/>
      <c r="AA229" s="33">
        <v>8.3011486499108624</v>
      </c>
      <c r="AB229" s="33">
        <v>8.3011486499108624</v>
      </c>
      <c r="AC229" s="34">
        <v>2.7670495499702872</v>
      </c>
      <c r="AD229" s="33">
        <v>4.4272792799524598</v>
      </c>
      <c r="AE229" s="34">
        <v>5.5340990999405744</v>
      </c>
      <c r="AF229" s="34">
        <v>3.3204594599643449</v>
      </c>
      <c r="AG229" s="33">
        <v>3.3204594599643449</v>
      </c>
      <c r="AH229" s="34">
        <v>6.6409189199286907</v>
      </c>
      <c r="AI229" s="33">
        <v>5.5340990999405744</v>
      </c>
      <c r="AJ229" s="33">
        <v>6.6409189199286907</v>
      </c>
      <c r="AK229" s="33">
        <v>3.873869369958403</v>
      </c>
      <c r="AL229" s="34">
        <v>3.873869369958403</v>
      </c>
      <c r="AM229" s="34">
        <v>1.6602297299821731</v>
      </c>
      <c r="AN229" s="34">
        <v>2.7670495499702872</v>
      </c>
      <c r="AO229" s="34">
        <v>1.6602297299821731</v>
      </c>
      <c r="AP229" s="34">
        <v>16.602297299821721</v>
      </c>
      <c r="AQ229" s="34">
        <v>8.8545585599049197</v>
      </c>
      <c r="AR229" s="37"/>
    </row>
    <row r="230" spans="1:44" ht="19.5" customHeight="1">
      <c r="A230" s="64">
        <f t="shared" si="17"/>
        <v>14</v>
      </c>
      <c r="B230" s="81" t="s">
        <v>133</v>
      </c>
      <c r="C230" s="110" t="s">
        <v>94</v>
      </c>
      <c r="D230" s="56" t="s">
        <v>3320</v>
      </c>
      <c r="E230" s="30"/>
      <c r="F230" s="32">
        <v>9400</v>
      </c>
      <c r="G230" s="32">
        <v>22293.405169011519</v>
      </c>
      <c r="H230" s="32">
        <v>31693.405169011519</v>
      </c>
      <c r="I230" s="53">
        <v>3.269422371355025</v>
      </c>
      <c r="J230" s="53">
        <v>3.269422371355025</v>
      </c>
      <c r="K230" s="54">
        <v>1.089807457118342</v>
      </c>
      <c r="L230" s="53">
        <v>1.7436919313893471</v>
      </c>
      <c r="M230" s="54">
        <v>2.1796149142366832</v>
      </c>
      <c r="N230" s="54">
        <v>1.3077689485420101</v>
      </c>
      <c r="O230" s="53">
        <v>1.3077689485420101</v>
      </c>
      <c r="P230" s="54">
        <v>2.6155378970840202</v>
      </c>
      <c r="Q230" s="53">
        <v>2.1796149142366832</v>
      </c>
      <c r="R230" s="53">
        <v>2.6155378970840202</v>
      </c>
      <c r="S230" s="53">
        <v>1.525730439965679</v>
      </c>
      <c r="T230" s="54">
        <v>1.525730439965679</v>
      </c>
      <c r="U230" s="54">
        <v>0.65388447427100505</v>
      </c>
      <c r="V230" s="54">
        <v>1.089807457118342</v>
      </c>
      <c r="W230" s="54">
        <v>0.65388447427100505</v>
      </c>
      <c r="X230" s="54">
        <v>6.5388447427100509</v>
      </c>
      <c r="Y230" s="54">
        <v>3.4873838627786942</v>
      </c>
      <c r="Z230" s="34"/>
      <c r="AA230" s="33">
        <v>7.7538891056646833</v>
      </c>
      <c r="AB230" s="33">
        <v>7.7538891056646833</v>
      </c>
      <c r="AC230" s="34">
        <v>2.584629701888228</v>
      </c>
      <c r="AD230" s="33">
        <v>4.1354075230211649</v>
      </c>
      <c r="AE230" s="34">
        <v>5.1692594037764552</v>
      </c>
      <c r="AF230" s="34">
        <v>3.1015556422658741</v>
      </c>
      <c r="AG230" s="33">
        <v>3.1015556422658741</v>
      </c>
      <c r="AH230" s="34">
        <v>6.2031112845317473</v>
      </c>
      <c r="AI230" s="33">
        <v>5.1692594037764552</v>
      </c>
      <c r="AJ230" s="33">
        <v>6.2031112845317473</v>
      </c>
      <c r="AK230" s="33">
        <v>3.6184815826435188</v>
      </c>
      <c r="AL230" s="34">
        <v>3.6184815826435188</v>
      </c>
      <c r="AM230" s="34">
        <v>1.5507778211329371</v>
      </c>
      <c r="AN230" s="34">
        <v>2.584629701888228</v>
      </c>
      <c r="AO230" s="34">
        <v>1.5507778211329371</v>
      </c>
      <c r="AP230" s="34">
        <v>15.50777821132937</v>
      </c>
      <c r="AQ230" s="34">
        <v>8.2708150460423298</v>
      </c>
      <c r="AR230" s="39"/>
    </row>
    <row r="231" spans="1:44" ht="19.5" customHeight="1">
      <c r="A231" s="51"/>
      <c r="B231" s="76" t="s">
        <v>3325</v>
      </c>
      <c r="C231" s="51" t="s">
        <v>1506</v>
      </c>
      <c r="D231" s="158" t="s">
        <v>3174</v>
      </c>
      <c r="E231" s="51">
        <v>3</v>
      </c>
      <c r="F231" s="52">
        <v>35910</v>
      </c>
      <c r="G231" s="52">
        <v>90690.82843312234</v>
      </c>
      <c r="H231" s="52">
        <v>126600.8284331223</v>
      </c>
      <c r="I231" s="33">
        <v>12.489889080357329</v>
      </c>
      <c r="J231" s="33">
        <v>12.489889080357329</v>
      </c>
      <c r="K231" s="34">
        <v>4.1632963601191113</v>
      </c>
      <c r="L231" s="33">
        <v>6.6612741761905792</v>
      </c>
      <c r="M231" s="34">
        <v>8.3265927202382226</v>
      </c>
      <c r="N231" s="34">
        <v>4.9959556321429339</v>
      </c>
      <c r="O231" s="33">
        <v>4.9959556321429339</v>
      </c>
      <c r="P231" s="34">
        <v>9.9919112642858678</v>
      </c>
      <c r="Q231" s="33">
        <v>8.3265927202382226</v>
      </c>
      <c r="R231" s="33">
        <v>9.9919112642858678</v>
      </c>
      <c r="S231" s="33">
        <v>5.8286149041667574</v>
      </c>
      <c r="T231" s="34">
        <v>5.8286149041667574</v>
      </c>
      <c r="U231" s="34">
        <v>2.497977816071467</v>
      </c>
      <c r="V231" s="34">
        <v>4.1632963601191113</v>
      </c>
      <c r="W231" s="34">
        <v>2.497977816071467</v>
      </c>
      <c r="X231" s="34">
        <v>24.97977816071467</v>
      </c>
      <c r="Y231" s="34">
        <v>13.32254835238116</v>
      </c>
      <c r="Z231" s="54"/>
      <c r="AA231" s="33">
        <v>31.543257803826659</v>
      </c>
      <c r="AB231" s="33">
        <v>31.543257803826659</v>
      </c>
      <c r="AC231" s="34">
        <v>10.51441926794222</v>
      </c>
      <c r="AD231" s="33">
        <v>16.82307082870755</v>
      </c>
      <c r="AE231" s="34">
        <v>21.028838535884439</v>
      </c>
      <c r="AF231" s="34">
        <v>12.617303121530661</v>
      </c>
      <c r="AG231" s="33">
        <v>12.617303121530661</v>
      </c>
      <c r="AH231" s="34">
        <v>25.234606243061329</v>
      </c>
      <c r="AI231" s="33">
        <v>21.028838535884439</v>
      </c>
      <c r="AJ231" s="33">
        <v>25.234606243061329</v>
      </c>
      <c r="AK231" s="33">
        <v>14.720186975119111</v>
      </c>
      <c r="AL231" s="34">
        <v>14.720186975119111</v>
      </c>
      <c r="AM231" s="34">
        <v>6.3086515607653322</v>
      </c>
      <c r="AN231" s="34">
        <v>10.51441926794222</v>
      </c>
      <c r="AO231" s="34">
        <v>6.3086515607653322</v>
      </c>
      <c r="AP231" s="34">
        <v>63.086515607653318</v>
      </c>
      <c r="AQ231" s="34">
        <v>33.6461416574151</v>
      </c>
      <c r="AR231" s="39"/>
    </row>
    <row r="232" spans="1:44" ht="19.5" customHeight="1">
      <c r="A232" s="64">
        <f>A230+1</f>
        <v>15</v>
      </c>
      <c r="B232" s="56" t="s">
        <v>3337</v>
      </c>
      <c r="C232" s="159" t="s">
        <v>650</v>
      </c>
      <c r="D232" s="56" t="s">
        <v>3343</v>
      </c>
      <c r="E232" s="30">
        <v>1</v>
      </c>
      <c r="F232" s="32">
        <v>120723.20884092709</v>
      </c>
      <c r="G232" s="32">
        <v>54110.206720901762</v>
      </c>
      <c r="H232" s="32">
        <v>174833.41556182891</v>
      </c>
      <c r="I232" s="53">
        <v>41.988846779392759</v>
      </c>
      <c r="J232" s="53">
        <v>41.988846779392759</v>
      </c>
      <c r="K232" s="54">
        <v>13.99628225979759</v>
      </c>
      <c r="L232" s="53">
        <v>22.39405161567614</v>
      </c>
      <c r="M232" s="54">
        <v>27.99256451959517</v>
      </c>
      <c r="N232" s="54">
        <v>16.7955387117571</v>
      </c>
      <c r="O232" s="53">
        <v>16.7955387117571</v>
      </c>
      <c r="P232" s="54">
        <v>33.591077423514207</v>
      </c>
      <c r="Q232" s="53">
        <v>27.99256451959517</v>
      </c>
      <c r="R232" s="53">
        <v>33.591077423514207</v>
      </c>
      <c r="S232" s="53">
        <v>19.594795163716618</v>
      </c>
      <c r="T232" s="54">
        <v>19.594795163716618</v>
      </c>
      <c r="U232" s="54">
        <v>8.3977693558785518</v>
      </c>
      <c r="V232" s="54">
        <v>13.99628225979759</v>
      </c>
      <c r="W232" s="54">
        <v>8.3977693558785518</v>
      </c>
      <c r="X232" s="54">
        <v>83.977693558785518</v>
      </c>
      <c r="Y232" s="54">
        <v>44.788103231352281</v>
      </c>
      <c r="Z232" s="34"/>
      <c r="AA232" s="33">
        <v>18.820119188506521</v>
      </c>
      <c r="AB232" s="33">
        <v>18.820119188506521</v>
      </c>
      <c r="AC232" s="34">
        <v>6.2733730628355051</v>
      </c>
      <c r="AD232" s="33">
        <v>10.037396900536811</v>
      </c>
      <c r="AE232" s="34">
        <v>12.54674612567101</v>
      </c>
      <c r="AF232" s="34">
        <v>7.5280476754026084</v>
      </c>
      <c r="AG232" s="33">
        <v>7.5280476754026084</v>
      </c>
      <c r="AH232" s="34">
        <v>15.05609535080522</v>
      </c>
      <c r="AI232" s="33">
        <v>12.54674612567101</v>
      </c>
      <c r="AJ232" s="33">
        <v>15.05609535080522</v>
      </c>
      <c r="AK232" s="33">
        <v>8.7827222879697082</v>
      </c>
      <c r="AL232" s="34">
        <v>8.7827222879697082</v>
      </c>
      <c r="AM232" s="34">
        <v>3.7640238377013042</v>
      </c>
      <c r="AN232" s="34">
        <v>6.2733730628355051</v>
      </c>
      <c r="AO232" s="34">
        <v>3.7640238377013042</v>
      </c>
      <c r="AP232" s="34">
        <v>37.640238377013027</v>
      </c>
      <c r="AQ232" s="34">
        <v>20.074793801073621</v>
      </c>
      <c r="AR232" s="37"/>
    </row>
    <row r="233" spans="1:44" ht="19.5" customHeight="1">
      <c r="A233" s="85"/>
      <c r="B233" s="86" t="s">
        <v>3325</v>
      </c>
      <c r="C233" s="85" t="s">
        <v>1506</v>
      </c>
      <c r="D233" s="160" t="s">
        <v>3174</v>
      </c>
      <c r="E233" s="85">
        <f>E232+E231</f>
        <v>4</v>
      </c>
      <c r="F233" s="144">
        <v>156633.20884092711</v>
      </c>
      <c r="G233" s="144">
        <v>144801.03515402411</v>
      </c>
      <c r="H233" s="144">
        <v>301434.24399495119</v>
      </c>
      <c r="I233" s="53">
        <v>54.478735859750103</v>
      </c>
      <c r="J233" s="53">
        <v>54.478735859750103</v>
      </c>
      <c r="K233" s="54">
        <v>18.159578619916701</v>
      </c>
      <c r="L233" s="53">
        <v>29.055325791866721</v>
      </c>
      <c r="M233" s="54">
        <v>36.319157239833388</v>
      </c>
      <c r="N233" s="54">
        <v>21.791494343900041</v>
      </c>
      <c r="O233" s="53">
        <v>21.791494343900041</v>
      </c>
      <c r="P233" s="54">
        <v>43.582988687800068</v>
      </c>
      <c r="Q233" s="53">
        <v>36.319157239833388</v>
      </c>
      <c r="R233" s="53">
        <v>43.582988687800068</v>
      </c>
      <c r="S233" s="53">
        <v>25.423410067883381</v>
      </c>
      <c r="T233" s="54">
        <v>25.423410067883381</v>
      </c>
      <c r="U233" s="54">
        <v>10.895747171950021</v>
      </c>
      <c r="V233" s="54">
        <v>18.159578619916701</v>
      </c>
      <c r="W233" s="54">
        <v>10.895747171950021</v>
      </c>
      <c r="X233" s="54">
        <v>108.95747171950021</v>
      </c>
      <c r="Y233" s="54">
        <v>58.110651583733443</v>
      </c>
      <c r="Z233" s="34"/>
      <c r="AA233" s="33">
        <v>50.36337699233318</v>
      </c>
      <c r="AB233" s="33">
        <v>50.36337699233318</v>
      </c>
      <c r="AC233" s="34">
        <v>16.787792330777719</v>
      </c>
      <c r="AD233" s="33">
        <v>26.860467729244359</v>
      </c>
      <c r="AE233" s="34">
        <v>33.575584661555453</v>
      </c>
      <c r="AF233" s="34">
        <v>20.145350796933268</v>
      </c>
      <c r="AG233" s="33">
        <v>20.145350796933268</v>
      </c>
      <c r="AH233" s="34">
        <v>40.290701593866537</v>
      </c>
      <c r="AI233" s="33">
        <v>33.575584661555453</v>
      </c>
      <c r="AJ233" s="33">
        <v>40.290701593866537</v>
      </c>
      <c r="AK233" s="33">
        <v>23.502909263088821</v>
      </c>
      <c r="AL233" s="34">
        <v>23.502909263088821</v>
      </c>
      <c r="AM233" s="34">
        <v>10.07267539846664</v>
      </c>
      <c r="AN233" s="34">
        <v>16.787792330777719</v>
      </c>
      <c r="AO233" s="34">
        <v>10.07267539846664</v>
      </c>
      <c r="AP233" s="34">
        <v>100.7267539846664</v>
      </c>
      <c r="AQ233" s="34">
        <v>53.720935458488732</v>
      </c>
      <c r="AR233" s="39"/>
    </row>
    <row r="234" spans="1:44" ht="19.5" customHeight="1">
      <c r="A234" s="67"/>
      <c r="B234" s="118" t="s">
        <v>3325</v>
      </c>
      <c r="C234" s="67" t="s">
        <v>1506</v>
      </c>
      <c r="D234" s="156" t="s">
        <v>3360</v>
      </c>
      <c r="E234" s="67">
        <f>E233+E227+E221+E216</f>
        <v>15</v>
      </c>
      <c r="F234" s="68">
        <v>991424.08081760234</v>
      </c>
      <c r="G234" s="68">
        <v>533392.68599271274</v>
      </c>
      <c r="H234" s="68">
        <v>1524816.766810315</v>
      </c>
      <c r="I234" s="33">
        <v>344.82809248140018</v>
      </c>
      <c r="J234" s="33">
        <v>344.82809248140018</v>
      </c>
      <c r="K234" s="34">
        <v>114.9426974938001</v>
      </c>
      <c r="L234" s="33">
        <v>183.9083159900801</v>
      </c>
      <c r="M234" s="34">
        <v>229.88539498760011</v>
      </c>
      <c r="N234" s="34">
        <v>137.93123699256009</v>
      </c>
      <c r="O234" s="33">
        <v>137.93123699256009</v>
      </c>
      <c r="P234" s="34">
        <v>275.86247398512018</v>
      </c>
      <c r="Q234" s="33">
        <v>229.88539498760011</v>
      </c>
      <c r="R234" s="33">
        <v>275.86247398512018</v>
      </c>
      <c r="S234" s="33">
        <v>160.91977649132011</v>
      </c>
      <c r="T234" s="34">
        <v>160.91977649132011</v>
      </c>
      <c r="U234" s="34">
        <v>68.965618496280044</v>
      </c>
      <c r="V234" s="34">
        <v>114.9426974938001</v>
      </c>
      <c r="W234" s="34">
        <v>68.965618496280044</v>
      </c>
      <c r="X234" s="34">
        <v>689.65618496280035</v>
      </c>
      <c r="Y234" s="34">
        <v>367.8166319801602</v>
      </c>
      <c r="Z234" s="54"/>
      <c r="AA234" s="53">
        <v>185.51978513848101</v>
      </c>
      <c r="AB234" s="53">
        <v>185.51978513848101</v>
      </c>
      <c r="AC234" s="54">
        <v>61.839928379493649</v>
      </c>
      <c r="AD234" s="53">
        <v>98.943885407189853</v>
      </c>
      <c r="AE234" s="54">
        <v>123.6798567589873</v>
      </c>
      <c r="AF234" s="54">
        <v>74.207914055392393</v>
      </c>
      <c r="AG234" s="53">
        <v>74.207914055392393</v>
      </c>
      <c r="AH234" s="54">
        <v>148.41582811078479</v>
      </c>
      <c r="AI234" s="53">
        <v>123.6798567589873</v>
      </c>
      <c r="AJ234" s="53">
        <v>148.41582811078479</v>
      </c>
      <c r="AK234" s="53">
        <v>86.575899731291116</v>
      </c>
      <c r="AL234" s="54">
        <v>86.575899731291116</v>
      </c>
      <c r="AM234" s="54">
        <v>37.103957027696197</v>
      </c>
      <c r="AN234" s="54">
        <v>61.839928379493649</v>
      </c>
      <c r="AO234" s="54">
        <v>37.103957027696197</v>
      </c>
      <c r="AP234" s="54">
        <v>371.03957027696202</v>
      </c>
      <c r="AQ234" s="54">
        <v>197.88777081437971</v>
      </c>
      <c r="AR234" s="39"/>
    </row>
    <row r="235" spans="1:44" ht="19.5" customHeight="1">
      <c r="A235" s="64"/>
      <c r="B235" s="56"/>
      <c r="C235" s="30"/>
      <c r="D235" s="56"/>
      <c r="E235" s="30"/>
      <c r="F235" s="32"/>
      <c r="G235" s="32"/>
      <c r="H235" s="32">
        <v>0</v>
      </c>
      <c r="I235" s="33">
        <v>0</v>
      </c>
      <c r="J235" s="33">
        <v>0</v>
      </c>
      <c r="K235" s="34">
        <v>0</v>
      </c>
      <c r="L235" s="33">
        <v>0</v>
      </c>
      <c r="M235" s="34">
        <v>0</v>
      </c>
      <c r="N235" s="34">
        <v>0</v>
      </c>
      <c r="O235" s="33">
        <v>0</v>
      </c>
      <c r="P235" s="34">
        <v>0</v>
      </c>
      <c r="Q235" s="33">
        <v>0</v>
      </c>
      <c r="R235" s="33">
        <v>0</v>
      </c>
      <c r="S235" s="33">
        <v>0</v>
      </c>
      <c r="T235" s="34">
        <v>0</v>
      </c>
      <c r="U235" s="34">
        <v>0</v>
      </c>
      <c r="V235" s="34">
        <v>0</v>
      </c>
      <c r="W235" s="34">
        <v>0</v>
      </c>
      <c r="X235" s="34">
        <v>0</v>
      </c>
      <c r="Y235" s="34">
        <v>0</v>
      </c>
      <c r="Z235" s="34"/>
      <c r="AA235" s="33">
        <v>0</v>
      </c>
      <c r="AB235" s="33">
        <v>0</v>
      </c>
      <c r="AC235" s="34">
        <v>0</v>
      </c>
      <c r="AD235" s="33">
        <v>0</v>
      </c>
      <c r="AE235" s="34">
        <v>0</v>
      </c>
      <c r="AF235" s="34">
        <v>0</v>
      </c>
      <c r="AG235" s="33">
        <v>0</v>
      </c>
      <c r="AH235" s="34">
        <v>0</v>
      </c>
      <c r="AI235" s="33">
        <v>0</v>
      </c>
      <c r="AJ235" s="33">
        <v>0</v>
      </c>
      <c r="AK235" s="33">
        <v>0</v>
      </c>
      <c r="AL235" s="34">
        <v>0</v>
      </c>
      <c r="AM235" s="34">
        <v>0</v>
      </c>
      <c r="AN235" s="34">
        <v>0</v>
      </c>
      <c r="AO235" s="34">
        <v>0</v>
      </c>
      <c r="AP235" s="34">
        <v>0</v>
      </c>
      <c r="AQ235" s="34">
        <v>0</v>
      </c>
      <c r="AR235" s="37"/>
    </row>
    <row r="236" spans="1:44" ht="19.5" customHeight="1">
      <c r="A236" s="76" t="s">
        <v>3374</v>
      </c>
      <c r="B236" s="76"/>
      <c r="C236" s="51"/>
      <c r="D236" s="162"/>
      <c r="E236" s="30"/>
      <c r="F236" s="32"/>
      <c r="G236" s="32"/>
      <c r="H236" s="32">
        <v>0</v>
      </c>
      <c r="I236" s="33">
        <v>0</v>
      </c>
      <c r="J236" s="33">
        <v>0</v>
      </c>
      <c r="K236" s="34">
        <v>0</v>
      </c>
      <c r="L236" s="33">
        <v>0</v>
      </c>
      <c r="M236" s="34">
        <v>0</v>
      </c>
      <c r="N236" s="34">
        <v>0</v>
      </c>
      <c r="O236" s="33">
        <v>0</v>
      </c>
      <c r="P236" s="34">
        <v>0</v>
      </c>
      <c r="Q236" s="33">
        <v>0</v>
      </c>
      <c r="R236" s="33">
        <v>0</v>
      </c>
      <c r="S236" s="33">
        <v>0</v>
      </c>
      <c r="T236" s="34">
        <v>0</v>
      </c>
      <c r="U236" s="34">
        <v>0</v>
      </c>
      <c r="V236" s="34">
        <v>0</v>
      </c>
      <c r="W236" s="34">
        <v>0</v>
      </c>
      <c r="X236" s="34">
        <v>0</v>
      </c>
      <c r="Y236" s="34">
        <v>0</v>
      </c>
      <c r="Z236" s="34"/>
      <c r="AA236" s="33">
        <v>0</v>
      </c>
      <c r="AB236" s="33">
        <v>0</v>
      </c>
      <c r="AC236" s="34">
        <v>0</v>
      </c>
      <c r="AD236" s="33">
        <v>0</v>
      </c>
      <c r="AE236" s="34">
        <v>0</v>
      </c>
      <c r="AF236" s="34">
        <v>0</v>
      </c>
      <c r="AG236" s="33">
        <v>0</v>
      </c>
      <c r="AH236" s="34">
        <v>0</v>
      </c>
      <c r="AI236" s="33">
        <v>0</v>
      </c>
      <c r="AJ236" s="33">
        <v>0</v>
      </c>
      <c r="AK236" s="33">
        <v>0</v>
      </c>
      <c r="AL236" s="34">
        <v>0</v>
      </c>
      <c r="AM236" s="34">
        <v>0</v>
      </c>
      <c r="AN236" s="34">
        <v>0</v>
      </c>
      <c r="AO236" s="34">
        <v>0</v>
      </c>
      <c r="AP236" s="34">
        <v>0</v>
      </c>
      <c r="AQ236" s="34">
        <v>0</v>
      </c>
      <c r="AR236" s="39"/>
    </row>
    <row r="237" spans="1:44" ht="19.5" customHeight="1">
      <c r="A237" s="64">
        <v>1</v>
      </c>
      <c r="B237" s="16" t="s">
        <v>3381</v>
      </c>
      <c r="C237" s="58" t="s">
        <v>132</v>
      </c>
      <c r="D237" s="56" t="s">
        <v>3382</v>
      </c>
      <c r="E237" s="30"/>
      <c r="F237" s="32">
        <v>0</v>
      </c>
      <c r="G237" s="32">
        <v>43712.559154924558</v>
      </c>
      <c r="H237" s="32">
        <v>43712.559154924558</v>
      </c>
      <c r="I237" s="33">
        <v>0</v>
      </c>
      <c r="J237" s="33">
        <v>0</v>
      </c>
      <c r="K237" s="34">
        <v>0</v>
      </c>
      <c r="L237" s="33">
        <v>0</v>
      </c>
      <c r="M237" s="34">
        <v>0</v>
      </c>
      <c r="N237" s="34">
        <v>0</v>
      </c>
      <c r="O237" s="33">
        <v>0</v>
      </c>
      <c r="P237" s="34">
        <v>0</v>
      </c>
      <c r="Q237" s="33">
        <v>0</v>
      </c>
      <c r="R237" s="33">
        <v>0</v>
      </c>
      <c r="S237" s="33">
        <v>0</v>
      </c>
      <c r="T237" s="34">
        <v>0</v>
      </c>
      <c r="U237" s="34">
        <v>0</v>
      </c>
      <c r="V237" s="34">
        <v>0</v>
      </c>
      <c r="W237" s="34">
        <v>0</v>
      </c>
      <c r="X237" s="34">
        <v>0</v>
      </c>
      <c r="Y237" s="34">
        <v>0</v>
      </c>
      <c r="Z237" s="34"/>
      <c r="AA237" s="33">
        <v>15.20370412875428</v>
      </c>
      <c r="AB237" s="33">
        <v>15.20370412875428</v>
      </c>
      <c r="AC237" s="34">
        <v>5.0679013762514273</v>
      </c>
      <c r="AD237" s="33">
        <v>8.1086422020022848</v>
      </c>
      <c r="AE237" s="34">
        <v>10.135802752502849</v>
      </c>
      <c r="AF237" s="34">
        <v>6.0814816515017132</v>
      </c>
      <c r="AG237" s="33">
        <v>6.0814816515017132</v>
      </c>
      <c r="AH237" s="34">
        <v>12.16296330300343</v>
      </c>
      <c r="AI237" s="33">
        <v>10.135802752502849</v>
      </c>
      <c r="AJ237" s="33">
        <v>12.16296330300343</v>
      </c>
      <c r="AK237" s="33">
        <v>7.095061926751999</v>
      </c>
      <c r="AL237" s="34">
        <v>7.095061926751999</v>
      </c>
      <c r="AM237" s="34">
        <v>3.040740825750857</v>
      </c>
      <c r="AN237" s="34">
        <v>5.0679013762514273</v>
      </c>
      <c r="AO237" s="34">
        <v>3.040740825750857</v>
      </c>
      <c r="AP237" s="34">
        <v>30.407408257508571</v>
      </c>
      <c r="AQ237" s="34">
        <v>16.21728440400457</v>
      </c>
      <c r="AR237" s="39"/>
    </row>
    <row r="238" spans="1:44" ht="19.5" customHeight="1">
      <c r="A238" s="64">
        <f t="shared" ref="A238:A241" si="18">A237+1</f>
        <v>2</v>
      </c>
      <c r="B238" s="16" t="s">
        <v>3393</v>
      </c>
      <c r="C238" s="30" t="s">
        <v>230</v>
      </c>
      <c r="D238" s="56" t="s">
        <v>3394</v>
      </c>
      <c r="E238" s="30"/>
      <c r="F238" s="32">
        <v>110505.4930492767</v>
      </c>
      <c r="G238" s="32">
        <v>39013.459045770171</v>
      </c>
      <c r="H238" s="32">
        <v>149518.95209504681</v>
      </c>
      <c r="I238" s="33">
        <v>38.435013950310889</v>
      </c>
      <c r="J238" s="33">
        <v>38.435013950310889</v>
      </c>
      <c r="K238" s="34">
        <v>12.811671316770299</v>
      </c>
      <c r="L238" s="33">
        <v>20.498674106832471</v>
      </c>
      <c r="M238" s="34">
        <v>25.623342633540592</v>
      </c>
      <c r="N238" s="34">
        <v>15.37400558012436</v>
      </c>
      <c r="O238" s="33">
        <v>15.37400558012436</v>
      </c>
      <c r="P238" s="34">
        <v>30.748011160248719</v>
      </c>
      <c r="Q238" s="33">
        <v>25.623342633540592</v>
      </c>
      <c r="R238" s="33">
        <v>30.748011160248719</v>
      </c>
      <c r="S238" s="33">
        <v>17.936339843478411</v>
      </c>
      <c r="T238" s="34">
        <v>17.936339843478411</v>
      </c>
      <c r="U238" s="34">
        <v>7.6870027900621789</v>
      </c>
      <c r="V238" s="34">
        <v>12.811671316770299</v>
      </c>
      <c r="W238" s="34">
        <v>7.6870027900621789</v>
      </c>
      <c r="X238" s="34">
        <v>76.870027900621778</v>
      </c>
      <c r="Y238" s="34">
        <v>40.997348213664949</v>
      </c>
      <c r="Z238" s="54"/>
      <c r="AA238" s="33">
        <v>13.569305934913199</v>
      </c>
      <c r="AB238" s="33">
        <v>13.569305934913199</v>
      </c>
      <c r="AC238" s="34">
        <v>4.5231019783043998</v>
      </c>
      <c r="AD238" s="33">
        <v>7.2369631652870394</v>
      </c>
      <c r="AE238" s="34">
        <v>9.0462039566087995</v>
      </c>
      <c r="AF238" s="34">
        <v>5.4277223739652802</v>
      </c>
      <c r="AG238" s="33">
        <v>5.4277223739652802</v>
      </c>
      <c r="AH238" s="34">
        <v>10.85544474793056</v>
      </c>
      <c r="AI238" s="33">
        <v>9.0462039566087995</v>
      </c>
      <c r="AJ238" s="33">
        <v>10.85544474793056</v>
      </c>
      <c r="AK238" s="33">
        <v>6.3323427696261598</v>
      </c>
      <c r="AL238" s="34">
        <v>6.3323427696261598</v>
      </c>
      <c r="AM238" s="34">
        <v>2.7138611869826401</v>
      </c>
      <c r="AN238" s="34">
        <v>4.5231019783043998</v>
      </c>
      <c r="AO238" s="34">
        <v>2.7138611869826401</v>
      </c>
      <c r="AP238" s="34">
        <v>27.138611869826399</v>
      </c>
      <c r="AQ238" s="34">
        <v>14.473926330574081</v>
      </c>
      <c r="AR238" s="39"/>
    </row>
    <row r="239" spans="1:44" ht="19.5" customHeight="1">
      <c r="A239" s="64">
        <f t="shared" si="18"/>
        <v>3</v>
      </c>
      <c r="B239" s="16" t="s">
        <v>3402</v>
      </c>
      <c r="C239" s="30" t="s">
        <v>159</v>
      </c>
      <c r="D239" s="163" t="s">
        <v>3403</v>
      </c>
      <c r="E239" s="124"/>
      <c r="F239" s="32">
        <v>120723.20884092709</v>
      </c>
      <c r="G239" s="32">
        <v>37877.144704631231</v>
      </c>
      <c r="H239" s="32">
        <v>158600.35354555841</v>
      </c>
      <c r="I239" s="33">
        <v>41.988846779392759</v>
      </c>
      <c r="J239" s="33">
        <v>41.988846779392759</v>
      </c>
      <c r="K239" s="34">
        <v>13.99628225979759</v>
      </c>
      <c r="L239" s="33">
        <v>22.39405161567614</v>
      </c>
      <c r="M239" s="34">
        <v>27.99256451959517</v>
      </c>
      <c r="N239" s="34">
        <v>16.7955387117571</v>
      </c>
      <c r="O239" s="33">
        <v>16.7955387117571</v>
      </c>
      <c r="P239" s="34">
        <v>33.591077423514207</v>
      </c>
      <c r="Q239" s="33">
        <v>27.99256451959517</v>
      </c>
      <c r="R239" s="33">
        <v>33.591077423514207</v>
      </c>
      <c r="S239" s="33">
        <v>19.594795163716618</v>
      </c>
      <c r="T239" s="34">
        <v>19.594795163716618</v>
      </c>
      <c r="U239" s="34">
        <v>8.3977693558785518</v>
      </c>
      <c r="V239" s="34">
        <v>13.99628225979759</v>
      </c>
      <c r="W239" s="34">
        <v>8.3977693558785518</v>
      </c>
      <c r="X239" s="34">
        <v>83.977693558785518</v>
      </c>
      <c r="Y239" s="34">
        <v>44.788103231352281</v>
      </c>
      <c r="Z239" s="34"/>
      <c r="AA239" s="33">
        <v>13.174083431954561</v>
      </c>
      <c r="AB239" s="33">
        <v>13.174083431954561</v>
      </c>
      <c r="AC239" s="34">
        <v>4.3913611439848532</v>
      </c>
      <c r="AD239" s="33">
        <v>7.026177830375766</v>
      </c>
      <c r="AE239" s="34">
        <v>8.7827222879697064</v>
      </c>
      <c r="AF239" s="34">
        <v>5.2696333727818248</v>
      </c>
      <c r="AG239" s="33">
        <v>5.2696333727818248</v>
      </c>
      <c r="AH239" s="34">
        <v>10.53926674556365</v>
      </c>
      <c r="AI239" s="33">
        <v>8.7827222879697064</v>
      </c>
      <c r="AJ239" s="33">
        <v>10.53926674556365</v>
      </c>
      <c r="AK239" s="33">
        <v>6.1479056015787954</v>
      </c>
      <c r="AL239" s="34">
        <v>6.1479056015787954</v>
      </c>
      <c r="AM239" s="34">
        <v>2.6348166863909119</v>
      </c>
      <c r="AN239" s="34">
        <v>4.3913611439848532</v>
      </c>
      <c r="AO239" s="34">
        <v>2.6348166863909119</v>
      </c>
      <c r="AP239" s="34">
        <v>26.348166863909121</v>
      </c>
      <c r="AQ239" s="34">
        <v>14.05235566075153</v>
      </c>
      <c r="AR239" s="37"/>
    </row>
    <row r="240" spans="1:44" ht="19.5" customHeight="1">
      <c r="A240" s="64">
        <f t="shared" si="18"/>
        <v>4</v>
      </c>
      <c r="B240" s="16" t="s">
        <v>3381</v>
      </c>
      <c r="C240" s="58" t="s">
        <v>132</v>
      </c>
      <c r="D240" s="56" t="s">
        <v>3412</v>
      </c>
      <c r="E240" s="30"/>
      <c r="F240" s="32">
        <v>8000</v>
      </c>
      <c r="G240" s="32">
        <v>43712.559154924558</v>
      </c>
      <c r="H240" s="32">
        <v>51712.559154924558</v>
      </c>
      <c r="I240" s="33">
        <v>2.7824871245574681</v>
      </c>
      <c r="J240" s="33">
        <v>2.7824871245574681</v>
      </c>
      <c r="K240" s="34">
        <v>0.92749570818582261</v>
      </c>
      <c r="L240" s="33">
        <v>1.483993133097316</v>
      </c>
      <c r="M240" s="34">
        <v>1.854991416371645</v>
      </c>
      <c r="N240" s="34">
        <v>1.1129948498229869</v>
      </c>
      <c r="O240" s="33">
        <v>1.1129948498229869</v>
      </c>
      <c r="P240" s="34">
        <v>2.2259896996459752</v>
      </c>
      <c r="Q240" s="33">
        <v>1.854991416371645</v>
      </c>
      <c r="R240" s="33">
        <v>2.2259896996459752</v>
      </c>
      <c r="S240" s="33">
        <v>1.2984939914601521</v>
      </c>
      <c r="T240" s="34">
        <v>1.2984939914601521</v>
      </c>
      <c r="U240" s="34">
        <v>0.55649742491149368</v>
      </c>
      <c r="V240" s="34">
        <v>0.92749570818582261</v>
      </c>
      <c r="W240" s="34">
        <v>0.55649742491149368</v>
      </c>
      <c r="X240" s="34">
        <v>5.564974249114937</v>
      </c>
      <c r="Y240" s="34">
        <v>2.9679862661946328</v>
      </c>
      <c r="Z240" s="34"/>
      <c r="AA240" s="33">
        <v>15.20370412875428</v>
      </c>
      <c r="AB240" s="33">
        <v>15.20370412875428</v>
      </c>
      <c r="AC240" s="34">
        <v>5.0679013762514273</v>
      </c>
      <c r="AD240" s="33">
        <v>8.1086422020022848</v>
      </c>
      <c r="AE240" s="34">
        <v>10.135802752502849</v>
      </c>
      <c r="AF240" s="34">
        <v>6.0814816515017132</v>
      </c>
      <c r="AG240" s="33">
        <v>6.0814816515017132</v>
      </c>
      <c r="AH240" s="34">
        <v>12.16296330300343</v>
      </c>
      <c r="AI240" s="33">
        <v>10.135802752502849</v>
      </c>
      <c r="AJ240" s="33">
        <v>12.16296330300343</v>
      </c>
      <c r="AK240" s="33">
        <v>7.095061926751999</v>
      </c>
      <c r="AL240" s="34">
        <v>7.095061926751999</v>
      </c>
      <c r="AM240" s="34">
        <v>3.040740825750857</v>
      </c>
      <c r="AN240" s="34">
        <v>5.0679013762514273</v>
      </c>
      <c r="AO240" s="34">
        <v>3.040740825750857</v>
      </c>
      <c r="AP240" s="34">
        <v>30.407408257508571</v>
      </c>
      <c r="AQ240" s="34">
        <v>16.21728440400457</v>
      </c>
      <c r="AR240" s="39"/>
    </row>
    <row r="241" spans="1:44" ht="19.5" customHeight="1">
      <c r="A241" s="64">
        <f t="shared" si="18"/>
        <v>5</v>
      </c>
      <c r="B241" s="16" t="s">
        <v>3419</v>
      </c>
      <c r="C241" s="30" t="s">
        <v>159</v>
      </c>
      <c r="D241" s="56" t="s">
        <v>3421</v>
      </c>
      <c r="E241" s="30"/>
      <c r="F241" s="32">
        <v>110505.4930492767</v>
      </c>
      <c r="G241" s="32">
        <v>44586.810338023053</v>
      </c>
      <c r="H241" s="32">
        <v>155092.3033872997</v>
      </c>
      <c r="I241" s="53">
        <v>38.435013950310889</v>
      </c>
      <c r="J241" s="53">
        <v>38.435013950310889</v>
      </c>
      <c r="K241" s="54">
        <v>12.811671316770299</v>
      </c>
      <c r="L241" s="53">
        <v>20.498674106832471</v>
      </c>
      <c r="M241" s="54">
        <v>25.623342633540592</v>
      </c>
      <c r="N241" s="54">
        <v>15.37400558012436</v>
      </c>
      <c r="O241" s="53">
        <v>15.37400558012436</v>
      </c>
      <c r="P241" s="54">
        <v>30.748011160248719</v>
      </c>
      <c r="Q241" s="53">
        <v>25.623342633540592</v>
      </c>
      <c r="R241" s="53">
        <v>30.748011160248719</v>
      </c>
      <c r="S241" s="53">
        <v>17.936339843478411</v>
      </c>
      <c r="T241" s="54">
        <v>17.936339843478411</v>
      </c>
      <c r="U241" s="54">
        <v>7.6870027900621789</v>
      </c>
      <c r="V241" s="54">
        <v>12.811671316770299</v>
      </c>
      <c r="W241" s="54">
        <v>7.6870027900621789</v>
      </c>
      <c r="X241" s="54">
        <v>76.870027900621778</v>
      </c>
      <c r="Y241" s="54">
        <v>40.997348213664949</v>
      </c>
      <c r="Z241" s="54"/>
      <c r="AA241" s="53">
        <v>15.50777821132937</v>
      </c>
      <c r="AB241" s="53">
        <v>15.50777821132937</v>
      </c>
      <c r="AC241" s="54">
        <v>5.1692594037764552</v>
      </c>
      <c r="AD241" s="53">
        <v>8.2708150460423298</v>
      </c>
      <c r="AE241" s="54">
        <v>10.33851880755291</v>
      </c>
      <c r="AF241" s="54">
        <v>6.2031112845317473</v>
      </c>
      <c r="AG241" s="53">
        <v>6.2031112845317473</v>
      </c>
      <c r="AH241" s="54">
        <v>12.406222569063489</v>
      </c>
      <c r="AI241" s="53">
        <v>10.33851880755291</v>
      </c>
      <c r="AJ241" s="53">
        <v>12.406222569063489</v>
      </c>
      <c r="AK241" s="53">
        <v>7.2369631652870394</v>
      </c>
      <c r="AL241" s="54">
        <v>7.2369631652870394</v>
      </c>
      <c r="AM241" s="54">
        <v>3.1015556422658741</v>
      </c>
      <c r="AN241" s="54">
        <v>5.1692594037764552</v>
      </c>
      <c r="AO241" s="54">
        <v>3.1015556422658741</v>
      </c>
      <c r="AP241" s="54">
        <v>31.015556422658729</v>
      </c>
      <c r="AQ241" s="54">
        <v>16.54163009208466</v>
      </c>
      <c r="AR241" s="39"/>
    </row>
    <row r="242" spans="1:44" ht="19.5" customHeight="1">
      <c r="A242" s="51"/>
      <c r="B242" s="76" t="s">
        <v>3429</v>
      </c>
      <c r="C242" s="51" t="s">
        <v>185</v>
      </c>
      <c r="D242" s="63" t="s">
        <v>3431</v>
      </c>
      <c r="E242" s="164">
        <v>5</v>
      </c>
      <c r="F242" s="52">
        <v>349734.19493948051</v>
      </c>
      <c r="G242" s="52">
        <v>208902.53239827359</v>
      </c>
      <c r="H242" s="52">
        <v>558636.7273377541</v>
      </c>
      <c r="I242" s="33">
        <v>121.641361804572</v>
      </c>
      <c r="J242" s="33">
        <v>121.641361804572</v>
      </c>
      <c r="K242" s="34">
        <v>40.547120601524</v>
      </c>
      <c r="L242" s="33">
        <v>64.875392962438411</v>
      </c>
      <c r="M242" s="34">
        <v>81.094241203048</v>
      </c>
      <c r="N242" s="34">
        <v>48.656544721828809</v>
      </c>
      <c r="O242" s="33">
        <v>48.656544721828809</v>
      </c>
      <c r="P242" s="34">
        <v>97.313089443657617</v>
      </c>
      <c r="Q242" s="33">
        <v>81.094241203048</v>
      </c>
      <c r="R242" s="33">
        <v>97.313089443657617</v>
      </c>
      <c r="S242" s="33">
        <v>56.76596884213361</v>
      </c>
      <c r="T242" s="34">
        <v>56.76596884213361</v>
      </c>
      <c r="U242" s="34">
        <v>24.328272360914401</v>
      </c>
      <c r="V242" s="34">
        <v>40.547120601524</v>
      </c>
      <c r="W242" s="34">
        <v>24.328272360914401</v>
      </c>
      <c r="X242" s="34">
        <v>243.282723609144</v>
      </c>
      <c r="Y242" s="34">
        <v>129.75078592487679</v>
      </c>
      <c r="Z242" s="34"/>
      <c r="AA242" s="33">
        <v>72.658575835705705</v>
      </c>
      <c r="AB242" s="33">
        <v>72.658575835705705</v>
      </c>
      <c r="AC242" s="34">
        <v>24.219525278568561</v>
      </c>
      <c r="AD242" s="33">
        <v>38.751240445709698</v>
      </c>
      <c r="AE242" s="34">
        <v>48.439050557137129</v>
      </c>
      <c r="AF242" s="34">
        <v>29.06343033428228</v>
      </c>
      <c r="AG242" s="33">
        <v>29.06343033428228</v>
      </c>
      <c r="AH242" s="34">
        <v>58.126860668564561</v>
      </c>
      <c r="AI242" s="33">
        <v>48.439050557137129</v>
      </c>
      <c r="AJ242" s="33">
        <v>58.126860668564561</v>
      </c>
      <c r="AK242" s="33">
        <v>33.907335389995993</v>
      </c>
      <c r="AL242" s="34">
        <v>33.907335389995993</v>
      </c>
      <c r="AM242" s="34">
        <v>14.53171516714114</v>
      </c>
      <c r="AN242" s="34">
        <v>24.219525278568561</v>
      </c>
      <c r="AO242" s="34">
        <v>14.53171516714114</v>
      </c>
      <c r="AP242" s="34">
        <v>145.31715167141141</v>
      </c>
      <c r="AQ242" s="34">
        <v>77.50248089141941</v>
      </c>
      <c r="AR242" s="37"/>
    </row>
    <row r="243" spans="1:44" ht="19.5" customHeight="1">
      <c r="A243" s="64">
        <f>A241+1</f>
        <v>6</v>
      </c>
      <c r="B243" s="81" t="s">
        <v>133</v>
      </c>
      <c r="C243" s="110" t="s">
        <v>94</v>
      </c>
      <c r="D243" s="56" t="s">
        <v>3439</v>
      </c>
      <c r="E243" s="30"/>
      <c r="F243" s="32">
        <v>0</v>
      </c>
      <c r="G243" s="32">
        <v>0</v>
      </c>
      <c r="H243" s="32">
        <v>0</v>
      </c>
      <c r="I243" s="33">
        <v>0</v>
      </c>
      <c r="J243" s="33">
        <v>0</v>
      </c>
      <c r="K243" s="34">
        <v>0</v>
      </c>
      <c r="L243" s="33">
        <v>0</v>
      </c>
      <c r="M243" s="34">
        <v>0</v>
      </c>
      <c r="N243" s="34">
        <v>0</v>
      </c>
      <c r="O243" s="33">
        <v>0</v>
      </c>
      <c r="P243" s="34">
        <v>0</v>
      </c>
      <c r="Q243" s="33">
        <v>0</v>
      </c>
      <c r="R243" s="33">
        <v>0</v>
      </c>
      <c r="S243" s="33">
        <v>0</v>
      </c>
      <c r="T243" s="34">
        <v>0</v>
      </c>
      <c r="U243" s="34">
        <v>0</v>
      </c>
      <c r="V243" s="34">
        <v>0</v>
      </c>
      <c r="W243" s="34">
        <v>0</v>
      </c>
      <c r="X243" s="34">
        <v>0</v>
      </c>
      <c r="Y243" s="34">
        <v>0</v>
      </c>
      <c r="Z243" s="34"/>
      <c r="AA243" s="33">
        <v>0</v>
      </c>
      <c r="AB243" s="33">
        <v>0</v>
      </c>
      <c r="AC243" s="34">
        <v>0</v>
      </c>
      <c r="AD243" s="33">
        <v>0</v>
      </c>
      <c r="AE243" s="34">
        <v>0</v>
      </c>
      <c r="AF243" s="34">
        <v>0</v>
      </c>
      <c r="AG243" s="33">
        <v>0</v>
      </c>
      <c r="AH243" s="34">
        <v>0</v>
      </c>
      <c r="AI243" s="33">
        <v>0</v>
      </c>
      <c r="AJ243" s="33">
        <v>0</v>
      </c>
      <c r="AK243" s="33">
        <v>0</v>
      </c>
      <c r="AL243" s="34">
        <v>0</v>
      </c>
      <c r="AM243" s="34">
        <v>0</v>
      </c>
      <c r="AN243" s="34">
        <v>0</v>
      </c>
      <c r="AO243" s="34">
        <v>0</v>
      </c>
      <c r="AP243" s="34">
        <v>0</v>
      </c>
      <c r="AQ243" s="34">
        <v>0</v>
      </c>
      <c r="AR243" s="39"/>
    </row>
    <row r="244" spans="1:44" ht="19.5" customHeight="1">
      <c r="A244" s="64">
        <f t="shared" ref="A244:A245" si="19">A243+1</f>
        <v>7</v>
      </c>
      <c r="B244" s="81" t="s">
        <v>133</v>
      </c>
      <c r="C244" s="110" t="s">
        <v>94</v>
      </c>
      <c r="D244" s="165" t="s">
        <v>3448</v>
      </c>
      <c r="E244" s="124"/>
      <c r="F244" s="32">
        <v>0</v>
      </c>
      <c r="G244" s="32">
        <v>0</v>
      </c>
      <c r="H244" s="32">
        <v>0</v>
      </c>
      <c r="I244" s="33">
        <v>0</v>
      </c>
      <c r="J244" s="33">
        <v>0</v>
      </c>
      <c r="K244" s="34">
        <v>0</v>
      </c>
      <c r="L244" s="33">
        <v>0</v>
      </c>
      <c r="M244" s="34">
        <v>0</v>
      </c>
      <c r="N244" s="34">
        <v>0</v>
      </c>
      <c r="O244" s="33">
        <v>0</v>
      </c>
      <c r="P244" s="34">
        <v>0</v>
      </c>
      <c r="Q244" s="33">
        <v>0</v>
      </c>
      <c r="R244" s="33">
        <v>0</v>
      </c>
      <c r="S244" s="33">
        <v>0</v>
      </c>
      <c r="T244" s="34">
        <v>0</v>
      </c>
      <c r="U244" s="34">
        <v>0</v>
      </c>
      <c r="V244" s="34">
        <v>0</v>
      </c>
      <c r="W244" s="34">
        <v>0</v>
      </c>
      <c r="X244" s="34">
        <v>0</v>
      </c>
      <c r="Y244" s="34">
        <v>0</v>
      </c>
      <c r="Z244" s="54"/>
      <c r="AA244" s="33">
        <v>0</v>
      </c>
      <c r="AB244" s="33">
        <v>0</v>
      </c>
      <c r="AC244" s="34">
        <v>0</v>
      </c>
      <c r="AD244" s="33">
        <v>0</v>
      </c>
      <c r="AE244" s="34">
        <v>0</v>
      </c>
      <c r="AF244" s="34">
        <v>0</v>
      </c>
      <c r="AG244" s="33">
        <v>0</v>
      </c>
      <c r="AH244" s="34">
        <v>0</v>
      </c>
      <c r="AI244" s="33">
        <v>0</v>
      </c>
      <c r="AJ244" s="33">
        <v>0</v>
      </c>
      <c r="AK244" s="33">
        <v>0</v>
      </c>
      <c r="AL244" s="34">
        <v>0</v>
      </c>
      <c r="AM244" s="34">
        <v>0</v>
      </c>
      <c r="AN244" s="34">
        <v>0</v>
      </c>
      <c r="AO244" s="34">
        <v>0</v>
      </c>
      <c r="AP244" s="34">
        <v>0</v>
      </c>
      <c r="AQ244" s="34">
        <v>0</v>
      </c>
      <c r="AR244" s="39"/>
    </row>
    <row r="245" spans="1:44" ht="19.5" customHeight="1">
      <c r="A245" s="64">
        <f t="shared" si="19"/>
        <v>8</v>
      </c>
      <c r="B245" s="81" t="s">
        <v>133</v>
      </c>
      <c r="C245" s="110" t="s">
        <v>94</v>
      </c>
      <c r="D245" s="163" t="s">
        <v>3455</v>
      </c>
      <c r="E245" s="124"/>
      <c r="F245" s="32">
        <v>0</v>
      </c>
      <c r="G245" s="32">
        <v>0</v>
      </c>
      <c r="H245" s="32">
        <v>0</v>
      </c>
      <c r="I245" s="53">
        <v>0</v>
      </c>
      <c r="J245" s="53">
        <v>0</v>
      </c>
      <c r="K245" s="54">
        <v>0</v>
      </c>
      <c r="L245" s="53">
        <v>0</v>
      </c>
      <c r="M245" s="54">
        <v>0</v>
      </c>
      <c r="N245" s="54">
        <v>0</v>
      </c>
      <c r="O245" s="53">
        <v>0</v>
      </c>
      <c r="P245" s="54">
        <v>0</v>
      </c>
      <c r="Q245" s="53">
        <v>0</v>
      </c>
      <c r="R245" s="53">
        <v>0</v>
      </c>
      <c r="S245" s="53">
        <v>0</v>
      </c>
      <c r="T245" s="54">
        <v>0</v>
      </c>
      <c r="U245" s="54">
        <v>0</v>
      </c>
      <c r="V245" s="54">
        <v>0</v>
      </c>
      <c r="W245" s="54">
        <v>0</v>
      </c>
      <c r="X245" s="54">
        <v>0</v>
      </c>
      <c r="Y245" s="54">
        <v>0</v>
      </c>
      <c r="Z245" s="34"/>
      <c r="AA245" s="33">
        <v>0</v>
      </c>
      <c r="AB245" s="33">
        <v>0</v>
      </c>
      <c r="AC245" s="34">
        <v>0</v>
      </c>
      <c r="AD245" s="33">
        <v>0</v>
      </c>
      <c r="AE245" s="34">
        <v>0</v>
      </c>
      <c r="AF245" s="34">
        <v>0</v>
      </c>
      <c r="AG245" s="33">
        <v>0</v>
      </c>
      <c r="AH245" s="34">
        <v>0</v>
      </c>
      <c r="AI245" s="33">
        <v>0</v>
      </c>
      <c r="AJ245" s="33">
        <v>0</v>
      </c>
      <c r="AK245" s="33">
        <v>0</v>
      </c>
      <c r="AL245" s="34">
        <v>0</v>
      </c>
      <c r="AM245" s="34">
        <v>0</v>
      </c>
      <c r="AN245" s="34">
        <v>0</v>
      </c>
      <c r="AO245" s="34">
        <v>0</v>
      </c>
      <c r="AP245" s="34">
        <v>0</v>
      </c>
      <c r="AQ245" s="34">
        <v>0</v>
      </c>
      <c r="AR245" s="37"/>
    </row>
    <row r="246" spans="1:44" ht="19.5" customHeight="1">
      <c r="A246" s="51"/>
      <c r="B246" s="14" t="s">
        <v>133</v>
      </c>
      <c r="C246" s="49" t="s">
        <v>389</v>
      </c>
      <c r="D246" s="63" t="s">
        <v>3460</v>
      </c>
      <c r="E246" s="51">
        <v>3</v>
      </c>
      <c r="F246" s="52">
        <v>0</v>
      </c>
      <c r="G246" s="52">
        <v>0</v>
      </c>
      <c r="H246" s="52">
        <v>0</v>
      </c>
      <c r="I246" s="53">
        <v>0</v>
      </c>
      <c r="J246" s="53">
        <v>0</v>
      </c>
      <c r="K246" s="54">
        <v>0</v>
      </c>
      <c r="L246" s="53">
        <v>0</v>
      </c>
      <c r="M246" s="54">
        <v>0</v>
      </c>
      <c r="N246" s="54">
        <v>0</v>
      </c>
      <c r="O246" s="53">
        <v>0</v>
      </c>
      <c r="P246" s="54">
        <v>0</v>
      </c>
      <c r="Q246" s="53">
        <v>0</v>
      </c>
      <c r="R246" s="53">
        <v>0</v>
      </c>
      <c r="S246" s="53">
        <v>0</v>
      </c>
      <c r="T246" s="54">
        <v>0</v>
      </c>
      <c r="U246" s="54">
        <v>0</v>
      </c>
      <c r="V246" s="54">
        <v>0</v>
      </c>
      <c r="W246" s="54">
        <v>0</v>
      </c>
      <c r="X246" s="54">
        <v>0</v>
      </c>
      <c r="Y246" s="54">
        <v>0</v>
      </c>
      <c r="Z246" s="34"/>
      <c r="AA246" s="33">
        <v>0</v>
      </c>
      <c r="AB246" s="33">
        <v>0</v>
      </c>
      <c r="AC246" s="34">
        <v>0</v>
      </c>
      <c r="AD246" s="33">
        <v>0</v>
      </c>
      <c r="AE246" s="34">
        <v>0</v>
      </c>
      <c r="AF246" s="34">
        <v>0</v>
      </c>
      <c r="AG246" s="33">
        <v>0</v>
      </c>
      <c r="AH246" s="34">
        <v>0</v>
      </c>
      <c r="AI246" s="33">
        <v>0</v>
      </c>
      <c r="AJ246" s="33">
        <v>0</v>
      </c>
      <c r="AK246" s="33">
        <v>0</v>
      </c>
      <c r="AL246" s="34">
        <v>0</v>
      </c>
      <c r="AM246" s="34">
        <v>0</v>
      </c>
      <c r="AN246" s="34">
        <v>0</v>
      </c>
      <c r="AO246" s="34">
        <v>0</v>
      </c>
      <c r="AP246" s="34">
        <v>0</v>
      </c>
      <c r="AQ246" s="34">
        <v>0</v>
      </c>
      <c r="AR246" s="39"/>
    </row>
    <row r="247" spans="1:44" ht="19.5" customHeight="1">
      <c r="A247" s="67"/>
      <c r="B247" s="118" t="s">
        <v>133</v>
      </c>
      <c r="C247" s="67" t="s">
        <v>435</v>
      </c>
      <c r="D247" s="93" t="s">
        <v>3470</v>
      </c>
      <c r="E247" s="127">
        <f>E246+E242</f>
        <v>8</v>
      </c>
      <c r="F247" s="68">
        <v>349734.19493948051</v>
      </c>
      <c r="G247" s="68">
        <v>208902.53239827359</v>
      </c>
      <c r="H247" s="68">
        <v>558636.7273377541</v>
      </c>
      <c r="I247" s="33">
        <v>121.641361804572</v>
      </c>
      <c r="J247" s="33">
        <v>121.641361804572</v>
      </c>
      <c r="K247" s="34">
        <v>40.547120601524</v>
      </c>
      <c r="L247" s="33">
        <v>64.875392962438411</v>
      </c>
      <c r="M247" s="34">
        <v>81.094241203048</v>
      </c>
      <c r="N247" s="34">
        <v>48.656544721828809</v>
      </c>
      <c r="O247" s="33">
        <v>48.656544721828809</v>
      </c>
      <c r="P247" s="34">
        <v>97.313089443657617</v>
      </c>
      <c r="Q247" s="33">
        <v>81.094241203048</v>
      </c>
      <c r="R247" s="33">
        <v>97.313089443657617</v>
      </c>
      <c r="S247" s="33">
        <v>56.76596884213361</v>
      </c>
      <c r="T247" s="34">
        <v>56.76596884213361</v>
      </c>
      <c r="U247" s="34">
        <v>24.328272360914401</v>
      </c>
      <c r="V247" s="34">
        <v>40.547120601524</v>
      </c>
      <c r="W247" s="34">
        <v>24.328272360914401</v>
      </c>
      <c r="X247" s="34">
        <v>243.282723609144</v>
      </c>
      <c r="Y247" s="34">
        <v>129.75078592487679</v>
      </c>
      <c r="Z247" s="34"/>
      <c r="AA247" s="33">
        <v>72.658575835705705</v>
      </c>
      <c r="AB247" s="33">
        <v>72.658575835705705</v>
      </c>
      <c r="AC247" s="34">
        <v>24.219525278568561</v>
      </c>
      <c r="AD247" s="33">
        <v>38.751240445709698</v>
      </c>
      <c r="AE247" s="34">
        <v>48.439050557137129</v>
      </c>
      <c r="AF247" s="34">
        <v>29.06343033428228</v>
      </c>
      <c r="AG247" s="33">
        <v>29.06343033428228</v>
      </c>
      <c r="AH247" s="34">
        <v>58.126860668564561</v>
      </c>
      <c r="AI247" s="33">
        <v>48.439050557137129</v>
      </c>
      <c r="AJ247" s="33">
        <v>58.126860668564561</v>
      </c>
      <c r="AK247" s="33">
        <v>33.907335389995993</v>
      </c>
      <c r="AL247" s="34">
        <v>33.907335389995993</v>
      </c>
      <c r="AM247" s="34">
        <v>14.53171516714114</v>
      </c>
      <c r="AN247" s="34">
        <v>24.219525278568561</v>
      </c>
      <c r="AO247" s="34">
        <v>14.53171516714114</v>
      </c>
      <c r="AP247" s="34">
        <v>145.31715167141141</v>
      </c>
      <c r="AQ247" s="34">
        <v>77.50248089141941</v>
      </c>
      <c r="AR247" s="39"/>
    </row>
    <row r="248" spans="1:44" ht="19.5" customHeight="1">
      <c r="A248" s="32"/>
      <c r="B248" s="32"/>
      <c r="C248" s="32"/>
      <c r="D248" s="151"/>
      <c r="E248" s="32"/>
      <c r="F248" s="32"/>
      <c r="G248" s="32"/>
      <c r="H248" s="32">
        <v>0</v>
      </c>
      <c r="I248" s="69">
        <v>0</v>
      </c>
      <c r="J248" s="69">
        <v>0</v>
      </c>
      <c r="K248" s="70">
        <v>0</v>
      </c>
      <c r="L248" s="69">
        <v>0</v>
      </c>
      <c r="M248" s="70">
        <v>0</v>
      </c>
      <c r="N248" s="70">
        <v>0</v>
      </c>
      <c r="O248" s="69">
        <v>0</v>
      </c>
      <c r="P248" s="70">
        <v>0</v>
      </c>
      <c r="Q248" s="69">
        <v>0</v>
      </c>
      <c r="R248" s="69">
        <v>0</v>
      </c>
      <c r="S248" s="69">
        <v>0</v>
      </c>
      <c r="T248" s="70">
        <v>0</v>
      </c>
      <c r="U248" s="70">
        <v>0</v>
      </c>
      <c r="V248" s="70">
        <v>0</v>
      </c>
      <c r="W248" s="70">
        <v>0</v>
      </c>
      <c r="X248" s="70">
        <v>0</v>
      </c>
      <c r="Y248" s="70">
        <v>0</v>
      </c>
      <c r="Z248" s="70"/>
      <c r="AA248" s="69">
        <v>0</v>
      </c>
      <c r="AB248" s="69">
        <v>0</v>
      </c>
      <c r="AC248" s="70">
        <v>0</v>
      </c>
      <c r="AD248" s="69">
        <v>0</v>
      </c>
      <c r="AE248" s="70">
        <v>0</v>
      </c>
      <c r="AF248" s="70">
        <v>0</v>
      </c>
      <c r="AG248" s="69">
        <v>0</v>
      </c>
      <c r="AH248" s="70">
        <v>0</v>
      </c>
      <c r="AI248" s="69">
        <v>0</v>
      </c>
      <c r="AJ248" s="69">
        <v>0</v>
      </c>
      <c r="AK248" s="69">
        <v>0</v>
      </c>
      <c r="AL248" s="70">
        <v>0</v>
      </c>
      <c r="AM248" s="70">
        <v>0</v>
      </c>
      <c r="AN248" s="70">
        <v>0</v>
      </c>
      <c r="AO248" s="70">
        <v>0</v>
      </c>
      <c r="AP248" s="70">
        <v>0</v>
      </c>
      <c r="AQ248" s="70">
        <v>0</v>
      </c>
      <c r="AR248" s="39"/>
    </row>
    <row r="249" spans="1:44" ht="19.5" customHeight="1">
      <c r="A249" s="67"/>
      <c r="B249" s="118" t="s">
        <v>3481</v>
      </c>
      <c r="C249" s="67"/>
      <c r="D249" s="93"/>
      <c r="E249" s="67">
        <f>E247+E234+E211</f>
        <v>35</v>
      </c>
      <c r="F249" s="68">
        <v>1977067.4115912679</v>
      </c>
      <c r="G249" s="68">
        <v>1324022.867540895</v>
      </c>
      <c r="H249" s="68">
        <v>3301090.2791321622</v>
      </c>
      <c r="I249" s="33">
        <v>687.64557714185787</v>
      </c>
      <c r="J249" s="33">
        <v>687.64557714185787</v>
      </c>
      <c r="K249" s="34">
        <v>229.2151923806193</v>
      </c>
      <c r="L249" s="33">
        <v>366.74430780899092</v>
      </c>
      <c r="M249" s="34">
        <v>458.43038476123849</v>
      </c>
      <c r="N249" s="34">
        <v>275.05823085674319</v>
      </c>
      <c r="O249" s="33">
        <v>275.05823085674319</v>
      </c>
      <c r="P249" s="34">
        <v>550.11646171348639</v>
      </c>
      <c r="Q249" s="33">
        <v>458.43038476123849</v>
      </c>
      <c r="R249" s="33">
        <v>550.11646171348639</v>
      </c>
      <c r="S249" s="33">
        <v>320.90126933286712</v>
      </c>
      <c r="T249" s="34">
        <v>320.90126933286712</v>
      </c>
      <c r="U249" s="34">
        <v>137.5291154283716</v>
      </c>
      <c r="V249" s="34">
        <v>229.2151923806193</v>
      </c>
      <c r="W249" s="34">
        <v>137.5291154283716</v>
      </c>
      <c r="X249" s="34">
        <v>1375.291154283716</v>
      </c>
      <c r="Y249" s="34">
        <v>733.48861561798174</v>
      </c>
      <c r="Z249" s="34"/>
      <c r="AA249" s="33">
        <v>460.50957269402471</v>
      </c>
      <c r="AB249" s="33">
        <v>460.50957269402471</v>
      </c>
      <c r="AC249" s="34">
        <v>153.5031908980082</v>
      </c>
      <c r="AD249" s="33">
        <v>245.60510543681309</v>
      </c>
      <c r="AE249" s="34">
        <v>307.0063817960164</v>
      </c>
      <c r="AF249" s="34">
        <v>184.2038290776099</v>
      </c>
      <c r="AG249" s="33">
        <v>184.2038290776099</v>
      </c>
      <c r="AH249" s="34">
        <v>368.40765815521968</v>
      </c>
      <c r="AI249" s="33">
        <v>307.0063817960164</v>
      </c>
      <c r="AJ249" s="33">
        <v>368.40765815521968</v>
      </c>
      <c r="AK249" s="33">
        <v>214.90446725721151</v>
      </c>
      <c r="AL249" s="34">
        <v>214.90446725721151</v>
      </c>
      <c r="AM249" s="34">
        <v>92.101914538804934</v>
      </c>
      <c r="AN249" s="34">
        <v>153.5031908980082</v>
      </c>
      <c r="AO249" s="34">
        <v>92.101914538804934</v>
      </c>
      <c r="AP249" s="34">
        <v>921.01914538804931</v>
      </c>
      <c r="AQ249" s="34">
        <v>491.21021087362629</v>
      </c>
      <c r="AR249" s="121"/>
    </row>
    <row r="250" spans="1:44" ht="19.5" customHeight="1">
      <c r="A250" s="62"/>
      <c r="B250" s="76"/>
      <c r="C250" s="51"/>
      <c r="D250" s="63"/>
      <c r="E250" s="68"/>
      <c r="F250" s="32"/>
      <c r="G250" s="32"/>
      <c r="H250" s="32">
        <v>0</v>
      </c>
      <c r="I250" s="33">
        <v>0</v>
      </c>
      <c r="J250" s="33">
        <v>0</v>
      </c>
      <c r="K250" s="34">
        <v>0</v>
      </c>
      <c r="L250" s="33">
        <v>0</v>
      </c>
      <c r="M250" s="34">
        <v>0</v>
      </c>
      <c r="N250" s="34">
        <v>0</v>
      </c>
      <c r="O250" s="33">
        <v>0</v>
      </c>
      <c r="P250" s="34">
        <v>0</v>
      </c>
      <c r="Q250" s="33">
        <v>0</v>
      </c>
      <c r="R250" s="33">
        <v>0</v>
      </c>
      <c r="S250" s="33">
        <v>0</v>
      </c>
      <c r="T250" s="34">
        <v>0</v>
      </c>
      <c r="U250" s="34">
        <v>0</v>
      </c>
      <c r="V250" s="34">
        <v>0</v>
      </c>
      <c r="W250" s="34">
        <v>0</v>
      </c>
      <c r="X250" s="34">
        <v>0</v>
      </c>
      <c r="Y250" s="34">
        <v>0</v>
      </c>
      <c r="Z250" s="34"/>
      <c r="AA250" s="33">
        <v>0</v>
      </c>
      <c r="AB250" s="33">
        <v>0</v>
      </c>
      <c r="AC250" s="34">
        <v>0</v>
      </c>
      <c r="AD250" s="33">
        <v>0</v>
      </c>
      <c r="AE250" s="34">
        <v>0</v>
      </c>
      <c r="AF250" s="34">
        <v>0</v>
      </c>
      <c r="AG250" s="33">
        <v>0</v>
      </c>
      <c r="AH250" s="34">
        <v>0</v>
      </c>
      <c r="AI250" s="33">
        <v>0</v>
      </c>
      <c r="AJ250" s="33">
        <v>0</v>
      </c>
      <c r="AK250" s="33">
        <v>0</v>
      </c>
      <c r="AL250" s="34">
        <v>0</v>
      </c>
      <c r="AM250" s="34">
        <v>0</v>
      </c>
      <c r="AN250" s="34">
        <v>0</v>
      </c>
      <c r="AO250" s="34">
        <v>0</v>
      </c>
      <c r="AP250" s="34">
        <v>0</v>
      </c>
      <c r="AQ250" s="34">
        <v>0</v>
      </c>
      <c r="AR250" s="39"/>
    </row>
    <row r="251" spans="1:44" ht="19.5" customHeight="1">
      <c r="A251" s="76" t="s">
        <v>3499</v>
      </c>
      <c r="B251" s="67"/>
      <c r="C251" s="51"/>
      <c r="D251" s="51"/>
      <c r="E251" s="68"/>
      <c r="F251" s="32"/>
      <c r="G251" s="32"/>
      <c r="H251" s="32">
        <v>0</v>
      </c>
      <c r="I251" s="33">
        <v>0</v>
      </c>
      <c r="J251" s="33">
        <v>0</v>
      </c>
      <c r="K251" s="34">
        <v>0</v>
      </c>
      <c r="L251" s="33">
        <v>0</v>
      </c>
      <c r="M251" s="34">
        <v>0</v>
      </c>
      <c r="N251" s="34">
        <v>0</v>
      </c>
      <c r="O251" s="33">
        <v>0</v>
      </c>
      <c r="P251" s="34">
        <v>0</v>
      </c>
      <c r="Q251" s="33">
        <v>0</v>
      </c>
      <c r="R251" s="33">
        <v>0</v>
      </c>
      <c r="S251" s="33">
        <v>0</v>
      </c>
      <c r="T251" s="34">
        <v>0</v>
      </c>
      <c r="U251" s="34">
        <v>0</v>
      </c>
      <c r="V251" s="34">
        <v>0</v>
      </c>
      <c r="W251" s="34">
        <v>0</v>
      </c>
      <c r="X251" s="34">
        <v>0</v>
      </c>
      <c r="Y251" s="34">
        <v>0</v>
      </c>
      <c r="Z251" s="34"/>
      <c r="AA251" s="33">
        <v>0</v>
      </c>
      <c r="AB251" s="33">
        <v>0</v>
      </c>
      <c r="AC251" s="34">
        <v>0</v>
      </c>
      <c r="AD251" s="33">
        <v>0</v>
      </c>
      <c r="AE251" s="34">
        <v>0</v>
      </c>
      <c r="AF251" s="34">
        <v>0</v>
      </c>
      <c r="AG251" s="33">
        <v>0</v>
      </c>
      <c r="AH251" s="34">
        <v>0</v>
      </c>
      <c r="AI251" s="33">
        <v>0</v>
      </c>
      <c r="AJ251" s="33">
        <v>0</v>
      </c>
      <c r="AK251" s="33">
        <v>0</v>
      </c>
      <c r="AL251" s="34">
        <v>0</v>
      </c>
      <c r="AM251" s="34">
        <v>0</v>
      </c>
      <c r="AN251" s="34">
        <v>0</v>
      </c>
      <c r="AO251" s="34">
        <v>0</v>
      </c>
      <c r="AP251" s="34">
        <v>0</v>
      </c>
      <c r="AQ251" s="34">
        <v>0</v>
      </c>
      <c r="AR251" s="39"/>
    </row>
    <row r="252" spans="1:44" ht="19.5" customHeight="1">
      <c r="A252" s="166">
        <v>1</v>
      </c>
      <c r="B252" s="155" t="s">
        <v>133</v>
      </c>
      <c r="C252" s="154" t="s">
        <v>230</v>
      </c>
      <c r="D252" s="167" t="s">
        <v>3357</v>
      </c>
      <c r="E252" s="124"/>
      <c r="F252" s="32">
        <v>0</v>
      </c>
      <c r="G252" s="32">
        <v>22293.405169011519</v>
      </c>
      <c r="H252" s="32">
        <v>22293.405169011519</v>
      </c>
      <c r="I252" s="33">
        <v>0</v>
      </c>
      <c r="J252" s="33">
        <v>0</v>
      </c>
      <c r="K252" s="34">
        <v>0</v>
      </c>
      <c r="L252" s="33">
        <v>0</v>
      </c>
      <c r="M252" s="34">
        <v>0</v>
      </c>
      <c r="N252" s="34">
        <v>0</v>
      </c>
      <c r="O252" s="33">
        <v>0</v>
      </c>
      <c r="P252" s="34">
        <v>0</v>
      </c>
      <c r="Q252" s="33">
        <v>0</v>
      </c>
      <c r="R252" s="33">
        <v>0</v>
      </c>
      <c r="S252" s="33">
        <v>0</v>
      </c>
      <c r="T252" s="34">
        <v>0</v>
      </c>
      <c r="U252" s="34">
        <v>0</v>
      </c>
      <c r="V252" s="34">
        <v>0</v>
      </c>
      <c r="W252" s="34">
        <v>0</v>
      </c>
      <c r="X252" s="34">
        <v>0</v>
      </c>
      <c r="Y252" s="34">
        <v>0</v>
      </c>
      <c r="Z252" s="34"/>
      <c r="AA252" s="33">
        <v>7.7538891056646833</v>
      </c>
      <c r="AB252" s="33">
        <v>7.7538891056646833</v>
      </c>
      <c r="AC252" s="34">
        <v>2.584629701888228</v>
      </c>
      <c r="AD252" s="33">
        <v>4.1354075230211649</v>
      </c>
      <c r="AE252" s="34">
        <v>5.1692594037764552</v>
      </c>
      <c r="AF252" s="34">
        <v>3.1015556422658741</v>
      </c>
      <c r="AG252" s="33">
        <v>3.1015556422658741</v>
      </c>
      <c r="AH252" s="34">
        <v>6.2031112845317473</v>
      </c>
      <c r="AI252" s="33">
        <v>5.1692594037764552</v>
      </c>
      <c r="AJ252" s="33">
        <v>6.2031112845317473</v>
      </c>
      <c r="AK252" s="33">
        <v>3.6184815826435188</v>
      </c>
      <c r="AL252" s="34">
        <v>3.6184815826435188</v>
      </c>
      <c r="AM252" s="34">
        <v>1.5507778211329371</v>
      </c>
      <c r="AN252" s="34">
        <v>2.584629701888228</v>
      </c>
      <c r="AO252" s="34">
        <v>1.5507778211329371</v>
      </c>
      <c r="AP252" s="34">
        <v>15.50777821132937</v>
      </c>
      <c r="AQ252" s="34">
        <v>8.2708150460423298</v>
      </c>
      <c r="AR252" s="39"/>
    </row>
    <row r="253" spans="1:44" ht="19.5" customHeight="1">
      <c r="A253" s="166">
        <f t="shared" ref="A253:A256" si="20">A252+1</f>
        <v>2</v>
      </c>
      <c r="B253" s="155" t="s">
        <v>133</v>
      </c>
      <c r="C253" s="154" t="s">
        <v>94</v>
      </c>
      <c r="D253" s="167" t="s">
        <v>3365</v>
      </c>
      <c r="E253" s="124"/>
      <c r="F253" s="32">
        <v>25000</v>
      </c>
      <c r="G253" s="32">
        <v>22293.405169011519</v>
      </c>
      <c r="H253" s="32">
        <v>47293.405169011523</v>
      </c>
      <c r="I253" s="33">
        <v>8.695272264242087</v>
      </c>
      <c r="J253" s="33">
        <v>8.695272264242087</v>
      </c>
      <c r="K253" s="34">
        <v>2.898424088080696</v>
      </c>
      <c r="L253" s="33">
        <v>4.6374785409291137</v>
      </c>
      <c r="M253" s="34">
        <v>5.796848176161391</v>
      </c>
      <c r="N253" s="34">
        <v>3.4781089056968351</v>
      </c>
      <c r="O253" s="33">
        <v>3.4781089056968351</v>
      </c>
      <c r="P253" s="34">
        <v>6.9562178113936701</v>
      </c>
      <c r="Q253" s="33">
        <v>5.796848176161391</v>
      </c>
      <c r="R253" s="33">
        <v>6.9562178113936701</v>
      </c>
      <c r="S253" s="33">
        <v>4.0577937233129742</v>
      </c>
      <c r="T253" s="34">
        <v>4.0577937233129742</v>
      </c>
      <c r="U253" s="34">
        <v>1.739054452848418</v>
      </c>
      <c r="V253" s="34">
        <v>2.898424088080696</v>
      </c>
      <c r="W253" s="34">
        <v>1.739054452848418</v>
      </c>
      <c r="X253" s="34">
        <v>17.39054452848417</v>
      </c>
      <c r="Y253" s="34">
        <v>9.2749570818582274</v>
      </c>
      <c r="Z253" s="54"/>
      <c r="AA253" s="33">
        <v>7.7538891056646833</v>
      </c>
      <c r="AB253" s="33">
        <v>7.7538891056646833</v>
      </c>
      <c r="AC253" s="34">
        <v>2.584629701888228</v>
      </c>
      <c r="AD253" s="33">
        <v>4.1354075230211649</v>
      </c>
      <c r="AE253" s="34">
        <v>5.1692594037764552</v>
      </c>
      <c r="AF253" s="34">
        <v>3.1015556422658741</v>
      </c>
      <c r="AG253" s="33">
        <v>3.1015556422658741</v>
      </c>
      <c r="AH253" s="34">
        <v>6.2031112845317473</v>
      </c>
      <c r="AI253" s="33">
        <v>5.1692594037764552</v>
      </c>
      <c r="AJ253" s="33">
        <v>6.2031112845317473</v>
      </c>
      <c r="AK253" s="33">
        <v>3.6184815826435188</v>
      </c>
      <c r="AL253" s="34">
        <v>3.6184815826435188</v>
      </c>
      <c r="AM253" s="34">
        <v>1.5507778211329371</v>
      </c>
      <c r="AN253" s="34">
        <v>2.584629701888228</v>
      </c>
      <c r="AO253" s="34">
        <v>1.5507778211329371</v>
      </c>
      <c r="AP253" s="34">
        <v>15.50777821132937</v>
      </c>
      <c r="AQ253" s="34">
        <v>8.2708150460423298</v>
      </c>
      <c r="AR253" s="39"/>
    </row>
    <row r="254" spans="1:44" ht="19.5" customHeight="1">
      <c r="A254" s="166">
        <f t="shared" si="20"/>
        <v>3</v>
      </c>
      <c r="B254" s="155" t="s">
        <v>133</v>
      </c>
      <c r="C254" s="154" t="s">
        <v>94</v>
      </c>
      <c r="D254" s="167" t="s">
        <v>3523</v>
      </c>
      <c r="E254" s="124"/>
      <c r="F254" s="32">
        <v>53152</v>
      </c>
      <c r="G254" s="32">
        <v>27866.756461264398</v>
      </c>
      <c r="H254" s="32">
        <v>81018.756461264391</v>
      </c>
      <c r="I254" s="33">
        <v>18.486844455559819</v>
      </c>
      <c r="J254" s="33">
        <v>18.486844455559819</v>
      </c>
      <c r="K254" s="34">
        <v>6.1622814851866057</v>
      </c>
      <c r="L254" s="33">
        <v>9.8596503762985694</v>
      </c>
      <c r="M254" s="34">
        <v>12.32456297037321</v>
      </c>
      <c r="N254" s="34">
        <v>7.3947377822239284</v>
      </c>
      <c r="O254" s="33">
        <v>7.3947377822239284</v>
      </c>
      <c r="P254" s="34">
        <v>14.78947556444786</v>
      </c>
      <c r="Q254" s="33">
        <v>12.32456297037321</v>
      </c>
      <c r="R254" s="33">
        <v>14.78947556444786</v>
      </c>
      <c r="S254" s="33">
        <v>8.6271940792612494</v>
      </c>
      <c r="T254" s="34">
        <v>8.6271940792612494</v>
      </c>
      <c r="U254" s="34">
        <v>3.6973688911119642</v>
      </c>
      <c r="V254" s="34">
        <v>6.1622814851866057</v>
      </c>
      <c r="W254" s="34">
        <v>3.6973688911119642</v>
      </c>
      <c r="X254" s="34">
        <v>36.973688911119638</v>
      </c>
      <c r="Y254" s="34">
        <v>19.719300752597139</v>
      </c>
      <c r="Z254" s="54"/>
      <c r="AA254" s="33">
        <v>9.6923613820808523</v>
      </c>
      <c r="AB254" s="33">
        <v>9.6923613820808523</v>
      </c>
      <c r="AC254" s="34">
        <v>3.230787127360284</v>
      </c>
      <c r="AD254" s="33">
        <v>5.1692594037764552</v>
      </c>
      <c r="AE254" s="34">
        <v>6.4615742547205679</v>
      </c>
      <c r="AF254" s="34">
        <v>3.8769445528323412</v>
      </c>
      <c r="AG254" s="33">
        <v>3.8769445528323412</v>
      </c>
      <c r="AH254" s="34">
        <v>7.7538891056646824</v>
      </c>
      <c r="AI254" s="33">
        <v>6.4615742547205679</v>
      </c>
      <c r="AJ254" s="33">
        <v>7.7538891056646824</v>
      </c>
      <c r="AK254" s="33">
        <v>4.523101978304398</v>
      </c>
      <c r="AL254" s="34">
        <v>4.523101978304398</v>
      </c>
      <c r="AM254" s="34">
        <v>1.938472276416171</v>
      </c>
      <c r="AN254" s="34">
        <v>3.230787127360284</v>
      </c>
      <c r="AO254" s="34">
        <v>1.938472276416171</v>
      </c>
      <c r="AP254" s="34">
        <v>19.384722764161701</v>
      </c>
      <c r="AQ254" s="34">
        <v>10.33851880755291</v>
      </c>
      <c r="AR254" s="37"/>
    </row>
    <row r="255" spans="1:44" ht="19.5" customHeight="1">
      <c r="A255" s="166">
        <f t="shared" si="20"/>
        <v>4</v>
      </c>
      <c r="B255" s="155" t="s">
        <v>133</v>
      </c>
      <c r="C255" s="154" t="s">
        <v>94</v>
      </c>
      <c r="D255" s="167" t="s">
        <v>3531</v>
      </c>
      <c r="E255" s="124"/>
      <c r="F255" s="32">
        <v>30000</v>
      </c>
      <c r="G255" s="32">
        <v>21644.082688360701</v>
      </c>
      <c r="H255" s="32">
        <v>51644.082688360701</v>
      </c>
      <c r="I255" s="33">
        <v>10.43432671709051</v>
      </c>
      <c r="J255" s="33">
        <v>10.43432671709051</v>
      </c>
      <c r="K255" s="34">
        <v>3.4781089056968351</v>
      </c>
      <c r="L255" s="33">
        <v>5.564974249114937</v>
      </c>
      <c r="M255" s="34">
        <v>6.9562178113936701</v>
      </c>
      <c r="N255" s="34">
        <v>4.173730686836203</v>
      </c>
      <c r="O255" s="33">
        <v>4.173730686836203</v>
      </c>
      <c r="P255" s="34">
        <v>8.3474613736724059</v>
      </c>
      <c r="Q255" s="33">
        <v>6.9562178113936701</v>
      </c>
      <c r="R255" s="33">
        <v>8.3474613736724059</v>
      </c>
      <c r="S255" s="33">
        <v>4.8693524679755704</v>
      </c>
      <c r="T255" s="34">
        <v>4.8693524679755704</v>
      </c>
      <c r="U255" s="34">
        <v>2.086865343418101</v>
      </c>
      <c r="V255" s="34">
        <v>3.4781089056968351</v>
      </c>
      <c r="W255" s="34">
        <v>2.086865343418101</v>
      </c>
      <c r="X255" s="34">
        <v>20.868653434181009</v>
      </c>
      <c r="Y255" s="34">
        <v>11.12994849822987</v>
      </c>
      <c r="Z255" s="34"/>
      <c r="AA255" s="33">
        <v>7.5280476754026058</v>
      </c>
      <c r="AB255" s="33">
        <v>7.5280476754026058</v>
      </c>
      <c r="AC255" s="34">
        <v>2.5093492251342022</v>
      </c>
      <c r="AD255" s="33">
        <v>4.0149587602147232</v>
      </c>
      <c r="AE255" s="34">
        <v>5.0186984502684044</v>
      </c>
      <c r="AF255" s="34">
        <v>3.011219070161042</v>
      </c>
      <c r="AG255" s="33">
        <v>3.011219070161042</v>
      </c>
      <c r="AH255" s="34">
        <v>6.0224381403220848</v>
      </c>
      <c r="AI255" s="33">
        <v>5.0186984502684044</v>
      </c>
      <c r="AJ255" s="33">
        <v>6.0224381403220848</v>
      </c>
      <c r="AK255" s="33">
        <v>3.513088915187883</v>
      </c>
      <c r="AL255" s="34">
        <v>3.513088915187883</v>
      </c>
      <c r="AM255" s="34">
        <v>1.505609535080521</v>
      </c>
      <c r="AN255" s="34">
        <v>2.5093492251342022</v>
      </c>
      <c r="AO255" s="34">
        <v>1.505609535080521</v>
      </c>
      <c r="AP255" s="34">
        <v>15.05609535080521</v>
      </c>
      <c r="AQ255" s="34">
        <v>8.0299175204294464</v>
      </c>
      <c r="AR255" s="37"/>
    </row>
    <row r="256" spans="1:44" ht="19.5" customHeight="1">
      <c r="A256" s="166">
        <f t="shared" si="20"/>
        <v>5</v>
      </c>
      <c r="B256" s="167" t="s">
        <v>3537</v>
      </c>
      <c r="C256" s="154" t="s">
        <v>1098</v>
      </c>
      <c r="D256" s="167" t="s">
        <v>3385</v>
      </c>
      <c r="E256" s="124"/>
      <c r="F256" s="32">
        <v>15678.33881051002</v>
      </c>
      <c r="G256" s="32">
        <v>14200</v>
      </c>
      <c r="H256" s="32">
        <v>29878.33881051002</v>
      </c>
      <c r="I256" s="53">
        <v>5.4530969843367219</v>
      </c>
      <c r="J256" s="53">
        <v>5.4530969843367219</v>
      </c>
      <c r="K256" s="54">
        <v>1.8176989947789071</v>
      </c>
      <c r="L256" s="53">
        <v>2.9083183916462518</v>
      </c>
      <c r="M256" s="54">
        <v>3.6353979895578141</v>
      </c>
      <c r="N256" s="54">
        <v>2.1812387937346891</v>
      </c>
      <c r="O256" s="53">
        <v>2.1812387937346891</v>
      </c>
      <c r="P256" s="54">
        <v>4.3624775874693782</v>
      </c>
      <c r="Q256" s="53">
        <v>3.6353979895578141</v>
      </c>
      <c r="R256" s="53">
        <v>4.3624775874693782</v>
      </c>
      <c r="S256" s="53">
        <v>2.54477859269047</v>
      </c>
      <c r="T256" s="54">
        <v>2.54477859269047</v>
      </c>
      <c r="U256" s="54">
        <v>1.090619396867345</v>
      </c>
      <c r="V256" s="54">
        <v>1.8176989947789071</v>
      </c>
      <c r="W256" s="54">
        <v>1.090619396867345</v>
      </c>
      <c r="X256" s="54">
        <v>10.90619396867344</v>
      </c>
      <c r="Y256" s="54">
        <v>5.8166367832925037</v>
      </c>
      <c r="Z256" s="34"/>
      <c r="AA256" s="33">
        <v>4.9389146460895059</v>
      </c>
      <c r="AB256" s="33">
        <v>4.9389146460895059</v>
      </c>
      <c r="AC256" s="34">
        <v>1.6463048820298349</v>
      </c>
      <c r="AD256" s="33">
        <v>2.6340878112477371</v>
      </c>
      <c r="AE256" s="34">
        <v>3.2926097640596699</v>
      </c>
      <c r="AF256" s="34">
        <v>1.975565858435802</v>
      </c>
      <c r="AG256" s="33">
        <v>1.975565858435802</v>
      </c>
      <c r="AH256" s="34">
        <v>3.9511317168716049</v>
      </c>
      <c r="AI256" s="33">
        <v>3.2926097640596699</v>
      </c>
      <c r="AJ256" s="33">
        <v>3.9511317168716049</v>
      </c>
      <c r="AK256" s="33">
        <v>2.3048268348417689</v>
      </c>
      <c r="AL256" s="34">
        <v>2.3048268348417689</v>
      </c>
      <c r="AM256" s="34">
        <v>0.98778292921790123</v>
      </c>
      <c r="AN256" s="34">
        <v>1.6463048820298349</v>
      </c>
      <c r="AO256" s="34">
        <v>0.98778292921790123</v>
      </c>
      <c r="AP256" s="34">
        <v>9.8778292921790118</v>
      </c>
      <c r="AQ256" s="34">
        <v>5.2681756224954732</v>
      </c>
      <c r="AR256" s="39"/>
    </row>
    <row r="257" spans="1:44" ht="19.5" customHeight="1">
      <c r="A257" s="168"/>
      <c r="B257" s="169" t="s">
        <v>3539</v>
      </c>
      <c r="C257" s="83" t="s">
        <v>835</v>
      </c>
      <c r="D257" s="170" t="s">
        <v>3540</v>
      </c>
      <c r="E257" s="164">
        <v>4</v>
      </c>
      <c r="F257" s="171">
        <v>123830.33881051</v>
      </c>
      <c r="G257" s="171">
        <v>108297.6494876482</v>
      </c>
      <c r="H257" s="171">
        <v>232127.98829815819</v>
      </c>
      <c r="I257" s="33">
        <v>43.069540421229142</v>
      </c>
      <c r="J257" s="33">
        <v>43.069540421229142</v>
      </c>
      <c r="K257" s="34">
        <v>14.356513473743041</v>
      </c>
      <c r="L257" s="33">
        <v>22.970421557988871</v>
      </c>
      <c r="M257" s="34">
        <v>28.713026947486089</v>
      </c>
      <c r="N257" s="34">
        <v>17.22781616849166</v>
      </c>
      <c r="O257" s="33">
        <v>17.22781616849166</v>
      </c>
      <c r="P257" s="34">
        <v>34.455632336983307</v>
      </c>
      <c r="Q257" s="33">
        <v>28.713026947486089</v>
      </c>
      <c r="R257" s="33">
        <v>34.455632336983307</v>
      </c>
      <c r="S257" s="33">
        <v>20.09911886324026</v>
      </c>
      <c r="T257" s="34">
        <v>20.09911886324026</v>
      </c>
      <c r="U257" s="34">
        <v>8.6139080842458284</v>
      </c>
      <c r="V257" s="34">
        <v>14.356513473743041</v>
      </c>
      <c r="W257" s="34">
        <v>8.6139080842458284</v>
      </c>
      <c r="X257" s="34">
        <v>86.13908084245827</v>
      </c>
      <c r="Y257" s="34">
        <v>45.940843115977742</v>
      </c>
      <c r="Z257" s="34"/>
      <c r="AA257" s="33">
        <v>37.667101914902339</v>
      </c>
      <c r="AB257" s="33">
        <v>37.667101914902339</v>
      </c>
      <c r="AC257" s="34">
        <v>12.555700638300779</v>
      </c>
      <c r="AD257" s="33">
        <v>20.089121021281251</v>
      </c>
      <c r="AE257" s="34">
        <v>25.111401276601551</v>
      </c>
      <c r="AF257" s="34">
        <v>15.06684076596094</v>
      </c>
      <c r="AG257" s="33">
        <v>15.06684076596094</v>
      </c>
      <c r="AH257" s="34">
        <v>30.133681531921869</v>
      </c>
      <c r="AI257" s="33">
        <v>25.111401276601551</v>
      </c>
      <c r="AJ257" s="33">
        <v>30.133681531921869</v>
      </c>
      <c r="AK257" s="33">
        <v>17.577980893621088</v>
      </c>
      <c r="AL257" s="34">
        <v>17.577980893621088</v>
      </c>
      <c r="AM257" s="34">
        <v>7.5334203829804682</v>
      </c>
      <c r="AN257" s="34">
        <v>12.555700638300779</v>
      </c>
      <c r="AO257" s="34">
        <v>7.5334203829804682</v>
      </c>
      <c r="AP257" s="34">
        <v>75.334203829804679</v>
      </c>
      <c r="AQ257" s="34">
        <v>40.178242042562488</v>
      </c>
      <c r="AR257" s="39"/>
    </row>
    <row r="258" spans="1:44" ht="19.5" customHeight="1">
      <c r="A258" s="166">
        <f>A256+1</f>
        <v>6</v>
      </c>
      <c r="B258" s="173" t="s">
        <v>3541</v>
      </c>
      <c r="C258" s="58" t="s">
        <v>132</v>
      </c>
      <c r="D258" s="167" t="s">
        <v>3545</v>
      </c>
      <c r="E258" s="124"/>
      <c r="F258" s="32">
        <v>20000</v>
      </c>
      <c r="G258" s="32">
        <v>51412.559154924602</v>
      </c>
      <c r="H258" s="32">
        <v>71412.559154924602</v>
      </c>
      <c r="I258" s="33">
        <v>6.956217811393671</v>
      </c>
      <c r="J258" s="33">
        <v>6.956217811393671</v>
      </c>
      <c r="K258" s="34">
        <v>2.318739270464556</v>
      </c>
      <c r="L258" s="33">
        <v>3.7099828327432909</v>
      </c>
      <c r="M258" s="34">
        <v>4.6374785409291128</v>
      </c>
      <c r="N258" s="34">
        <v>2.7824871245574681</v>
      </c>
      <c r="O258" s="33">
        <v>2.7824871245574681</v>
      </c>
      <c r="P258" s="34">
        <v>5.564974249114937</v>
      </c>
      <c r="Q258" s="33">
        <v>4.6374785409291128</v>
      </c>
      <c r="R258" s="33">
        <v>5.564974249114937</v>
      </c>
      <c r="S258" s="33">
        <v>3.2462349786503801</v>
      </c>
      <c r="T258" s="34">
        <v>3.2462349786503801</v>
      </c>
      <c r="U258" s="34">
        <v>1.391243562278734</v>
      </c>
      <c r="V258" s="34">
        <v>2.318739270464556</v>
      </c>
      <c r="W258" s="34">
        <v>1.391243562278734</v>
      </c>
      <c r="X258" s="34">
        <v>13.91243562278734</v>
      </c>
      <c r="Y258" s="34">
        <v>7.4199656654865818</v>
      </c>
      <c r="Z258" s="34"/>
      <c r="AA258" s="33">
        <v>17.881847986140858</v>
      </c>
      <c r="AB258" s="33">
        <v>17.881847986140858</v>
      </c>
      <c r="AC258" s="34">
        <v>5.9606159953802873</v>
      </c>
      <c r="AD258" s="33">
        <v>9.5369855926084597</v>
      </c>
      <c r="AE258" s="34">
        <v>11.921231990760569</v>
      </c>
      <c r="AF258" s="34">
        <v>7.1527391944563457</v>
      </c>
      <c r="AG258" s="33">
        <v>7.1527391944563457</v>
      </c>
      <c r="AH258" s="34">
        <v>14.30547838891269</v>
      </c>
      <c r="AI258" s="33">
        <v>11.921231990760569</v>
      </c>
      <c r="AJ258" s="33">
        <v>14.30547838891269</v>
      </c>
      <c r="AK258" s="33">
        <v>8.3448623935324022</v>
      </c>
      <c r="AL258" s="34">
        <v>8.3448623935324022</v>
      </c>
      <c r="AM258" s="34">
        <v>3.5763695972281728</v>
      </c>
      <c r="AN258" s="34">
        <v>5.9606159953802873</v>
      </c>
      <c r="AO258" s="34">
        <v>3.5763695972281728</v>
      </c>
      <c r="AP258" s="34">
        <v>35.763695972281717</v>
      </c>
      <c r="AQ258" s="34">
        <v>19.073971185216919</v>
      </c>
      <c r="AR258" s="39"/>
    </row>
    <row r="259" spans="1:44" ht="19.5" customHeight="1">
      <c r="A259" s="166">
        <f t="shared" ref="A259:A262" si="21">A258+1</f>
        <v>7</v>
      </c>
      <c r="B259" s="167" t="s">
        <v>3553</v>
      </c>
      <c r="C259" s="154" t="s">
        <v>159</v>
      </c>
      <c r="D259" s="167" t="s">
        <v>3554</v>
      </c>
      <c r="E259" s="124"/>
      <c r="F259" s="32">
        <v>136733</v>
      </c>
      <c r="G259" s="32">
        <v>22293.405169011519</v>
      </c>
      <c r="H259" s="32">
        <v>159026.4051690115</v>
      </c>
      <c r="I259" s="33">
        <v>47.557226500264541</v>
      </c>
      <c r="J259" s="33">
        <v>47.557226500264541</v>
      </c>
      <c r="K259" s="34">
        <v>15.85240883342151</v>
      </c>
      <c r="L259" s="33">
        <v>25.363854133474419</v>
      </c>
      <c r="M259" s="34">
        <v>31.70481766684302</v>
      </c>
      <c r="N259" s="34">
        <v>19.022890600105821</v>
      </c>
      <c r="O259" s="33">
        <v>19.022890600105821</v>
      </c>
      <c r="P259" s="34">
        <v>38.045781200211643</v>
      </c>
      <c r="Q259" s="33">
        <v>31.70481766684302</v>
      </c>
      <c r="R259" s="33">
        <v>38.045781200211643</v>
      </c>
      <c r="S259" s="33">
        <v>22.193372366790118</v>
      </c>
      <c r="T259" s="34">
        <v>22.193372366790118</v>
      </c>
      <c r="U259" s="34">
        <v>9.5114453000529089</v>
      </c>
      <c r="V259" s="34">
        <v>15.85240883342151</v>
      </c>
      <c r="W259" s="34">
        <v>9.5114453000529089</v>
      </c>
      <c r="X259" s="34">
        <v>95.114453000529082</v>
      </c>
      <c r="Y259" s="34">
        <v>50.727708266948852</v>
      </c>
      <c r="Z259" s="54"/>
      <c r="AA259" s="33">
        <v>7.7538891056646833</v>
      </c>
      <c r="AB259" s="33">
        <v>7.7538891056646833</v>
      </c>
      <c r="AC259" s="34">
        <v>2.584629701888228</v>
      </c>
      <c r="AD259" s="33">
        <v>4.1354075230211649</v>
      </c>
      <c r="AE259" s="34">
        <v>5.1692594037764552</v>
      </c>
      <c r="AF259" s="34">
        <v>3.1015556422658741</v>
      </c>
      <c r="AG259" s="33">
        <v>3.1015556422658741</v>
      </c>
      <c r="AH259" s="34">
        <v>6.2031112845317473</v>
      </c>
      <c r="AI259" s="33">
        <v>5.1692594037764552</v>
      </c>
      <c r="AJ259" s="33">
        <v>6.2031112845317473</v>
      </c>
      <c r="AK259" s="33">
        <v>3.6184815826435188</v>
      </c>
      <c r="AL259" s="34">
        <v>3.6184815826435188</v>
      </c>
      <c r="AM259" s="34">
        <v>1.5507778211329371</v>
      </c>
      <c r="AN259" s="34">
        <v>2.584629701888228</v>
      </c>
      <c r="AO259" s="34">
        <v>1.5507778211329371</v>
      </c>
      <c r="AP259" s="34">
        <v>15.50777821132937</v>
      </c>
      <c r="AQ259" s="34">
        <v>8.2708150460423298</v>
      </c>
      <c r="AR259" s="39"/>
    </row>
    <row r="260" spans="1:44" ht="19.5" customHeight="1">
      <c r="A260" s="166">
        <f t="shared" si="21"/>
        <v>8</v>
      </c>
      <c r="B260" s="174" t="s">
        <v>3560</v>
      </c>
      <c r="C260" s="154" t="s">
        <v>94</v>
      </c>
      <c r="D260" s="167" t="s">
        <v>3562</v>
      </c>
      <c r="E260" s="124"/>
      <c r="F260" s="32">
        <v>123867</v>
      </c>
      <c r="G260" s="32">
        <v>22293.405169011519</v>
      </c>
      <c r="H260" s="32">
        <v>146160.4051690115</v>
      </c>
      <c r="I260" s="33">
        <v>43.082291582194991</v>
      </c>
      <c r="J260" s="33">
        <v>43.082291582194991</v>
      </c>
      <c r="K260" s="34">
        <v>14.360763860731661</v>
      </c>
      <c r="L260" s="33">
        <v>22.97722217717066</v>
      </c>
      <c r="M260" s="34">
        <v>28.721527721463321</v>
      </c>
      <c r="N260" s="34">
        <v>17.232916632877998</v>
      </c>
      <c r="O260" s="33">
        <v>17.232916632877998</v>
      </c>
      <c r="P260" s="34">
        <v>34.465833265755997</v>
      </c>
      <c r="Q260" s="33">
        <v>28.721527721463321</v>
      </c>
      <c r="R260" s="33">
        <v>34.465833265755997</v>
      </c>
      <c r="S260" s="33">
        <v>20.105069405024331</v>
      </c>
      <c r="T260" s="34">
        <v>20.105069405024331</v>
      </c>
      <c r="U260" s="34">
        <v>8.6164583164389992</v>
      </c>
      <c r="V260" s="34">
        <v>14.360763860731661</v>
      </c>
      <c r="W260" s="34">
        <v>8.6164583164389992</v>
      </c>
      <c r="X260" s="34">
        <v>86.164583164389981</v>
      </c>
      <c r="Y260" s="34">
        <v>45.954444354341327</v>
      </c>
      <c r="Z260" s="34"/>
      <c r="AA260" s="33">
        <v>7.7538891056646833</v>
      </c>
      <c r="AB260" s="33">
        <v>7.7538891056646833</v>
      </c>
      <c r="AC260" s="34">
        <v>2.584629701888228</v>
      </c>
      <c r="AD260" s="33">
        <v>4.1354075230211649</v>
      </c>
      <c r="AE260" s="34">
        <v>5.1692594037764552</v>
      </c>
      <c r="AF260" s="34">
        <v>3.1015556422658741</v>
      </c>
      <c r="AG260" s="33">
        <v>3.1015556422658741</v>
      </c>
      <c r="AH260" s="34">
        <v>6.2031112845317473</v>
      </c>
      <c r="AI260" s="33">
        <v>5.1692594037764552</v>
      </c>
      <c r="AJ260" s="33">
        <v>6.2031112845317473</v>
      </c>
      <c r="AK260" s="33">
        <v>3.6184815826435188</v>
      </c>
      <c r="AL260" s="34">
        <v>3.6184815826435188</v>
      </c>
      <c r="AM260" s="34">
        <v>1.5507778211329371</v>
      </c>
      <c r="AN260" s="34">
        <v>2.584629701888228</v>
      </c>
      <c r="AO260" s="34">
        <v>1.5507778211329371</v>
      </c>
      <c r="AP260" s="34">
        <v>15.50777821132937</v>
      </c>
      <c r="AQ260" s="34">
        <v>8.2708150460423298</v>
      </c>
      <c r="AR260" s="37"/>
    </row>
    <row r="261" spans="1:44" ht="19.5" customHeight="1">
      <c r="A261" s="166">
        <f t="shared" si="21"/>
        <v>9</v>
      </c>
      <c r="B261" s="167" t="s">
        <v>3569</v>
      </c>
      <c r="C261" s="154" t="s">
        <v>94</v>
      </c>
      <c r="D261" s="167" t="s">
        <v>3571</v>
      </c>
      <c r="E261" s="124"/>
      <c r="F261" s="32">
        <v>123867</v>
      </c>
      <c r="G261" s="32">
        <v>22293.405169011519</v>
      </c>
      <c r="H261" s="32">
        <v>146160.4051690115</v>
      </c>
      <c r="I261" s="33">
        <v>43.082291582194991</v>
      </c>
      <c r="J261" s="33">
        <v>43.082291582194991</v>
      </c>
      <c r="K261" s="34">
        <v>14.360763860731661</v>
      </c>
      <c r="L261" s="33">
        <v>22.97722217717066</v>
      </c>
      <c r="M261" s="34">
        <v>28.721527721463321</v>
      </c>
      <c r="N261" s="34">
        <v>17.232916632877998</v>
      </c>
      <c r="O261" s="33">
        <v>17.232916632877998</v>
      </c>
      <c r="P261" s="34">
        <v>34.465833265755997</v>
      </c>
      <c r="Q261" s="33">
        <v>28.721527721463321</v>
      </c>
      <c r="R261" s="33">
        <v>34.465833265755997</v>
      </c>
      <c r="S261" s="33">
        <v>20.105069405024331</v>
      </c>
      <c r="T261" s="34">
        <v>20.105069405024331</v>
      </c>
      <c r="U261" s="34">
        <v>8.6164583164389992</v>
      </c>
      <c r="V261" s="34">
        <v>14.360763860731661</v>
      </c>
      <c r="W261" s="34">
        <v>8.6164583164389992</v>
      </c>
      <c r="X261" s="34">
        <v>86.164583164389981</v>
      </c>
      <c r="Y261" s="34">
        <v>45.954444354341327</v>
      </c>
      <c r="Z261" s="34"/>
      <c r="AA261" s="33">
        <v>7.7538891056646833</v>
      </c>
      <c r="AB261" s="33">
        <v>7.7538891056646833</v>
      </c>
      <c r="AC261" s="34">
        <v>2.584629701888228</v>
      </c>
      <c r="AD261" s="33">
        <v>4.1354075230211649</v>
      </c>
      <c r="AE261" s="34">
        <v>5.1692594037764552</v>
      </c>
      <c r="AF261" s="34">
        <v>3.1015556422658741</v>
      </c>
      <c r="AG261" s="33">
        <v>3.1015556422658741</v>
      </c>
      <c r="AH261" s="34">
        <v>6.2031112845317473</v>
      </c>
      <c r="AI261" s="33">
        <v>5.1692594037764552</v>
      </c>
      <c r="AJ261" s="33">
        <v>6.2031112845317473</v>
      </c>
      <c r="AK261" s="33">
        <v>3.6184815826435188</v>
      </c>
      <c r="AL261" s="34">
        <v>3.6184815826435188</v>
      </c>
      <c r="AM261" s="34">
        <v>1.5507778211329371</v>
      </c>
      <c r="AN261" s="34">
        <v>2.584629701888228</v>
      </c>
      <c r="AO261" s="34">
        <v>1.5507778211329371</v>
      </c>
      <c r="AP261" s="34">
        <v>15.50777821132937</v>
      </c>
      <c r="AQ261" s="34">
        <v>8.2708150460423298</v>
      </c>
      <c r="AR261" s="39"/>
    </row>
    <row r="262" spans="1:44" ht="19.5" customHeight="1">
      <c r="A262" s="166">
        <f t="shared" si="21"/>
        <v>10</v>
      </c>
      <c r="B262" s="155" t="s">
        <v>133</v>
      </c>
      <c r="C262" s="154" t="s">
        <v>94</v>
      </c>
      <c r="D262" s="167" t="s">
        <v>3578</v>
      </c>
      <c r="E262" s="124"/>
      <c r="F262" s="32">
        <v>5226.1129368366728</v>
      </c>
      <c r="G262" s="32">
        <v>21856.279577462279</v>
      </c>
      <c r="H262" s="32">
        <v>27082.39251429895</v>
      </c>
      <c r="I262" s="53">
        <v>1.817698994778908</v>
      </c>
      <c r="J262" s="53">
        <v>1.817698994778908</v>
      </c>
      <c r="K262" s="54">
        <v>0.60589966492630243</v>
      </c>
      <c r="L262" s="53">
        <v>0.96943946388208402</v>
      </c>
      <c r="M262" s="54">
        <v>1.2117993298526051</v>
      </c>
      <c r="N262" s="54">
        <v>0.72707959791156307</v>
      </c>
      <c r="O262" s="53">
        <v>0.72707959791156307</v>
      </c>
      <c r="P262" s="54">
        <v>1.4541591958231259</v>
      </c>
      <c r="Q262" s="53">
        <v>1.2117993298526051</v>
      </c>
      <c r="R262" s="53">
        <v>1.4541591958231259</v>
      </c>
      <c r="S262" s="53">
        <v>0.84825953089682349</v>
      </c>
      <c r="T262" s="54">
        <v>0.84825953089682349</v>
      </c>
      <c r="U262" s="54">
        <v>0.36353979895578148</v>
      </c>
      <c r="V262" s="54">
        <v>0.60589966492630243</v>
      </c>
      <c r="W262" s="54">
        <v>0.36353979895578148</v>
      </c>
      <c r="X262" s="54">
        <v>3.635397989557815</v>
      </c>
      <c r="Y262" s="54">
        <v>1.938878927764168</v>
      </c>
      <c r="Z262" s="34"/>
      <c r="AA262" s="33">
        <v>7.6018520643771419</v>
      </c>
      <c r="AB262" s="33">
        <v>7.6018520643771419</v>
      </c>
      <c r="AC262" s="34">
        <v>2.5339506881257141</v>
      </c>
      <c r="AD262" s="33">
        <v>4.0543211010011424</v>
      </c>
      <c r="AE262" s="34">
        <v>5.0679013762514273</v>
      </c>
      <c r="AF262" s="34">
        <v>3.040740825750857</v>
      </c>
      <c r="AG262" s="33">
        <v>3.040740825750857</v>
      </c>
      <c r="AH262" s="34">
        <v>6.0814816515017132</v>
      </c>
      <c r="AI262" s="33">
        <v>5.0679013762514273</v>
      </c>
      <c r="AJ262" s="33">
        <v>6.0814816515017132</v>
      </c>
      <c r="AK262" s="33">
        <v>3.547530963375999</v>
      </c>
      <c r="AL262" s="34">
        <v>3.547530963375999</v>
      </c>
      <c r="AM262" s="34">
        <v>1.5203704128754281</v>
      </c>
      <c r="AN262" s="34">
        <v>2.5339506881257141</v>
      </c>
      <c r="AO262" s="34">
        <v>1.5203704128754281</v>
      </c>
      <c r="AP262" s="34">
        <v>15.20370412875428</v>
      </c>
      <c r="AQ262" s="34">
        <v>8.1086422020022848</v>
      </c>
      <c r="AR262" s="39"/>
    </row>
    <row r="263" spans="1:44" ht="19.5" customHeight="1">
      <c r="A263" s="168"/>
      <c r="B263" s="175" t="s">
        <v>3591</v>
      </c>
      <c r="C263" s="176" t="s">
        <v>185</v>
      </c>
      <c r="D263" s="169" t="s">
        <v>3594</v>
      </c>
      <c r="E263" s="164">
        <v>5</v>
      </c>
      <c r="F263" s="171">
        <v>409693.11293683673</v>
      </c>
      <c r="G263" s="171">
        <v>140149.05423942141</v>
      </c>
      <c r="H263" s="171">
        <v>549842.16717625805</v>
      </c>
      <c r="I263" s="33">
        <v>142.49572647082709</v>
      </c>
      <c r="J263" s="33">
        <v>142.49572647082709</v>
      </c>
      <c r="K263" s="34">
        <v>47.498575490275691</v>
      </c>
      <c r="L263" s="33">
        <v>75.997720784441114</v>
      </c>
      <c r="M263" s="34">
        <v>94.997150980551382</v>
      </c>
      <c r="N263" s="34">
        <v>56.998290588330839</v>
      </c>
      <c r="O263" s="33">
        <v>56.998290588330839</v>
      </c>
      <c r="P263" s="34">
        <v>113.99658117666171</v>
      </c>
      <c r="Q263" s="33">
        <v>94.997150980551382</v>
      </c>
      <c r="R263" s="33">
        <v>113.99658117666171</v>
      </c>
      <c r="S263" s="33">
        <v>66.49800568638598</v>
      </c>
      <c r="T263" s="34">
        <v>66.49800568638598</v>
      </c>
      <c r="U263" s="34">
        <v>28.49914529416542</v>
      </c>
      <c r="V263" s="34">
        <v>47.498575490275691</v>
      </c>
      <c r="W263" s="34">
        <v>28.49914529416542</v>
      </c>
      <c r="X263" s="34">
        <v>284.99145294165419</v>
      </c>
      <c r="Y263" s="34">
        <v>151.9954415688822</v>
      </c>
      <c r="Z263" s="54"/>
      <c r="AA263" s="33">
        <v>48.745367367512053</v>
      </c>
      <c r="AB263" s="33">
        <v>48.745367367512053</v>
      </c>
      <c r="AC263" s="34">
        <v>16.248455789170681</v>
      </c>
      <c r="AD263" s="33">
        <v>25.99752926267309</v>
      </c>
      <c r="AE263" s="34">
        <v>32.496911578341361</v>
      </c>
      <c r="AF263" s="34">
        <v>19.49814694700482</v>
      </c>
      <c r="AG263" s="33">
        <v>19.49814694700482</v>
      </c>
      <c r="AH263" s="34">
        <v>38.996293894009639</v>
      </c>
      <c r="AI263" s="33">
        <v>32.496911578341361</v>
      </c>
      <c r="AJ263" s="33">
        <v>38.996293894009639</v>
      </c>
      <c r="AK263" s="33">
        <v>22.747838104838959</v>
      </c>
      <c r="AL263" s="34">
        <v>22.747838104838959</v>
      </c>
      <c r="AM263" s="34">
        <v>9.7490734735024098</v>
      </c>
      <c r="AN263" s="34">
        <v>16.248455789170681</v>
      </c>
      <c r="AO263" s="34">
        <v>9.7490734735024098</v>
      </c>
      <c r="AP263" s="34">
        <v>97.490734735024105</v>
      </c>
      <c r="AQ263" s="34">
        <v>51.995058525346188</v>
      </c>
      <c r="AR263" s="39"/>
    </row>
    <row r="264" spans="1:44" ht="19.5" customHeight="1">
      <c r="A264" s="166">
        <f>A262+1</f>
        <v>11</v>
      </c>
      <c r="B264" s="155" t="s">
        <v>133</v>
      </c>
      <c r="C264" s="154" t="s">
        <v>94</v>
      </c>
      <c r="D264" s="167" t="s">
        <v>3602</v>
      </c>
      <c r="E264" s="124"/>
      <c r="F264" s="32">
        <v>10452.225873673349</v>
      </c>
      <c r="G264" s="32">
        <v>25000</v>
      </c>
      <c r="H264" s="32">
        <v>35452.225873673349</v>
      </c>
      <c r="I264" s="33">
        <v>3.635397989557815</v>
      </c>
      <c r="J264" s="33">
        <v>3.635397989557815</v>
      </c>
      <c r="K264" s="34">
        <v>1.2117993298526051</v>
      </c>
      <c r="L264" s="33">
        <v>1.938878927764168</v>
      </c>
      <c r="M264" s="34">
        <v>2.4235986597052102</v>
      </c>
      <c r="N264" s="34">
        <v>1.4541591958231259</v>
      </c>
      <c r="O264" s="33">
        <v>1.4541591958231259</v>
      </c>
      <c r="P264" s="34">
        <v>2.9083183916462518</v>
      </c>
      <c r="Q264" s="33">
        <v>2.4235986597052102</v>
      </c>
      <c r="R264" s="33">
        <v>2.9083183916462518</v>
      </c>
      <c r="S264" s="33">
        <v>1.696519061793647</v>
      </c>
      <c r="T264" s="34">
        <v>1.696519061793647</v>
      </c>
      <c r="U264" s="34">
        <v>0.72707959791156307</v>
      </c>
      <c r="V264" s="34">
        <v>1.2117993298526051</v>
      </c>
      <c r="W264" s="34">
        <v>0.72707959791156307</v>
      </c>
      <c r="X264" s="34">
        <v>7.27079597911563</v>
      </c>
      <c r="Y264" s="34">
        <v>3.8777578555283361</v>
      </c>
      <c r="Z264" s="34"/>
      <c r="AA264" s="33">
        <v>8.695272264242087</v>
      </c>
      <c r="AB264" s="33">
        <v>8.695272264242087</v>
      </c>
      <c r="AC264" s="34">
        <v>2.898424088080696</v>
      </c>
      <c r="AD264" s="33">
        <v>4.6374785409291137</v>
      </c>
      <c r="AE264" s="34">
        <v>5.796848176161391</v>
      </c>
      <c r="AF264" s="34">
        <v>3.4781089056968351</v>
      </c>
      <c r="AG264" s="33">
        <v>3.4781089056968351</v>
      </c>
      <c r="AH264" s="34">
        <v>6.9562178113936701</v>
      </c>
      <c r="AI264" s="33">
        <v>5.796848176161391</v>
      </c>
      <c r="AJ264" s="33">
        <v>6.9562178113936701</v>
      </c>
      <c r="AK264" s="33">
        <v>4.0577937233129742</v>
      </c>
      <c r="AL264" s="34">
        <v>4.0577937233129742</v>
      </c>
      <c r="AM264" s="34">
        <v>1.739054452848418</v>
      </c>
      <c r="AN264" s="34">
        <v>2.898424088080696</v>
      </c>
      <c r="AO264" s="34">
        <v>1.739054452848418</v>
      </c>
      <c r="AP264" s="34">
        <v>17.39054452848417</v>
      </c>
      <c r="AQ264" s="34">
        <v>9.2749570818582274</v>
      </c>
      <c r="AR264" s="37"/>
    </row>
    <row r="265" spans="1:44" ht="19.5" customHeight="1">
      <c r="A265" s="166">
        <f t="shared" ref="A265:A268" si="22">A264+1</f>
        <v>12</v>
      </c>
      <c r="B265" s="155" t="s">
        <v>133</v>
      </c>
      <c r="C265" s="154" t="s">
        <v>94</v>
      </c>
      <c r="D265" s="167" t="s">
        <v>3614</v>
      </c>
      <c r="E265" s="124"/>
      <c r="F265" s="32">
        <v>15000</v>
      </c>
      <c r="G265" s="32">
        <v>25000</v>
      </c>
      <c r="H265" s="32">
        <v>40000</v>
      </c>
      <c r="I265" s="33">
        <v>5.2171633585452533</v>
      </c>
      <c r="J265" s="33">
        <v>5.2171633585452533</v>
      </c>
      <c r="K265" s="34">
        <v>1.739054452848418</v>
      </c>
      <c r="L265" s="33">
        <v>2.7824871245574681</v>
      </c>
      <c r="M265" s="34">
        <v>3.4781089056968351</v>
      </c>
      <c r="N265" s="34">
        <v>2.086865343418101</v>
      </c>
      <c r="O265" s="33">
        <v>2.086865343418101</v>
      </c>
      <c r="P265" s="34">
        <v>4.173730686836203</v>
      </c>
      <c r="Q265" s="33">
        <v>3.4781089056968351</v>
      </c>
      <c r="R265" s="33">
        <v>4.173730686836203</v>
      </c>
      <c r="S265" s="33">
        <v>2.4346762339877852</v>
      </c>
      <c r="T265" s="34">
        <v>2.4346762339877852</v>
      </c>
      <c r="U265" s="34">
        <v>1.043432671709051</v>
      </c>
      <c r="V265" s="34">
        <v>1.739054452848418</v>
      </c>
      <c r="W265" s="34">
        <v>1.043432671709051</v>
      </c>
      <c r="X265" s="34">
        <v>10.43432671709051</v>
      </c>
      <c r="Y265" s="34">
        <v>5.564974249114937</v>
      </c>
      <c r="Z265" s="54"/>
      <c r="AA265" s="33">
        <v>8.695272264242087</v>
      </c>
      <c r="AB265" s="33">
        <v>8.695272264242087</v>
      </c>
      <c r="AC265" s="34">
        <v>2.898424088080696</v>
      </c>
      <c r="AD265" s="33">
        <v>4.6374785409291137</v>
      </c>
      <c r="AE265" s="34">
        <v>5.796848176161391</v>
      </c>
      <c r="AF265" s="34">
        <v>3.4781089056968351</v>
      </c>
      <c r="AG265" s="33">
        <v>3.4781089056968351</v>
      </c>
      <c r="AH265" s="34">
        <v>6.9562178113936701</v>
      </c>
      <c r="AI265" s="33">
        <v>5.796848176161391</v>
      </c>
      <c r="AJ265" s="33">
        <v>6.9562178113936701</v>
      </c>
      <c r="AK265" s="33">
        <v>4.0577937233129742</v>
      </c>
      <c r="AL265" s="34">
        <v>4.0577937233129742</v>
      </c>
      <c r="AM265" s="34">
        <v>1.739054452848418</v>
      </c>
      <c r="AN265" s="34">
        <v>2.898424088080696</v>
      </c>
      <c r="AO265" s="34">
        <v>1.739054452848418</v>
      </c>
      <c r="AP265" s="34">
        <v>17.39054452848417</v>
      </c>
      <c r="AQ265" s="34">
        <v>9.2749570818582274</v>
      </c>
      <c r="AR265" s="39"/>
    </row>
    <row r="266" spans="1:44" ht="19.5" customHeight="1">
      <c r="A266" s="166">
        <f t="shared" si="22"/>
        <v>13</v>
      </c>
      <c r="B266" s="155" t="s">
        <v>133</v>
      </c>
      <c r="C266" s="154" t="s">
        <v>94</v>
      </c>
      <c r="D266" s="167" t="s">
        <v>3621</v>
      </c>
      <c r="E266" s="124"/>
      <c r="F266" s="32">
        <v>40000</v>
      </c>
      <c r="G266" s="32">
        <v>25000</v>
      </c>
      <c r="H266" s="32">
        <v>65000</v>
      </c>
      <c r="I266" s="33">
        <v>13.91243562278734</v>
      </c>
      <c r="J266" s="33">
        <v>13.91243562278734</v>
      </c>
      <c r="K266" s="34">
        <v>4.6374785409291128</v>
      </c>
      <c r="L266" s="33">
        <v>7.4199656654865818</v>
      </c>
      <c r="M266" s="34">
        <v>9.2749570818582256</v>
      </c>
      <c r="N266" s="34">
        <v>5.564974249114937</v>
      </c>
      <c r="O266" s="33">
        <v>5.564974249114937</v>
      </c>
      <c r="P266" s="34">
        <v>11.12994849822987</v>
      </c>
      <c r="Q266" s="33">
        <v>9.2749570818582256</v>
      </c>
      <c r="R266" s="33">
        <v>11.12994849822987</v>
      </c>
      <c r="S266" s="33">
        <v>6.4924699573007594</v>
      </c>
      <c r="T266" s="34">
        <v>6.4924699573007594</v>
      </c>
      <c r="U266" s="34">
        <v>2.7824871245574681</v>
      </c>
      <c r="V266" s="34">
        <v>4.6374785409291128</v>
      </c>
      <c r="W266" s="34">
        <v>2.7824871245574681</v>
      </c>
      <c r="X266" s="34">
        <v>27.824871245574681</v>
      </c>
      <c r="Y266" s="34">
        <v>14.83993133097316</v>
      </c>
      <c r="Z266" s="34"/>
      <c r="AA266" s="33">
        <v>8.695272264242087</v>
      </c>
      <c r="AB266" s="33">
        <v>8.695272264242087</v>
      </c>
      <c r="AC266" s="34">
        <v>2.898424088080696</v>
      </c>
      <c r="AD266" s="33">
        <v>4.6374785409291137</v>
      </c>
      <c r="AE266" s="34">
        <v>5.796848176161391</v>
      </c>
      <c r="AF266" s="34">
        <v>3.4781089056968351</v>
      </c>
      <c r="AG266" s="33">
        <v>3.4781089056968351</v>
      </c>
      <c r="AH266" s="34">
        <v>6.9562178113936701</v>
      </c>
      <c r="AI266" s="33">
        <v>5.796848176161391</v>
      </c>
      <c r="AJ266" s="33">
        <v>6.9562178113936701</v>
      </c>
      <c r="AK266" s="33">
        <v>4.0577937233129742</v>
      </c>
      <c r="AL266" s="34">
        <v>4.0577937233129742</v>
      </c>
      <c r="AM266" s="34">
        <v>1.739054452848418</v>
      </c>
      <c r="AN266" s="34">
        <v>2.898424088080696</v>
      </c>
      <c r="AO266" s="34">
        <v>1.739054452848418</v>
      </c>
      <c r="AP266" s="34">
        <v>17.39054452848417</v>
      </c>
      <c r="AQ266" s="34">
        <v>9.2749570818582274</v>
      </c>
      <c r="AR266" s="37"/>
    </row>
    <row r="267" spans="1:44" ht="19.5" customHeight="1">
      <c r="A267" s="166">
        <f t="shared" si="22"/>
        <v>14</v>
      </c>
      <c r="B267" s="155" t="s">
        <v>133</v>
      </c>
      <c r="C267" s="154" t="s">
        <v>94</v>
      </c>
      <c r="D267" s="167" t="s">
        <v>3631</v>
      </c>
      <c r="E267" s="124"/>
      <c r="F267" s="32">
        <v>50000</v>
      </c>
      <c r="G267" s="32">
        <v>30000</v>
      </c>
      <c r="H267" s="32">
        <v>80000</v>
      </c>
      <c r="I267" s="33">
        <v>17.39054452848417</v>
      </c>
      <c r="J267" s="33">
        <v>17.39054452848417</v>
      </c>
      <c r="K267" s="34">
        <v>5.796848176161391</v>
      </c>
      <c r="L267" s="33">
        <v>9.2749570818582274</v>
      </c>
      <c r="M267" s="34">
        <v>11.59369635232278</v>
      </c>
      <c r="N267" s="34">
        <v>6.9562178113936701</v>
      </c>
      <c r="O267" s="33">
        <v>6.9562178113936701</v>
      </c>
      <c r="P267" s="34">
        <v>13.91243562278734</v>
      </c>
      <c r="Q267" s="33">
        <v>11.59369635232278</v>
      </c>
      <c r="R267" s="33">
        <v>13.91243562278734</v>
      </c>
      <c r="S267" s="33">
        <v>8.1155874466259483</v>
      </c>
      <c r="T267" s="34">
        <v>8.1155874466259483</v>
      </c>
      <c r="U267" s="34">
        <v>3.4781089056968351</v>
      </c>
      <c r="V267" s="34">
        <v>5.796848176161391</v>
      </c>
      <c r="W267" s="34">
        <v>3.4781089056968351</v>
      </c>
      <c r="X267" s="34">
        <v>34.781089056968348</v>
      </c>
      <c r="Y267" s="34">
        <v>18.549914163716451</v>
      </c>
      <c r="Z267" s="34"/>
      <c r="AA267" s="33">
        <v>10.43432671709051</v>
      </c>
      <c r="AB267" s="33">
        <v>10.43432671709051</v>
      </c>
      <c r="AC267" s="34">
        <v>3.4781089056968351</v>
      </c>
      <c r="AD267" s="33">
        <v>5.564974249114937</v>
      </c>
      <c r="AE267" s="34">
        <v>6.9562178113936701</v>
      </c>
      <c r="AF267" s="34">
        <v>4.173730686836203</v>
      </c>
      <c r="AG267" s="33">
        <v>4.173730686836203</v>
      </c>
      <c r="AH267" s="34">
        <v>8.3474613736724059</v>
      </c>
      <c r="AI267" s="33">
        <v>6.9562178113936701</v>
      </c>
      <c r="AJ267" s="33">
        <v>8.3474613736724059</v>
      </c>
      <c r="AK267" s="33">
        <v>4.8693524679755704</v>
      </c>
      <c r="AL267" s="34">
        <v>4.8693524679755704</v>
      </c>
      <c r="AM267" s="34">
        <v>2.086865343418101</v>
      </c>
      <c r="AN267" s="34">
        <v>3.4781089056968351</v>
      </c>
      <c r="AO267" s="34">
        <v>2.086865343418101</v>
      </c>
      <c r="AP267" s="34">
        <v>20.868653434181009</v>
      </c>
      <c r="AQ267" s="34">
        <v>11.12994849822987</v>
      </c>
      <c r="AR267" s="39"/>
    </row>
    <row r="268" spans="1:44" ht="19.5" customHeight="1">
      <c r="A268" s="166">
        <f t="shared" si="22"/>
        <v>15</v>
      </c>
      <c r="B268" s="155" t="s">
        <v>133</v>
      </c>
      <c r="C268" s="154" t="s">
        <v>94</v>
      </c>
      <c r="D268" s="56" t="s">
        <v>3642</v>
      </c>
      <c r="E268" s="124"/>
      <c r="F268" s="32">
        <v>15000</v>
      </c>
      <c r="G268" s="32">
        <v>20000</v>
      </c>
      <c r="H268" s="32">
        <v>35000</v>
      </c>
      <c r="I268" s="53">
        <v>5.2171633585452533</v>
      </c>
      <c r="J268" s="53">
        <v>5.2171633585452533</v>
      </c>
      <c r="K268" s="54">
        <v>1.739054452848418</v>
      </c>
      <c r="L268" s="53">
        <v>2.7824871245574681</v>
      </c>
      <c r="M268" s="54">
        <v>3.4781089056968351</v>
      </c>
      <c r="N268" s="54">
        <v>2.086865343418101</v>
      </c>
      <c r="O268" s="53">
        <v>2.086865343418101</v>
      </c>
      <c r="P268" s="54">
        <v>4.173730686836203</v>
      </c>
      <c r="Q268" s="53">
        <v>3.4781089056968351</v>
      </c>
      <c r="R268" s="53">
        <v>4.173730686836203</v>
      </c>
      <c r="S268" s="53">
        <v>2.4346762339877852</v>
      </c>
      <c r="T268" s="54">
        <v>2.4346762339877852</v>
      </c>
      <c r="U268" s="54">
        <v>1.043432671709051</v>
      </c>
      <c r="V268" s="54">
        <v>1.739054452848418</v>
      </c>
      <c r="W268" s="54">
        <v>1.043432671709051</v>
      </c>
      <c r="X268" s="54">
        <v>10.43432671709051</v>
      </c>
      <c r="Y268" s="54">
        <v>5.564974249114937</v>
      </c>
      <c r="Z268" s="34"/>
      <c r="AA268" s="33">
        <v>6.956217811393671</v>
      </c>
      <c r="AB268" s="33">
        <v>6.956217811393671</v>
      </c>
      <c r="AC268" s="34">
        <v>2.318739270464556</v>
      </c>
      <c r="AD268" s="33">
        <v>3.7099828327432909</v>
      </c>
      <c r="AE268" s="34">
        <v>4.6374785409291128</v>
      </c>
      <c r="AF268" s="34">
        <v>2.7824871245574681</v>
      </c>
      <c r="AG268" s="33">
        <v>2.7824871245574681</v>
      </c>
      <c r="AH268" s="34">
        <v>5.564974249114937</v>
      </c>
      <c r="AI268" s="33">
        <v>4.6374785409291128</v>
      </c>
      <c r="AJ268" s="33">
        <v>5.564974249114937</v>
      </c>
      <c r="AK268" s="33">
        <v>3.2462349786503801</v>
      </c>
      <c r="AL268" s="34">
        <v>3.2462349786503801</v>
      </c>
      <c r="AM268" s="34">
        <v>1.391243562278734</v>
      </c>
      <c r="AN268" s="34">
        <v>2.318739270464556</v>
      </c>
      <c r="AO268" s="34">
        <v>1.391243562278734</v>
      </c>
      <c r="AP268" s="34">
        <v>13.91243562278734</v>
      </c>
      <c r="AQ268" s="34">
        <v>7.4199656654865818</v>
      </c>
      <c r="AR268" s="39"/>
    </row>
    <row r="269" spans="1:44" ht="19.5" customHeight="1">
      <c r="A269" s="168"/>
      <c r="B269" s="169" t="s">
        <v>133</v>
      </c>
      <c r="C269" s="177" t="s">
        <v>389</v>
      </c>
      <c r="D269" s="169" t="s">
        <v>3656</v>
      </c>
      <c r="E269" s="164">
        <v>5</v>
      </c>
      <c r="F269" s="171">
        <v>130452.22587367331</v>
      </c>
      <c r="G269" s="171">
        <v>125000</v>
      </c>
      <c r="H269" s="171">
        <v>255452.22587367331</v>
      </c>
      <c r="I269" s="53">
        <v>45.372704857919842</v>
      </c>
      <c r="J269" s="53">
        <v>45.372704857919842</v>
      </c>
      <c r="K269" s="54">
        <v>15.12423495263995</v>
      </c>
      <c r="L269" s="53">
        <v>24.198775924223909</v>
      </c>
      <c r="M269" s="54">
        <v>30.24846990527989</v>
      </c>
      <c r="N269" s="54">
        <v>18.149081943167939</v>
      </c>
      <c r="O269" s="53">
        <v>18.149081943167939</v>
      </c>
      <c r="P269" s="54">
        <v>36.298163886335871</v>
      </c>
      <c r="Q269" s="53">
        <v>30.24846990527989</v>
      </c>
      <c r="R269" s="53">
        <v>36.298163886335871</v>
      </c>
      <c r="S269" s="53">
        <v>21.17392893369593</v>
      </c>
      <c r="T269" s="54">
        <v>21.17392893369593</v>
      </c>
      <c r="U269" s="54">
        <v>9.0745409715839678</v>
      </c>
      <c r="V269" s="54">
        <v>15.12423495263995</v>
      </c>
      <c r="W269" s="54">
        <v>9.0745409715839678</v>
      </c>
      <c r="X269" s="54">
        <v>90.745409715839685</v>
      </c>
      <c r="Y269" s="54">
        <v>48.397551848447833</v>
      </c>
      <c r="Z269" s="34"/>
      <c r="AA269" s="33">
        <v>43.476361321210447</v>
      </c>
      <c r="AB269" s="33">
        <v>43.476361321210447</v>
      </c>
      <c r="AC269" s="34">
        <v>14.492120440403481</v>
      </c>
      <c r="AD269" s="33">
        <v>23.187392704645571</v>
      </c>
      <c r="AE269" s="34">
        <v>28.984240880806961</v>
      </c>
      <c r="AF269" s="34">
        <v>17.390544528484181</v>
      </c>
      <c r="AG269" s="33">
        <v>17.390544528484181</v>
      </c>
      <c r="AH269" s="34">
        <v>34.781089056968362</v>
      </c>
      <c r="AI269" s="33">
        <v>28.984240880806961</v>
      </c>
      <c r="AJ269" s="33">
        <v>34.781089056968362</v>
      </c>
      <c r="AK269" s="33">
        <v>20.288968616564869</v>
      </c>
      <c r="AL269" s="34">
        <v>20.288968616564869</v>
      </c>
      <c r="AM269" s="34">
        <v>8.6952722642420888</v>
      </c>
      <c r="AN269" s="34">
        <v>14.492120440403481</v>
      </c>
      <c r="AO269" s="34">
        <v>8.6952722642420888</v>
      </c>
      <c r="AP269" s="34">
        <v>86.952722642420895</v>
      </c>
      <c r="AQ269" s="34">
        <v>46.374785409291142</v>
      </c>
      <c r="AR269" s="39"/>
    </row>
    <row r="270" spans="1:44" ht="19.5" customHeight="1">
      <c r="A270" s="166">
        <f>A268+1</f>
        <v>16</v>
      </c>
      <c r="B270" s="155" t="s">
        <v>133</v>
      </c>
      <c r="C270" s="154" t="s">
        <v>94</v>
      </c>
      <c r="D270" s="167" t="s">
        <v>3668</v>
      </c>
      <c r="E270" s="124"/>
      <c r="F270" s="32">
        <v>0</v>
      </c>
      <c r="G270" s="32">
        <v>0</v>
      </c>
      <c r="H270" s="32">
        <v>0</v>
      </c>
      <c r="I270" s="33">
        <v>0</v>
      </c>
      <c r="J270" s="33">
        <v>0</v>
      </c>
      <c r="K270" s="34">
        <v>0</v>
      </c>
      <c r="L270" s="33">
        <v>0</v>
      </c>
      <c r="M270" s="34">
        <v>0</v>
      </c>
      <c r="N270" s="34">
        <v>0</v>
      </c>
      <c r="O270" s="33">
        <v>0</v>
      </c>
      <c r="P270" s="34">
        <v>0</v>
      </c>
      <c r="Q270" s="33">
        <v>0</v>
      </c>
      <c r="R270" s="33">
        <v>0</v>
      </c>
      <c r="S270" s="33">
        <v>0</v>
      </c>
      <c r="T270" s="34">
        <v>0</v>
      </c>
      <c r="U270" s="34">
        <v>0</v>
      </c>
      <c r="V270" s="34">
        <v>0</v>
      </c>
      <c r="W270" s="34">
        <v>0</v>
      </c>
      <c r="X270" s="34">
        <v>0</v>
      </c>
      <c r="Y270" s="34">
        <v>0</v>
      </c>
      <c r="Z270" s="34"/>
      <c r="AA270" s="33">
        <v>0</v>
      </c>
      <c r="AB270" s="33">
        <v>0</v>
      </c>
      <c r="AC270" s="34">
        <v>0</v>
      </c>
      <c r="AD270" s="33">
        <v>0</v>
      </c>
      <c r="AE270" s="34">
        <v>0</v>
      </c>
      <c r="AF270" s="34">
        <v>0</v>
      </c>
      <c r="AG270" s="33">
        <v>0</v>
      </c>
      <c r="AH270" s="34">
        <v>0</v>
      </c>
      <c r="AI270" s="33">
        <v>0</v>
      </c>
      <c r="AJ270" s="33">
        <v>0</v>
      </c>
      <c r="AK270" s="33">
        <v>0</v>
      </c>
      <c r="AL270" s="34">
        <v>0</v>
      </c>
      <c r="AM270" s="34">
        <v>0</v>
      </c>
      <c r="AN270" s="34">
        <v>0</v>
      </c>
      <c r="AO270" s="34">
        <v>0</v>
      </c>
      <c r="AP270" s="34">
        <v>0</v>
      </c>
      <c r="AQ270" s="34">
        <v>0</v>
      </c>
      <c r="AR270" s="39"/>
    </row>
    <row r="271" spans="1:44" ht="19.5" customHeight="1">
      <c r="A271" s="166">
        <f t="shared" ref="A271:A275" si="23">A270+1</f>
        <v>17</v>
      </c>
      <c r="B271" s="155" t="s">
        <v>133</v>
      </c>
      <c r="C271" s="154" t="s">
        <v>94</v>
      </c>
      <c r="D271" s="167" t="s">
        <v>3679</v>
      </c>
      <c r="E271" s="124"/>
      <c r="F271" s="32">
        <v>0</v>
      </c>
      <c r="G271" s="32">
        <v>0</v>
      </c>
      <c r="H271" s="32">
        <v>0</v>
      </c>
      <c r="I271" s="33">
        <v>0</v>
      </c>
      <c r="J271" s="33">
        <v>0</v>
      </c>
      <c r="K271" s="34">
        <v>0</v>
      </c>
      <c r="L271" s="33">
        <v>0</v>
      </c>
      <c r="M271" s="34">
        <v>0</v>
      </c>
      <c r="N271" s="34">
        <v>0</v>
      </c>
      <c r="O271" s="33">
        <v>0</v>
      </c>
      <c r="P271" s="34">
        <v>0</v>
      </c>
      <c r="Q271" s="33">
        <v>0</v>
      </c>
      <c r="R271" s="33">
        <v>0</v>
      </c>
      <c r="S271" s="33">
        <v>0</v>
      </c>
      <c r="T271" s="34">
        <v>0</v>
      </c>
      <c r="U271" s="34">
        <v>0</v>
      </c>
      <c r="V271" s="34">
        <v>0</v>
      </c>
      <c r="W271" s="34">
        <v>0</v>
      </c>
      <c r="X271" s="34">
        <v>0</v>
      </c>
      <c r="Y271" s="34">
        <v>0</v>
      </c>
      <c r="Z271" s="34"/>
      <c r="AA271" s="33">
        <v>0</v>
      </c>
      <c r="AB271" s="33">
        <v>0</v>
      </c>
      <c r="AC271" s="34">
        <v>0</v>
      </c>
      <c r="AD271" s="33">
        <v>0</v>
      </c>
      <c r="AE271" s="34">
        <v>0</v>
      </c>
      <c r="AF271" s="34">
        <v>0</v>
      </c>
      <c r="AG271" s="33">
        <v>0</v>
      </c>
      <c r="AH271" s="34">
        <v>0</v>
      </c>
      <c r="AI271" s="33">
        <v>0</v>
      </c>
      <c r="AJ271" s="33">
        <v>0</v>
      </c>
      <c r="AK271" s="33">
        <v>0</v>
      </c>
      <c r="AL271" s="34">
        <v>0</v>
      </c>
      <c r="AM271" s="34">
        <v>0</v>
      </c>
      <c r="AN271" s="34">
        <v>0</v>
      </c>
      <c r="AO271" s="34">
        <v>0</v>
      </c>
      <c r="AP271" s="34">
        <v>0</v>
      </c>
      <c r="AQ271" s="34">
        <v>0</v>
      </c>
      <c r="AR271" s="39"/>
    </row>
    <row r="272" spans="1:44" ht="19.5" customHeight="1">
      <c r="A272" s="166">
        <f t="shared" si="23"/>
        <v>18</v>
      </c>
      <c r="B272" s="167" t="s">
        <v>3686</v>
      </c>
      <c r="C272" s="154" t="s">
        <v>230</v>
      </c>
      <c r="D272" s="167" t="s">
        <v>3688</v>
      </c>
      <c r="E272" s="124"/>
      <c r="F272" s="32">
        <v>135445.55138250359</v>
      </c>
      <c r="G272" s="32">
        <v>33440.107753517281</v>
      </c>
      <c r="H272" s="32">
        <v>168885.6591360209</v>
      </c>
      <c r="I272" s="33">
        <v>47.109437850050398</v>
      </c>
      <c r="J272" s="33">
        <v>47.109437850050398</v>
      </c>
      <c r="K272" s="34">
        <v>15.7031459500168</v>
      </c>
      <c r="L272" s="33">
        <v>25.125033520026879</v>
      </c>
      <c r="M272" s="34">
        <v>31.406291900033601</v>
      </c>
      <c r="N272" s="34">
        <v>18.84377514002016</v>
      </c>
      <c r="O272" s="33">
        <v>18.84377514002016</v>
      </c>
      <c r="P272" s="34">
        <v>37.687550280040327</v>
      </c>
      <c r="Q272" s="33">
        <v>31.406291900033601</v>
      </c>
      <c r="R272" s="33">
        <v>37.687550280040327</v>
      </c>
      <c r="S272" s="33">
        <v>21.984404330023519</v>
      </c>
      <c r="T272" s="34">
        <v>21.984404330023519</v>
      </c>
      <c r="U272" s="34">
        <v>9.4218875700100817</v>
      </c>
      <c r="V272" s="34">
        <v>15.7031459500168</v>
      </c>
      <c r="W272" s="34">
        <v>9.4218875700100817</v>
      </c>
      <c r="X272" s="34">
        <v>94.21887570010081</v>
      </c>
      <c r="Y272" s="34">
        <v>50.250067040053757</v>
      </c>
      <c r="Z272" s="34"/>
      <c r="AA272" s="33">
        <v>11.63083365849702</v>
      </c>
      <c r="AB272" s="33">
        <v>11.63083365849702</v>
      </c>
      <c r="AC272" s="34">
        <v>3.8769445528323412</v>
      </c>
      <c r="AD272" s="33">
        <v>6.2031112845317473</v>
      </c>
      <c r="AE272" s="34">
        <v>7.7538891056646824</v>
      </c>
      <c r="AF272" s="34">
        <v>4.6523334633988096</v>
      </c>
      <c r="AG272" s="33">
        <v>4.6523334633988096</v>
      </c>
      <c r="AH272" s="34">
        <v>9.304666926797621</v>
      </c>
      <c r="AI272" s="33">
        <v>7.7538891056646824</v>
      </c>
      <c r="AJ272" s="33">
        <v>9.304666926797621</v>
      </c>
      <c r="AK272" s="33">
        <v>5.4277223739652776</v>
      </c>
      <c r="AL272" s="34">
        <v>5.4277223739652776</v>
      </c>
      <c r="AM272" s="34">
        <v>2.3261667316994048</v>
      </c>
      <c r="AN272" s="34">
        <v>3.8769445528323412</v>
      </c>
      <c r="AO272" s="34">
        <v>2.3261667316994048</v>
      </c>
      <c r="AP272" s="34">
        <v>23.26166731699405</v>
      </c>
      <c r="AQ272" s="34">
        <v>12.406222569063489</v>
      </c>
      <c r="AR272" s="39"/>
    </row>
    <row r="273" spans="1:44" ht="19.5" customHeight="1">
      <c r="A273" s="166">
        <f t="shared" si="23"/>
        <v>19</v>
      </c>
      <c r="B273" s="41" t="s">
        <v>133</v>
      </c>
      <c r="C273" s="26" t="s">
        <v>94</v>
      </c>
      <c r="D273" s="167" t="s">
        <v>3697</v>
      </c>
      <c r="E273" s="124"/>
      <c r="F273" s="32">
        <v>40000</v>
      </c>
      <c r="G273" s="32">
        <v>20000</v>
      </c>
      <c r="H273" s="32">
        <v>60000</v>
      </c>
      <c r="I273" s="53">
        <v>13.91243562278734</v>
      </c>
      <c r="J273" s="53">
        <v>13.91243562278734</v>
      </c>
      <c r="K273" s="54">
        <v>4.6374785409291128</v>
      </c>
      <c r="L273" s="53">
        <v>7.4199656654865818</v>
      </c>
      <c r="M273" s="54">
        <v>9.2749570818582256</v>
      </c>
      <c r="N273" s="54">
        <v>5.564974249114937</v>
      </c>
      <c r="O273" s="53">
        <v>5.564974249114937</v>
      </c>
      <c r="P273" s="54">
        <v>11.12994849822987</v>
      </c>
      <c r="Q273" s="53">
        <v>9.2749570818582256</v>
      </c>
      <c r="R273" s="53">
        <v>11.12994849822987</v>
      </c>
      <c r="S273" s="53">
        <v>6.4924699573007594</v>
      </c>
      <c r="T273" s="54">
        <v>6.4924699573007594</v>
      </c>
      <c r="U273" s="54">
        <v>2.7824871245574681</v>
      </c>
      <c r="V273" s="54">
        <v>4.6374785409291128</v>
      </c>
      <c r="W273" s="54">
        <v>2.7824871245574681</v>
      </c>
      <c r="X273" s="54">
        <v>27.824871245574681</v>
      </c>
      <c r="Y273" s="54">
        <v>14.83993133097316</v>
      </c>
      <c r="Z273" s="34"/>
      <c r="AA273" s="33">
        <v>6.956217811393671</v>
      </c>
      <c r="AB273" s="33">
        <v>6.956217811393671</v>
      </c>
      <c r="AC273" s="34">
        <v>2.318739270464556</v>
      </c>
      <c r="AD273" s="33">
        <v>3.7099828327432909</v>
      </c>
      <c r="AE273" s="34">
        <v>4.6374785409291128</v>
      </c>
      <c r="AF273" s="34">
        <v>2.7824871245574681</v>
      </c>
      <c r="AG273" s="33">
        <v>2.7824871245574681</v>
      </c>
      <c r="AH273" s="34">
        <v>5.564974249114937</v>
      </c>
      <c r="AI273" s="33">
        <v>4.6374785409291128</v>
      </c>
      <c r="AJ273" s="33">
        <v>5.564974249114937</v>
      </c>
      <c r="AK273" s="33">
        <v>3.2462349786503801</v>
      </c>
      <c r="AL273" s="34">
        <v>3.2462349786503801</v>
      </c>
      <c r="AM273" s="34">
        <v>1.391243562278734</v>
      </c>
      <c r="AN273" s="34">
        <v>2.318739270464556</v>
      </c>
      <c r="AO273" s="34">
        <v>1.391243562278734</v>
      </c>
      <c r="AP273" s="34">
        <v>13.91243562278734</v>
      </c>
      <c r="AQ273" s="34">
        <v>7.4199656654865818</v>
      </c>
      <c r="AR273" s="37"/>
    </row>
    <row r="274" spans="1:44" ht="19.5" customHeight="1">
      <c r="A274" s="166">
        <f t="shared" si="23"/>
        <v>20</v>
      </c>
      <c r="B274" s="167" t="s">
        <v>3707</v>
      </c>
      <c r="C274" s="154" t="s">
        <v>230</v>
      </c>
      <c r="D274" s="167" t="s">
        <v>3709</v>
      </c>
      <c r="E274" s="124"/>
      <c r="F274" s="32">
        <v>135445.55138250359</v>
      </c>
      <c r="G274" s="32">
        <v>22293.405169011519</v>
      </c>
      <c r="H274" s="32">
        <v>157738.95655151509</v>
      </c>
      <c r="I274" s="33">
        <v>47.109437850050398</v>
      </c>
      <c r="J274" s="33">
        <v>47.109437850050398</v>
      </c>
      <c r="K274" s="34">
        <v>15.7031459500168</v>
      </c>
      <c r="L274" s="33">
        <v>25.125033520026879</v>
      </c>
      <c r="M274" s="34">
        <v>31.406291900033601</v>
      </c>
      <c r="N274" s="34">
        <v>18.84377514002016</v>
      </c>
      <c r="O274" s="33">
        <v>18.84377514002016</v>
      </c>
      <c r="P274" s="34">
        <v>37.687550280040327</v>
      </c>
      <c r="Q274" s="33">
        <v>31.406291900033601</v>
      </c>
      <c r="R274" s="33">
        <v>37.687550280040327</v>
      </c>
      <c r="S274" s="33">
        <v>21.984404330023519</v>
      </c>
      <c r="T274" s="34">
        <v>21.984404330023519</v>
      </c>
      <c r="U274" s="34">
        <v>9.4218875700100817</v>
      </c>
      <c r="V274" s="34">
        <v>15.7031459500168</v>
      </c>
      <c r="W274" s="34">
        <v>9.4218875700100817</v>
      </c>
      <c r="X274" s="34">
        <v>94.21887570010081</v>
      </c>
      <c r="Y274" s="34">
        <v>50.250067040053757</v>
      </c>
      <c r="Z274" s="34"/>
      <c r="AA274" s="33">
        <v>7.7538891056646833</v>
      </c>
      <c r="AB274" s="33">
        <v>7.7538891056646833</v>
      </c>
      <c r="AC274" s="34">
        <v>2.584629701888228</v>
      </c>
      <c r="AD274" s="33">
        <v>4.1354075230211649</v>
      </c>
      <c r="AE274" s="34">
        <v>5.1692594037764552</v>
      </c>
      <c r="AF274" s="34">
        <v>3.1015556422658741</v>
      </c>
      <c r="AG274" s="33">
        <v>3.1015556422658741</v>
      </c>
      <c r="AH274" s="34">
        <v>6.2031112845317473</v>
      </c>
      <c r="AI274" s="33">
        <v>5.1692594037764552</v>
      </c>
      <c r="AJ274" s="33">
        <v>6.2031112845317473</v>
      </c>
      <c r="AK274" s="33">
        <v>3.6184815826435188</v>
      </c>
      <c r="AL274" s="34">
        <v>3.6184815826435188</v>
      </c>
      <c r="AM274" s="34">
        <v>1.5507778211329371</v>
      </c>
      <c r="AN274" s="34">
        <v>2.584629701888228</v>
      </c>
      <c r="AO274" s="34">
        <v>1.5507778211329371</v>
      </c>
      <c r="AP274" s="34">
        <v>15.50777821132937</v>
      </c>
      <c r="AQ274" s="34">
        <v>8.2708150460423298</v>
      </c>
      <c r="AR274" s="39"/>
    </row>
    <row r="275" spans="1:44" ht="19.5" customHeight="1">
      <c r="A275" s="166">
        <f t="shared" si="23"/>
        <v>21</v>
      </c>
      <c r="B275" s="41" t="s">
        <v>133</v>
      </c>
      <c r="C275" s="26" t="s">
        <v>94</v>
      </c>
      <c r="D275" s="102" t="s">
        <v>3719</v>
      </c>
      <c r="E275" s="30"/>
      <c r="F275" s="32">
        <v>0</v>
      </c>
      <c r="G275" s="32">
        <v>0</v>
      </c>
      <c r="H275" s="32">
        <v>0</v>
      </c>
      <c r="I275" s="53">
        <v>0</v>
      </c>
      <c r="J275" s="53">
        <v>0</v>
      </c>
      <c r="K275" s="54">
        <v>0</v>
      </c>
      <c r="L275" s="53">
        <v>0</v>
      </c>
      <c r="M275" s="54">
        <v>0</v>
      </c>
      <c r="N275" s="54">
        <v>0</v>
      </c>
      <c r="O275" s="53">
        <v>0</v>
      </c>
      <c r="P275" s="54">
        <v>0</v>
      </c>
      <c r="Q275" s="53">
        <v>0</v>
      </c>
      <c r="R275" s="53">
        <v>0</v>
      </c>
      <c r="S275" s="53">
        <v>0</v>
      </c>
      <c r="T275" s="54">
        <v>0</v>
      </c>
      <c r="U275" s="54">
        <v>0</v>
      </c>
      <c r="V275" s="54">
        <v>0</v>
      </c>
      <c r="W275" s="54">
        <v>0</v>
      </c>
      <c r="X275" s="54">
        <v>0</v>
      </c>
      <c r="Y275" s="54">
        <v>0</v>
      </c>
      <c r="Z275" s="34"/>
      <c r="AA275" s="33">
        <v>0</v>
      </c>
      <c r="AB275" s="33">
        <v>0</v>
      </c>
      <c r="AC275" s="34">
        <v>0</v>
      </c>
      <c r="AD275" s="33">
        <v>0</v>
      </c>
      <c r="AE275" s="34">
        <v>0</v>
      </c>
      <c r="AF275" s="34">
        <v>0</v>
      </c>
      <c r="AG275" s="33">
        <v>0</v>
      </c>
      <c r="AH275" s="34">
        <v>0</v>
      </c>
      <c r="AI275" s="33">
        <v>0</v>
      </c>
      <c r="AJ275" s="33">
        <v>0</v>
      </c>
      <c r="AK275" s="33">
        <v>0</v>
      </c>
      <c r="AL275" s="34">
        <v>0</v>
      </c>
      <c r="AM275" s="34">
        <v>0</v>
      </c>
      <c r="AN275" s="34">
        <v>0</v>
      </c>
      <c r="AO275" s="34">
        <v>0</v>
      </c>
      <c r="AP275" s="34">
        <v>0</v>
      </c>
      <c r="AQ275" s="34">
        <v>0</v>
      </c>
      <c r="AR275" s="39"/>
    </row>
    <row r="276" spans="1:44" ht="19.5" customHeight="1">
      <c r="A276" s="168"/>
      <c r="B276" s="169" t="s">
        <v>133</v>
      </c>
      <c r="C276" s="177" t="s">
        <v>389</v>
      </c>
      <c r="D276" s="169" t="s">
        <v>3726</v>
      </c>
      <c r="E276" s="164">
        <v>6</v>
      </c>
      <c r="F276" s="171">
        <v>310891.10276500718</v>
      </c>
      <c r="G276" s="171">
        <v>75733.512922528811</v>
      </c>
      <c r="H276" s="171">
        <v>386624.61568753602</v>
      </c>
      <c r="I276" s="33">
        <v>108.13131132288819</v>
      </c>
      <c r="J276" s="33">
        <v>108.13131132288819</v>
      </c>
      <c r="K276" s="34">
        <v>36.04377044096271</v>
      </c>
      <c r="L276" s="33">
        <v>57.670032705540343</v>
      </c>
      <c r="M276" s="34">
        <v>72.08754088192542</v>
      </c>
      <c r="N276" s="34">
        <v>43.252524529155259</v>
      </c>
      <c r="O276" s="33">
        <v>43.252524529155259</v>
      </c>
      <c r="P276" s="34">
        <v>86.505049058310519</v>
      </c>
      <c r="Q276" s="33">
        <v>72.08754088192542</v>
      </c>
      <c r="R276" s="33">
        <v>86.505049058310519</v>
      </c>
      <c r="S276" s="33">
        <v>50.461278617347801</v>
      </c>
      <c r="T276" s="34">
        <v>50.461278617347801</v>
      </c>
      <c r="U276" s="34">
        <v>21.62626226457763</v>
      </c>
      <c r="V276" s="34">
        <v>36.04377044096271</v>
      </c>
      <c r="W276" s="34">
        <v>21.62626226457763</v>
      </c>
      <c r="X276" s="34">
        <v>216.2626226457763</v>
      </c>
      <c r="Y276" s="34">
        <v>115.3400654110807</v>
      </c>
      <c r="Z276" s="34"/>
      <c r="AA276" s="33">
        <v>26.340940575555379</v>
      </c>
      <c r="AB276" s="33">
        <v>26.340940575555379</v>
      </c>
      <c r="AC276" s="34">
        <v>8.7803135251851252</v>
      </c>
      <c r="AD276" s="33">
        <v>14.0485016402962</v>
      </c>
      <c r="AE276" s="34">
        <v>17.56062705037025</v>
      </c>
      <c r="AF276" s="34">
        <v>10.53637623022215</v>
      </c>
      <c r="AG276" s="33">
        <v>10.53637623022215</v>
      </c>
      <c r="AH276" s="34">
        <v>21.07275246044431</v>
      </c>
      <c r="AI276" s="33">
        <v>17.56062705037025</v>
      </c>
      <c r="AJ276" s="33">
        <v>21.07275246044431</v>
      </c>
      <c r="AK276" s="33">
        <v>12.292438935259179</v>
      </c>
      <c r="AL276" s="34">
        <v>12.292438935259179</v>
      </c>
      <c r="AM276" s="34">
        <v>5.2681881151110774</v>
      </c>
      <c r="AN276" s="34">
        <v>8.7803135251851252</v>
      </c>
      <c r="AO276" s="34">
        <v>5.2681881151110774</v>
      </c>
      <c r="AP276" s="34">
        <v>52.681881151110773</v>
      </c>
      <c r="AQ276" s="34">
        <v>28.097003280592411</v>
      </c>
      <c r="AR276" s="178"/>
    </row>
    <row r="277" spans="1:44" ht="19.5" customHeight="1">
      <c r="A277" s="166">
        <f>A275+1</f>
        <v>22</v>
      </c>
      <c r="B277" s="41" t="s">
        <v>133</v>
      </c>
      <c r="C277" s="26" t="s">
        <v>94</v>
      </c>
      <c r="D277" s="167" t="s">
        <v>3745</v>
      </c>
      <c r="E277" s="124"/>
      <c r="F277" s="32">
        <v>0</v>
      </c>
      <c r="G277" s="32">
        <v>0</v>
      </c>
      <c r="H277" s="32">
        <v>0</v>
      </c>
      <c r="I277" s="33">
        <v>0</v>
      </c>
      <c r="J277" s="33">
        <v>0</v>
      </c>
      <c r="K277" s="34">
        <v>0</v>
      </c>
      <c r="L277" s="33">
        <v>0</v>
      </c>
      <c r="M277" s="34">
        <v>0</v>
      </c>
      <c r="N277" s="34">
        <v>0</v>
      </c>
      <c r="O277" s="33">
        <v>0</v>
      </c>
      <c r="P277" s="34">
        <v>0</v>
      </c>
      <c r="Q277" s="33">
        <v>0</v>
      </c>
      <c r="R277" s="33">
        <v>0</v>
      </c>
      <c r="S277" s="33">
        <v>0</v>
      </c>
      <c r="T277" s="34">
        <v>0</v>
      </c>
      <c r="U277" s="34">
        <v>0</v>
      </c>
      <c r="V277" s="34">
        <v>0</v>
      </c>
      <c r="W277" s="34">
        <v>0</v>
      </c>
      <c r="X277" s="34">
        <v>0</v>
      </c>
      <c r="Y277" s="34">
        <v>0</v>
      </c>
      <c r="Z277" s="54"/>
      <c r="AA277" s="33">
        <v>0</v>
      </c>
      <c r="AB277" s="33">
        <v>0</v>
      </c>
      <c r="AC277" s="34">
        <v>0</v>
      </c>
      <c r="AD277" s="33">
        <v>0</v>
      </c>
      <c r="AE277" s="34">
        <v>0</v>
      </c>
      <c r="AF277" s="34">
        <v>0</v>
      </c>
      <c r="AG277" s="33">
        <v>0</v>
      </c>
      <c r="AH277" s="34">
        <v>0</v>
      </c>
      <c r="AI277" s="33">
        <v>0</v>
      </c>
      <c r="AJ277" s="33">
        <v>0</v>
      </c>
      <c r="AK277" s="33">
        <v>0</v>
      </c>
      <c r="AL277" s="34">
        <v>0</v>
      </c>
      <c r="AM277" s="34">
        <v>0</v>
      </c>
      <c r="AN277" s="34">
        <v>0</v>
      </c>
      <c r="AO277" s="34">
        <v>0</v>
      </c>
      <c r="AP277" s="34">
        <v>0</v>
      </c>
      <c r="AQ277" s="34">
        <v>0</v>
      </c>
      <c r="AR277" s="39"/>
    </row>
    <row r="278" spans="1:44" ht="19.5" customHeight="1">
      <c r="A278" s="166">
        <f t="shared" ref="A278:A282" si="24">A277+1</f>
        <v>23</v>
      </c>
      <c r="B278" s="41" t="s">
        <v>133</v>
      </c>
      <c r="C278" s="26" t="s">
        <v>94</v>
      </c>
      <c r="D278" s="167" t="s">
        <v>3754</v>
      </c>
      <c r="E278" s="124"/>
      <c r="F278" s="32">
        <v>30000</v>
      </c>
      <c r="G278" s="32">
        <v>20000</v>
      </c>
      <c r="H278" s="32">
        <v>50000</v>
      </c>
      <c r="I278" s="33">
        <v>10.43432671709051</v>
      </c>
      <c r="J278" s="33">
        <v>10.43432671709051</v>
      </c>
      <c r="K278" s="34">
        <v>3.4781089056968351</v>
      </c>
      <c r="L278" s="33">
        <v>5.564974249114937</v>
      </c>
      <c r="M278" s="34">
        <v>6.9562178113936701</v>
      </c>
      <c r="N278" s="34">
        <v>4.173730686836203</v>
      </c>
      <c r="O278" s="33">
        <v>4.173730686836203</v>
      </c>
      <c r="P278" s="34">
        <v>8.3474613736724059</v>
      </c>
      <c r="Q278" s="33">
        <v>6.9562178113936701</v>
      </c>
      <c r="R278" s="33">
        <v>8.3474613736724059</v>
      </c>
      <c r="S278" s="33">
        <v>4.8693524679755704</v>
      </c>
      <c r="T278" s="34">
        <v>4.8693524679755704</v>
      </c>
      <c r="U278" s="34">
        <v>2.086865343418101</v>
      </c>
      <c r="V278" s="34">
        <v>3.4781089056968351</v>
      </c>
      <c r="W278" s="34">
        <v>2.086865343418101</v>
      </c>
      <c r="X278" s="34">
        <v>20.868653434181009</v>
      </c>
      <c r="Y278" s="34">
        <v>11.12994849822987</v>
      </c>
      <c r="Z278" s="34"/>
      <c r="AA278" s="33">
        <v>6.956217811393671</v>
      </c>
      <c r="AB278" s="33">
        <v>6.956217811393671</v>
      </c>
      <c r="AC278" s="34">
        <v>2.318739270464556</v>
      </c>
      <c r="AD278" s="33">
        <v>3.7099828327432909</v>
      </c>
      <c r="AE278" s="34">
        <v>4.6374785409291128</v>
      </c>
      <c r="AF278" s="34">
        <v>2.7824871245574681</v>
      </c>
      <c r="AG278" s="33">
        <v>2.7824871245574681</v>
      </c>
      <c r="AH278" s="34">
        <v>5.564974249114937</v>
      </c>
      <c r="AI278" s="33">
        <v>4.6374785409291128</v>
      </c>
      <c r="AJ278" s="33">
        <v>5.564974249114937</v>
      </c>
      <c r="AK278" s="33">
        <v>3.2462349786503801</v>
      </c>
      <c r="AL278" s="34">
        <v>3.2462349786503801</v>
      </c>
      <c r="AM278" s="34">
        <v>1.391243562278734</v>
      </c>
      <c r="AN278" s="34">
        <v>2.318739270464556</v>
      </c>
      <c r="AO278" s="34">
        <v>1.391243562278734</v>
      </c>
      <c r="AP278" s="34">
        <v>13.91243562278734</v>
      </c>
      <c r="AQ278" s="34">
        <v>7.4199656654865818</v>
      </c>
      <c r="AR278" s="39"/>
    </row>
    <row r="279" spans="1:44" ht="19.5" customHeight="1">
      <c r="A279" s="166">
        <f t="shared" si="24"/>
        <v>24</v>
      </c>
      <c r="B279" s="41" t="s">
        <v>133</v>
      </c>
      <c r="C279" s="26" t="s">
        <v>94</v>
      </c>
      <c r="D279" s="167" t="s">
        <v>3763</v>
      </c>
      <c r="E279" s="124"/>
      <c r="F279" s="32">
        <v>0</v>
      </c>
      <c r="G279" s="32">
        <v>0</v>
      </c>
      <c r="H279" s="32">
        <v>0</v>
      </c>
      <c r="I279" s="33">
        <v>0</v>
      </c>
      <c r="J279" s="33">
        <v>0</v>
      </c>
      <c r="K279" s="34">
        <v>0</v>
      </c>
      <c r="L279" s="33">
        <v>0</v>
      </c>
      <c r="M279" s="34">
        <v>0</v>
      </c>
      <c r="N279" s="34">
        <v>0</v>
      </c>
      <c r="O279" s="33">
        <v>0</v>
      </c>
      <c r="P279" s="34">
        <v>0</v>
      </c>
      <c r="Q279" s="33">
        <v>0</v>
      </c>
      <c r="R279" s="33">
        <v>0</v>
      </c>
      <c r="S279" s="33">
        <v>0</v>
      </c>
      <c r="T279" s="34">
        <v>0</v>
      </c>
      <c r="U279" s="34">
        <v>0</v>
      </c>
      <c r="V279" s="34">
        <v>0</v>
      </c>
      <c r="W279" s="34">
        <v>0</v>
      </c>
      <c r="X279" s="34">
        <v>0</v>
      </c>
      <c r="Y279" s="34">
        <v>0</v>
      </c>
      <c r="Z279" s="34"/>
      <c r="AA279" s="33">
        <v>0</v>
      </c>
      <c r="AB279" s="33">
        <v>0</v>
      </c>
      <c r="AC279" s="34">
        <v>0</v>
      </c>
      <c r="AD279" s="33">
        <v>0</v>
      </c>
      <c r="AE279" s="34">
        <v>0</v>
      </c>
      <c r="AF279" s="34">
        <v>0</v>
      </c>
      <c r="AG279" s="33">
        <v>0</v>
      </c>
      <c r="AH279" s="34">
        <v>0</v>
      </c>
      <c r="AI279" s="33">
        <v>0</v>
      </c>
      <c r="AJ279" s="33">
        <v>0</v>
      </c>
      <c r="AK279" s="33">
        <v>0</v>
      </c>
      <c r="AL279" s="34">
        <v>0</v>
      </c>
      <c r="AM279" s="34">
        <v>0</v>
      </c>
      <c r="AN279" s="34">
        <v>0</v>
      </c>
      <c r="AO279" s="34">
        <v>0</v>
      </c>
      <c r="AP279" s="34">
        <v>0</v>
      </c>
      <c r="AQ279" s="34">
        <v>0</v>
      </c>
      <c r="AR279" s="39"/>
    </row>
    <row r="280" spans="1:44" ht="19.5" customHeight="1">
      <c r="A280" s="166">
        <f t="shared" si="24"/>
        <v>25</v>
      </c>
      <c r="B280" s="41" t="s">
        <v>133</v>
      </c>
      <c r="C280" s="26" t="s">
        <v>94</v>
      </c>
      <c r="D280" s="167" t="s">
        <v>3772</v>
      </c>
      <c r="E280" s="124"/>
      <c r="F280" s="32">
        <v>0</v>
      </c>
      <c r="G280" s="32">
        <v>0</v>
      </c>
      <c r="H280" s="32">
        <v>0</v>
      </c>
      <c r="I280" s="33">
        <v>0</v>
      </c>
      <c r="J280" s="33">
        <v>0</v>
      </c>
      <c r="K280" s="34">
        <v>0</v>
      </c>
      <c r="L280" s="33">
        <v>0</v>
      </c>
      <c r="M280" s="34">
        <v>0</v>
      </c>
      <c r="N280" s="34">
        <v>0</v>
      </c>
      <c r="O280" s="33">
        <v>0</v>
      </c>
      <c r="P280" s="34">
        <v>0</v>
      </c>
      <c r="Q280" s="33">
        <v>0</v>
      </c>
      <c r="R280" s="33">
        <v>0</v>
      </c>
      <c r="S280" s="33">
        <v>0</v>
      </c>
      <c r="T280" s="34">
        <v>0</v>
      </c>
      <c r="U280" s="34">
        <v>0</v>
      </c>
      <c r="V280" s="34">
        <v>0</v>
      </c>
      <c r="W280" s="34">
        <v>0</v>
      </c>
      <c r="X280" s="34">
        <v>0</v>
      </c>
      <c r="Y280" s="34">
        <v>0</v>
      </c>
      <c r="Z280" s="34"/>
      <c r="AA280" s="33">
        <v>0</v>
      </c>
      <c r="AB280" s="33">
        <v>0</v>
      </c>
      <c r="AC280" s="34">
        <v>0</v>
      </c>
      <c r="AD280" s="33">
        <v>0</v>
      </c>
      <c r="AE280" s="34">
        <v>0</v>
      </c>
      <c r="AF280" s="34">
        <v>0</v>
      </c>
      <c r="AG280" s="33">
        <v>0</v>
      </c>
      <c r="AH280" s="34">
        <v>0</v>
      </c>
      <c r="AI280" s="33">
        <v>0</v>
      </c>
      <c r="AJ280" s="33">
        <v>0</v>
      </c>
      <c r="AK280" s="33">
        <v>0</v>
      </c>
      <c r="AL280" s="34">
        <v>0</v>
      </c>
      <c r="AM280" s="34">
        <v>0</v>
      </c>
      <c r="AN280" s="34">
        <v>0</v>
      </c>
      <c r="AO280" s="34">
        <v>0</v>
      </c>
      <c r="AP280" s="34">
        <v>0</v>
      </c>
      <c r="AQ280" s="34">
        <v>0</v>
      </c>
      <c r="AR280" s="39"/>
    </row>
    <row r="281" spans="1:44" ht="19.5" customHeight="1">
      <c r="A281" s="166">
        <f t="shared" si="24"/>
        <v>26</v>
      </c>
      <c r="B281" s="41" t="s">
        <v>133</v>
      </c>
      <c r="C281" s="26" t="s">
        <v>94</v>
      </c>
      <c r="D281" s="167" t="s">
        <v>3780</v>
      </c>
      <c r="E281" s="124"/>
      <c r="F281" s="32">
        <v>10000</v>
      </c>
      <c r="G281" s="32">
        <v>15000</v>
      </c>
      <c r="H281" s="32">
        <v>25000</v>
      </c>
      <c r="I281" s="33">
        <v>3.478108905696836</v>
      </c>
      <c r="J281" s="33">
        <v>3.478108905696836</v>
      </c>
      <c r="K281" s="34">
        <v>1.159369635232278</v>
      </c>
      <c r="L281" s="33">
        <v>1.854991416371645</v>
      </c>
      <c r="M281" s="34">
        <v>2.318739270464556</v>
      </c>
      <c r="N281" s="34">
        <v>1.391243562278734</v>
      </c>
      <c r="O281" s="33">
        <v>1.391243562278734</v>
      </c>
      <c r="P281" s="34">
        <v>2.7824871245574681</v>
      </c>
      <c r="Q281" s="33">
        <v>2.318739270464556</v>
      </c>
      <c r="R281" s="33">
        <v>2.7824871245574681</v>
      </c>
      <c r="S281" s="33">
        <v>1.6231174893251901</v>
      </c>
      <c r="T281" s="34">
        <v>1.6231174893251901</v>
      </c>
      <c r="U281" s="34">
        <v>0.69562178113936712</v>
      </c>
      <c r="V281" s="34">
        <v>1.159369635232278</v>
      </c>
      <c r="W281" s="34">
        <v>0.69562178113936712</v>
      </c>
      <c r="X281" s="34">
        <v>6.956217811393671</v>
      </c>
      <c r="Y281" s="34">
        <v>3.7099828327432909</v>
      </c>
      <c r="Z281" s="34"/>
      <c r="AA281" s="33">
        <v>5.2171633585452533</v>
      </c>
      <c r="AB281" s="33">
        <v>5.2171633585452533</v>
      </c>
      <c r="AC281" s="34">
        <v>1.739054452848418</v>
      </c>
      <c r="AD281" s="33">
        <v>2.7824871245574681</v>
      </c>
      <c r="AE281" s="34">
        <v>3.4781089056968351</v>
      </c>
      <c r="AF281" s="34">
        <v>2.086865343418101</v>
      </c>
      <c r="AG281" s="33">
        <v>2.086865343418101</v>
      </c>
      <c r="AH281" s="34">
        <v>4.173730686836203</v>
      </c>
      <c r="AI281" s="33">
        <v>3.4781089056968351</v>
      </c>
      <c r="AJ281" s="33">
        <v>4.173730686836203</v>
      </c>
      <c r="AK281" s="33">
        <v>2.4346762339877852</v>
      </c>
      <c r="AL281" s="34">
        <v>2.4346762339877852</v>
      </c>
      <c r="AM281" s="34">
        <v>1.043432671709051</v>
      </c>
      <c r="AN281" s="34">
        <v>1.739054452848418</v>
      </c>
      <c r="AO281" s="34">
        <v>1.043432671709051</v>
      </c>
      <c r="AP281" s="34">
        <v>10.43432671709051</v>
      </c>
      <c r="AQ281" s="34">
        <v>5.564974249114937</v>
      </c>
      <c r="AR281" s="39"/>
    </row>
    <row r="282" spans="1:44" ht="19.5" customHeight="1">
      <c r="A282" s="166">
        <f t="shared" si="24"/>
        <v>27</v>
      </c>
      <c r="B282" s="167" t="s">
        <v>3790</v>
      </c>
      <c r="C282" s="154" t="s">
        <v>159</v>
      </c>
      <c r="D282" s="167" t="s">
        <v>3791</v>
      </c>
      <c r="E282" s="124"/>
      <c r="F282" s="32">
        <v>122637.1133713321</v>
      </c>
      <c r="G282" s="32">
        <v>20000</v>
      </c>
      <c r="H282" s="32">
        <v>142637.11337133209</v>
      </c>
      <c r="I282" s="53">
        <v>42.654523618578253</v>
      </c>
      <c r="J282" s="53">
        <v>42.654523618578253</v>
      </c>
      <c r="K282" s="54">
        <v>14.21817453952608</v>
      </c>
      <c r="L282" s="53">
        <v>22.74907926324174</v>
      </c>
      <c r="M282" s="54">
        <v>28.43634907905216</v>
      </c>
      <c r="N282" s="54">
        <v>17.061809447431301</v>
      </c>
      <c r="O282" s="53">
        <v>17.061809447431301</v>
      </c>
      <c r="P282" s="54">
        <v>34.123618894862602</v>
      </c>
      <c r="Q282" s="53">
        <v>28.43634907905216</v>
      </c>
      <c r="R282" s="53">
        <v>34.123618894862602</v>
      </c>
      <c r="S282" s="53">
        <v>19.90544435533652</v>
      </c>
      <c r="T282" s="54">
        <v>19.90544435533652</v>
      </c>
      <c r="U282" s="54">
        <v>8.5309047237156506</v>
      </c>
      <c r="V282" s="54">
        <v>14.21817453952608</v>
      </c>
      <c r="W282" s="54">
        <v>8.5309047237156506</v>
      </c>
      <c r="X282" s="54">
        <v>85.309047237156506</v>
      </c>
      <c r="Y282" s="54">
        <v>45.498158526483472</v>
      </c>
      <c r="Z282" s="34"/>
      <c r="AA282" s="33">
        <v>6.956217811393671</v>
      </c>
      <c r="AB282" s="33">
        <v>6.956217811393671</v>
      </c>
      <c r="AC282" s="34">
        <v>2.318739270464556</v>
      </c>
      <c r="AD282" s="33">
        <v>3.7099828327432909</v>
      </c>
      <c r="AE282" s="34">
        <v>4.6374785409291128</v>
      </c>
      <c r="AF282" s="34">
        <v>2.7824871245574681</v>
      </c>
      <c r="AG282" s="33">
        <v>2.7824871245574681</v>
      </c>
      <c r="AH282" s="34">
        <v>5.564974249114937</v>
      </c>
      <c r="AI282" s="33">
        <v>4.6374785409291128</v>
      </c>
      <c r="AJ282" s="33">
        <v>5.564974249114937</v>
      </c>
      <c r="AK282" s="33">
        <v>3.2462349786503801</v>
      </c>
      <c r="AL282" s="34">
        <v>3.2462349786503801</v>
      </c>
      <c r="AM282" s="34">
        <v>1.391243562278734</v>
      </c>
      <c r="AN282" s="34">
        <v>2.318739270464556</v>
      </c>
      <c r="AO282" s="34">
        <v>1.391243562278734</v>
      </c>
      <c r="AP282" s="34">
        <v>13.91243562278734</v>
      </c>
      <c r="AQ282" s="34">
        <v>7.4199656654865818</v>
      </c>
      <c r="AR282" s="39"/>
    </row>
    <row r="283" spans="1:44" ht="19.5" customHeight="1">
      <c r="A283" s="168"/>
      <c r="B283" s="169" t="s">
        <v>133</v>
      </c>
      <c r="C283" s="177" t="s">
        <v>389</v>
      </c>
      <c r="D283" s="169" t="s">
        <v>3802</v>
      </c>
      <c r="E283" s="164">
        <v>6</v>
      </c>
      <c r="F283" s="171">
        <v>162637.11337133209</v>
      </c>
      <c r="G283" s="171">
        <v>55000</v>
      </c>
      <c r="H283" s="171">
        <v>217637.11337133209</v>
      </c>
      <c r="I283" s="53">
        <v>56.566959241365588</v>
      </c>
      <c r="J283" s="53">
        <v>56.566959241365588</v>
      </c>
      <c r="K283" s="54">
        <v>18.855653080455191</v>
      </c>
      <c r="L283" s="53">
        <v>30.169044928728319</v>
      </c>
      <c r="M283" s="54">
        <v>37.711306160910389</v>
      </c>
      <c r="N283" s="54">
        <v>22.626783696546241</v>
      </c>
      <c r="O283" s="53">
        <v>22.626783696546241</v>
      </c>
      <c r="P283" s="54">
        <v>45.253567393092467</v>
      </c>
      <c r="Q283" s="53">
        <v>37.711306160910389</v>
      </c>
      <c r="R283" s="53">
        <v>45.253567393092467</v>
      </c>
      <c r="S283" s="53">
        <v>26.39791431263728</v>
      </c>
      <c r="T283" s="54">
        <v>26.39791431263728</v>
      </c>
      <c r="U283" s="54">
        <v>11.31339184827312</v>
      </c>
      <c r="V283" s="54">
        <v>18.855653080455191</v>
      </c>
      <c r="W283" s="54">
        <v>11.31339184827312</v>
      </c>
      <c r="X283" s="54">
        <v>113.1339184827312</v>
      </c>
      <c r="Y283" s="54">
        <v>60.33808985745663</v>
      </c>
      <c r="Z283" s="34"/>
      <c r="AA283" s="33">
        <v>19.129598981332592</v>
      </c>
      <c r="AB283" s="33">
        <v>19.129598981332592</v>
      </c>
      <c r="AC283" s="34">
        <v>6.3765329937775306</v>
      </c>
      <c r="AD283" s="33">
        <v>10.202452790044051</v>
      </c>
      <c r="AE283" s="34">
        <v>12.753065987555059</v>
      </c>
      <c r="AF283" s="34">
        <v>7.6518395925330376</v>
      </c>
      <c r="AG283" s="33">
        <v>7.6518395925330376</v>
      </c>
      <c r="AH283" s="34">
        <v>15.30367918506608</v>
      </c>
      <c r="AI283" s="33">
        <v>12.753065987555059</v>
      </c>
      <c r="AJ283" s="33">
        <v>15.30367918506608</v>
      </c>
      <c r="AK283" s="33">
        <v>8.9271461912885428</v>
      </c>
      <c r="AL283" s="34">
        <v>8.9271461912885428</v>
      </c>
      <c r="AM283" s="34">
        <v>3.8259197962665188</v>
      </c>
      <c r="AN283" s="34">
        <v>6.3765329937775306</v>
      </c>
      <c r="AO283" s="34">
        <v>3.8259197962665188</v>
      </c>
      <c r="AP283" s="34">
        <v>38.259197962665183</v>
      </c>
      <c r="AQ283" s="34">
        <v>20.404905580088101</v>
      </c>
      <c r="AR283" s="39"/>
    </row>
    <row r="284" spans="1:44" ht="19.5" customHeight="1">
      <c r="A284" s="67"/>
      <c r="B284" s="179" t="s">
        <v>3539</v>
      </c>
      <c r="C284" s="90" t="s">
        <v>835</v>
      </c>
      <c r="D284" s="179" t="s">
        <v>3813</v>
      </c>
      <c r="E284" s="127">
        <f>E283+E276+E269+E263+E257</f>
        <v>26</v>
      </c>
      <c r="F284" s="128">
        <v>1137503.8937573589</v>
      </c>
      <c r="G284" s="128">
        <v>504180.21664959838</v>
      </c>
      <c r="H284" s="128">
        <v>1641684.110406958</v>
      </c>
      <c r="I284" s="33">
        <v>395.63624231422978</v>
      </c>
      <c r="J284" s="33">
        <v>395.63624231422978</v>
      </c>
      <c r="K284" s="34">
        <v>131.8787474380766</v>
      </c>
      <c r="L284" s="33">
        <v>211.00599590092261</v>
      </c>
      <c r="M284" s="34">
        <v>263.7574948761532</v>
      </c>
      <c r="N284" s="34">
        <v>158.25449692569191</v>
      </c>
      <c r="O284" s="33">
        <v>158.25449692569191</v>
      </c>
      <c r="P284" s="34">
        <v>316.50899385138388</v>
      </c>
      <c r="Q284" s="33">
        <v>263.7574948761532</v>
      </c>
      <c r="R284" s="33">
        <v>316.50899385138388</v>
      </c>
      <c r="S284" s="33">
        <v>184.6302464133073</v>
      </c>
      <c r="T284" s="34">
        <v>184.6302464133073</v>
      </c>
      <c r="U284" s="34">
        <v>79.127248462845969</v>
      </c>
      <c r="V284" s="34">
        <v>131.8787474380766</v>
      </c>
      <c r="W284" s="34">
        <v>79.127248462845969</v>
      </c>
      <c r="X284" s="34">
        <v>791.27248462845967</v>
      </c>
      <c r="Y284" s="34">
        <v>422.01199180184523</v>
      </c>
      <c r="Z284" s="34"/>
      <c r="AA284" s="33">
        <v>175.35937016051281</v>
      </c>
      <c r="AB284" s="33">
        <v>175.35937016051281</v>
      </c>
      <c r="AC284" s="34">
        <v>58.453123386837603</v>
      </c>
      <c r="AD284" s="33">
        <v>93.524997418940174</v>
      </c>
      <c r="AE284" s="34">
        <v>116.90624677367521</v>
      </c>
      <c r="AF284" s="34">
        <v>70.143748064205127</v>
      </c>
      <c r="AG284" s="33">
        <v>70.143748064205127</v>
      </c>
      <c r="AH284" s="34">
        <v>140.28749612841031</v>
      </c>
      <c r="AI284" s="33">
        <v>116.90624677367521</v>
      </c>
      <c r="AJ284" s="33">
        <v>140.28749612841031</v>
      </c>
      <c r="AK284" s="33">
        <v>81.834372741572651</v>
      </c>
      <c r="AL284" s="34">
        <v>81.834372741572651</v>
      </c>
      <c r="AM284" s="34">
        <v>35.071874032102563</v>
      </c>
      <c r="AN284" s="34">
        <v>58.453123386837603</v>
      </c>
      <c r="AO284" s="34">
        <v>35.071874032102563</v>
      </c>
      <c r="AP284" s="34">
        <v>350.71874032102562</v>
      </c>
      <c r="AQ284" s="34">
        <v>187.04999483788029</v>
      </c>
      <c r="AR284" s="39"/>
    </row>
    <row r="285" spans="1:44" ht="19.5" customHeight="1">
      <c r="A285" s="32"/>
      <c r="B285" s="32"/>
      <c r="C285" s="32"/>
      <c r="D285" s="151"/>
      <c r="E285" s="32"/>
      <c r="F285" s="32"/>
      <c r="G285" s="32"/>
      <c r="H285" s="32">
        <v>0</v>
      </c>
      <c r="I285" s="33">
        <v>0</v>
      </c>
      <c r="J285" s="33">
        <v>0</v>
      </c>
      <c r="K285" s="34">
        <v>0</v>
      </c>
      <c r="L285" s="33">
        <v>0</v>
      </c>
      <c r="M285" s="34">
        <v>0</v>
      </c>
      <c r="N285" s="34">
        <v>0</v>
      </c>
      <c r="O285" s="33">
        <v>0</v>
      </c>
      <c r="P285" s="34">
        <v>0</v>
      </c>
      <c r="Q285" s="33">
        <v>0</v>
      </c>
      <c r="R285" s="33">
        <v>0</v>
      </c>
      <c r="S285" s="33">
        <v>0</v>
      </c>
      <c r="T285" s="34">
        <v>0</v>
      </c>
      <c r="U285" s="34">
        <v>0</v>
      </c>
      <c r="V285" s="34">
        <v>0</v>
      </c>
      <c r="W285" s="34">
        <v>0</v>
      </c>
      <c r="X285" s="34">
        <v>0</v>
      </c>
      <c r="Y285" s="34">
        <v>0</v>
      </c>
      <c r="Z285" s="34"/>
      <c r="AA285" s="33">
        <v>0</v>
      </c>
      <c r="AB285" s="33">
        <v>0</v>
      </c>
      <c r="AC285" s="34">
        <v>0</v>
      </c>
      <c r="AD285" s="33">
        <v>0</v>
      </c>
      <c r="AE285" s="34">
        <v>0</v>
      </c>
      <c r="AF285" s="34">
        <v>0</v>
      </c>
      <c r="AG285" s="33">
        <v>0</v>
      </c>
      <c r="AH285" s="34">
        <v>0</v>
      </c>
      <c r="AI285" s="33">
        <v>0</v>
      </c>
      <c r="AJ285" s="33">
        <v>0</v>
      </c>
      <c r="AK285" s="33">
        <v>0</v>
      </c>
      <c r="AL285" s="34">
        <v>0</v>
      </c>
      <c r="AM285" s="34">
        <v>0</v>
      </c>
      <c r="AN285" s="34">
        <v>0</v>
      </c>
      <c r="AO285" s="34">
        <v>0</v>
      </c>
      <c r="AP285" s="34">
        <v>0</v>
      </c>
      <c r="AQ285" s="34">
        <v>0</v>
      </c>
      <c r="AR285" s="39"/>
    </row>
    <row r="286" spans="1:44" ht="19.5" customHeight="1">
      <c r="A286" s="76" t="s">
        <v>3840</v>
      </c>
      <c r="B286" s="169"/>
      <c r="C286" s="83"/>
      <c r="D286" s="170"/>
      <c r="E286" s="124"/>
      <c r="F286" s="32"/>
      <c r="G286" s="32"/>
      <c r="H286" s="32">
        <v>0</v>
      </c>
      <c r="I286" s="33">
        <v>0</v>
      </c>
      <c r="J286" s="33">
        <v>0</v>
      </c>
      <c r="K286" s="34">
        <v>0</v>
      </c>
      <c r="L286" s="33">
        <v>0</v>
      </c>
      <c r="M286" s="34">
        <v>0</v>
      </c>
      <c r="N286" s="34">
        <v>0</v>
      </c>
      <c r="O286" s="33">
        <v>0</v>
      </c>
      <c r="P286" s="34">
        <v>0</v>
      </c>
      <c r="Q286" s="33">
        <v>0</v>
      </c>
      <c r="R286" s="33">
        <v>0</v>
      </c>
      <c r="S286" s="33">
        <v>0</v>
      </c>
      <c r="T286" s="34">
        <v>0</v>
      </c>
      <c r="U286" s="34">
        <v>0</v>
      </c>
      <c r="V286" s="34">
        <v>0</v>
      </c>
      <c r="W286" s="34">
        <v>0</v>
      </c>
      <c r="X286" s="34">
        <v>0</v>
      </c>
      <c r="Y286" s="34">
        <v>0</v>
      </c>
      <c r="Z286" s="54"/>
      <c r="AA286" s="33">
        <v>0</v>
      </c>
      <c r="AB286" s="33">
        <v>0</v>
      </c>
      <c r="AC286" s="34">
        <v>0</v>
      </c>
      <c r="AD286" s="33">
        <v>0</v>
      </c>
      <c r="AE286" s="34">
        <v>0</v>
      </c>
      <c r="AF286" s="34">
        <v>0</v>
      </c>
      <c r="AG286" s="33">
        <v>0</v>
      </c>
      <c r="AH286" s="34">
        <v>0</v>
      </c>
      <c r="AI286" s="33">
        <v>0</v>
      </c>
      <c r="AJ286" s="33">
        <v>0</v>
      </c>
      <c r="AK286" s="33">
        <v>0</v>
      </c>
      <c r="AL286" s="34">
        <v>0</v>
      </c>
      <c r="AM286" s="34">
        <v>0</v>
      </c>
      <c r="AN286" s="34">
        <v>0</v>
      </c>
      <c r="AO286" s="34">
        <v>0</v>
      </c>
      <c r="AP286" s="34">
        <v>0</v>
      </c>
      <c r="AQ286" s="34">
        <v>0</v>
      </c>
      <c r="AR286" s="39"/>
    </row>
    <row r="287" spans="1:44" ht="19.5" customHeight="1">
      <c r="A287" s="166">
        <v>1</v>
      </c>
      <c r="B287" s="167" t="s">
        <v>3849</v>
      </c>
      <c r="C287" s="154" t="s">
        <v>230</v>
      </c>
      <c r="D287" s="167" t="s">
        <v>3542</v>
      </c>
      <c r="E287" s="124"/>
      <c r="F287" s="32">
        <v>131819.988643477</v>
      </c>
      <c r="G287" s="32">
        <v>33440.107753517281</v>
      </c>
      <c r="H287" s="32">
        <v>165260.09639699431</v>
      </c>
      <c r="I287" s="33">
        <v>45.848427644973313</v>
      </c>
      <c r="J287" s="33">
        <v>45.848427644973313</v>
      </c>
      <c r="K287" s="34">
        <v>15.282809214991101</v>
      </c>
      <c r="L287" s="33">
        <v>24.45249474398576</v>
      </c>
      <c r="M287" s="34">
        <v>30.565618429982202</v>
      </c>
      <c r="N287" s="34">
        <v>18.339371057989322</v>
      </c>
      <c r="O287" s="33">
        <v>18.339371057989322</v>
      </c>
      <c r="P287" s="34">
        <v>36.678742115978643</v>
      </c>
      <c r="Q287" s="33">
        <v>30.565618429982202</v>
      </c>
      <c r="R287" s="33">
        <v>36.678742115978643</v>
      </c>
      <c r="S287" s="33">
        <v>21.395932900987539</v>
      </c>
      <c r="T287" s="34">
        <v>21.395932900987539</v>
      </c>
      <c r="U287" s="34">
        <v>9.1696855289946608</v>
      </c>
      <c r="V287" s="34">
        <v>15.282809214991101</v>
      </c>
      <c r="W287" s="34">
        <v>9.1696855289946608</v>
      </c>
      <c r="X287" s="34">
        <v>91.696855289946612</v>
      </c>
      <c r="Y287" s="34">
        <v>48.904989487971527</v>
      </c>
      <c r="Z287" s="34"/>
      <c r="AA287" s="33">
        <v>11.63083365849702</v>
      </c>
      <c r="AB287" s="33">
        <v>11.63083365849702</v>
      </c>
      <c r="AC287" s="34">
        <v>3.8769445528323412</v>
      </c>
      <c r="AD287" s="33">
        <v>6.2031112845317473</v>
      </c>
      <c r="AE287" s="34">
        <v>7.7538891056646824</v>
      </c>
      <c r="AF287" s="34">
        <v>4.6523334633988096</v>
      </c>
      <c r="AG287" s="33">
        <v>4.6523334633988096</v>
      </c>
      <c r="AH287" s="34">
        <v>9.304666926797621</v>
      </c>
      <c r="AI287" s="33">
        <v>7.7538891056646824</v>
      </c>
      <c r="AJ287" s="33">
        <v>9.304666926797621</v>
      </c>
      <c r="AK287" s="33">
        <v>5.4277223739652776</v>
      </c>
      <c r="AL287" s="34">
        <v>5.4277223739652776</v>
      </c>
      <c r="AM287" s="34">
        <v>2.3261667316994048</v>
      </c>
      <c r="AN287" s="34">
        <v>3.8769445528323412</v>
      </c>
      <c r="AO287" s="34">
        <v>2.3261667316994048</v>
      </c>
      <c r="AP287" s="34">
        <v>23.26166731699405</v>
      </c>
      <c r="AQ287" s="34">
        <v>12.406222569063489</v>
      </c>
      <c r="AR287" s="37"/>
    </row>
    <row r="288" spans="1:44" ht="19.5" customHeight="1">
      <c r="A288" s="166">
        <f t="shared" ref="A288:A291" si="25">A287+1</f>
        <v>2</v>
      </c>
      <c r="B288" s="155" t="s">
        <v>133</v>
      </c>
      <c r="C288" s="154" t="s">
        <v>94</v>
      </c>
      <c r="D288" s="167" t="s">
        <v>3864</v>
      </c>
      <c r="E288" s="124"/>
      <c r="F288" s="32">
        <v>31356.677621020041</v>
      </c>
      <c r="G288" s="32">
        <v>47744.300047854493</v>
      </c>
      <c r="H288" s="32">
        <v>79100.977668874533</v>
      </c>
      <c r="I288" s="33">
        <v>10.90619396867344</v>
      </c>
      <c r="J288" s="33">
        <v>10.90619396867344</v>
      </c>
      <c r="K288" s="34">
        <v>3.6353979895578141</v>
      </c>
      <c r="L288" s="33">
        <v>5.8166367832925037</v>
      </c>
      <c r="M288" s="34">
        <v>7.2707959791156282</v>
      </c>
      <c r="N288" s="34">
        <v>4.3624775874693782</v>
      </c>
      <c r="O288" s="33">
        <v>4.3624775874693782</v>
      </c>
      <c r="P288" s="34">
        <v>8.7249551749387564</v>
      </c>
      <c r="Q288" s="33">
        <v>7.2707959791156282</v>
      </c>
      <c r="R288" s="33">
        <v>8.7249551749387564</v>
      </c>
      <c r="S288" s="33">
        <v>5.0895571853809409</v>
      </c>
      <c r="T288" s="34">
        <v>5.0895571853809409</v>
      </c>
      <c r="U288" s="34">
        <v>2.1812387937346891</v>
      </c>
      <c r="V288" s="34">
        <v>3.6353979895578141</v>
      </c>
      <c r="W288" s="34">
        <v>2.1812387937346891</v>
      </c>
      <c r="X288" s="34">
        <v>21.812387937346891</v>
      </c>
      <c r="Y288" s="34">
        <v>11.633273566585011</v>
      </c>
      <c r="Z288" s="34"/>
      <c r="AA288" s="33">
        <v>16.60598751927045</v>
      </c>
      <c r="AB288" s="33">
        <v>16.60598751927045</v>
      </c>
      <c r="AC288" s="34">
        <v>5.535329173090151</v>
      </c>
      <c r="AD288" s="33">
        <v>8.8565266769442417</v>
      </c>
      <c r="AE288" s="34">
        <v>11.0706583461803</v>
      </c>
      <c r="AF288" s="34">
        <v>6.6423950077081821</v>
      </c>
      <c r="AG288" s="33">
        <v>6.6423950077081821</v>
      </c>
      <c r="AH288" s="34">
        <v>13.284790015416361</v>
      </c>
      <c r="AI288" s="33">
        <v>11.0706583461803</v>
      </c>
      <c r="AJ288" s="33">
        <v>13.284790015416361</v>
      </c>
      <c r="AK288" s="33">
        <v>7.7494608423262124</v>
      </c>
      <c r="AL288" s="34">
        <v>7.7494608423262124</v>
      </c>
      <c r="AM288" s="34">
        <v>3.3211975038540911</v>
      </c>
      <c r="AN288" s="34">
        <v>5.535329173090151</v>
      </c>
      <c r="AO288" s="34">
        <v>3.3211975038540911</v>
      </c>
      <c r="AP288" s="34">
        <v>33.211975038540913</v>
      </c>
      <c r="AQ288" s="34">
        <v>17.71305335388848</v>
      </c>
      <c r="AR288" s="39"/>
    </row>
    <row r="289" spans="1:44" ht="19.5" customHeight="1">
      <c r="A289" s="166">
        <f t="shared" si="25"/>
        <v>3</v>
      </c>
      <c r="B289" s="167" t="s">
        <v>3875</v>
      </c>
      <c r="C289" s="154" t="s">
        <v>230</v>
      </c>
      <c r="D289" s="167" t="s">
        <v>3876</v>
      </c>
      <c r="E289" s="124"/>
      <c r="F289" s="32">
        <v>145699.7798067001</v>
      </c>
      <c r="G289" s="32">
        <v>27866.756461264398</v>
      </c>
      <c r="H289" s="32">
        <v>173566.53626796449</v>
      </c>
      <c r="I289" s="33">
        <v>50.675970170375138</v>
      </c>
      <c r="J289" s="33">
        <v>50.675970170375138</v>
      </c>
      <c r="K289" s="34">
        <v>16.891990056791709</v>
      </c>
      <c r="L289" s="33">
        <v>27.02718409086674</v>
      </c>
      <c r="M289" s="34">
        <v>33.783980113583432</v>
      </c>
      <c r="N289" s="34">
        <v>20.270388068150059</v>
      </c>
      <c r="O289" s="33">
        <v>20.270388068150059</v>
      </c>
      <c r="P289" s="34">
        <v>40.540776136300117</v>
      </c>
      <c r="Q289" s="33">
        <v>33.783980113583432</v>
      </c>
      <c r="R289" s="33">
        <v>40.540776136300117</v>
      </c>
      <c r="S289" s="33">
        <v>23.648786079508401</v>
      </c>
      <c r="T289" s="34">
        <v>23.648786079508401</v>
      </c>
      <c r="U289" s="34">
        <v>10.135194034075029</v>
      </c>
      <c r="V289" s="34">
        <v>16.891990056791709</v>
      </c>
      <c r="W289" s="34">
        <v>10.135194034075029</v>
      </c>
      <c r="X289" s="34">
        <v>101.3519403407503</v>
      </c>
      <c r="Y289" s="34">
        <v>54.054368181733487</v>
      </c>
      <c r="Z289" s="54"/>
      <c r="AA289" s="33">
        <v>9.6923613820808523</v>
      </c>
      <c r="AB289" s="33">
        <v>9.6923613820808523</v>
      </c>
      <c r="AC289" s="34">
        <v>3.230787127360284</v>
      </c>
      <c r="AD289" s="33">
        <v>5.1692594037764552</v>
      </c>
      <c r="AE289" s="34">
        <v>6.4615742547205679</v>
      </c>
      <c r="AF289" s="34">
        <v>3.8769445528323412</v>
      </c>
      <c r="AG289" s="33">
        <v>3.8769445528323412</v>
      </c>
      <c r="AH289" s="34">
        <v>7.7538891056646824</v>
      </c>
      <c r="AI289" s="33">
        <v>6.4615742547205679</v>
      </c>
      <c r="AJ289" s="33">
        <v>7.7538891056646824</v>
      </c>
      <c r="AK289" s="33">
        <v>4.523101978304398</v>
      </c>
      <c r="AL289" s="34">
        <v>4.523101978304398</v>
      </c>
      <c r="AM289" s="34">
        <v>1.938472276416171</v>
      </c>
      <c r="AN289" s="34">
        <v>3.230787127360284</v>
      </c>
      <c r="AO289" s="34">
        <v>1.938472276416171</v>
      </c>
      <c r="AP289" s="34">
        <v>19.384722764161701</v>
      </c>
      <c r="AQ289" s="34">
        <v>10.33851880755291</v>
      </c>
      <c r="AR289" s="39"/>
    </row>
    <row r="290" spans="1:44" ht="19.5" customHeight="1">
      <c r="A290" s="166">
        <f t="shared" si="25"/>
        <v>4</v>
      </c>
      <c r="B290" s="167" t="s">
        <v>3890</v>
      </c>
      <c r="C290" s="154" t="s">
        <v>94</v>
      </c>
      <c r="D290" s="167" t="s">
        <v>3891</v>
      </c>
      <c r="E290" s="124"/>
      <c r="F290" s="32">
        <v>100000</v>
      </c>
      <c r="G290" s="32">
        <v>32266.756461264398</v>
      </c>
      <c r="H290" s="32">
        <v>132266.75646126439</v>
      </c>
      <c r="I290" s="33">
        <v>34.781089056968348</v>
      </c>
      <c r="J290" s="33">
        <v>34.781089056968348</v>
      </c>
      <c r="K290" s="34">
        <v>11.59369635232278</v>
      </c>
      <c r="L290" s="33">
        <v>18.549914163716451</v>
      </c>
      <c r="M290" s="34">
        <v>23.187392704645561</v>
      </c>
      <c r="N290" s="34">
        <v>13.91243562278734</v>
      </c>
      <c r="O290" s="33">
        <v>13.91243562278734</v>
      </c>
      <c r="P290" s="34">
        <v>27.824871245574681</v>
      </c>
      <c r="Q290" s="33">
        <v>23.187392704645561</v>
      </c>
      <c r="R290" s="33">
        <v>27.824871245574681</v>
      </c>
      <c r="S290" s="33">
        <v>16.2311748932519</v>
      </c>
      <c r="T290" s="34">
        <v>16.2311748932519</v>
      </c>
      <c r="U290" s="34">
        <v>6.9562178113936701</v>
      </c>
      <c r="V290" s="34">
        <v>11.59369635232278</v>
      </c>
      <c r="W290" s="34">
        <v>6.9562178113936701</v>
      </c>
      <c r="X290" s="34">
        <v>69.562178113936696</v>
      </c>
      <c r="Y290" s="34">
        <v>37.09982832743291</v>
      </c>
      <c r="Z290" s="34"/>
      <c r="AA290" s="33">
        <v>11.22272930058746</v>
      </c>
      <c r="AB290" s="33">
        <v>11.22272930058746</v>
      </c>
      <c r="AC290" s="34">
        <v>3.7409097668624871</v>
      </c>
      <c r="AD290" s="33">
        <v>5.985455626979979</v>
      </c>
      <c r="AE290" s="34">
        <v>7.4818195337249733</v>
      </c>
      <c r="AF290" s="34">
        <v>4.4890917202349847</v>
      </c>
      <c r="AG290" s="33">
        <v>4.4890917202349847</v>
      </c>
      <c r="AH290" s="34">
        <v>8.9781834404699694</v>
      </c>
      <c r="AI290" s="33">
        <v>7.4818195337249733</v>
      </c>
      <c r="AJ290" s="33">
        <v>8.9781834404699694</v>
      </c>
      <c r="AK290" s="33">
        <v>5.2372736736074819</v>
      </c>
      <c r="AL290" s="34">
        <v>5.2372736736074819</v>
      </c>
      <c r="AM290" s="34">
        <v>2.2445458601174919</v>
      </c>
      <c r="AN290" s="34">
        <v>3.7409097668624871</v>
      </c>
      <c r="AO290" s="34">
        <v>2.2445458601174919</v>
      </c>
      <c r="AP290" s="34">
        <v>22.44545860117492</v>
      </c>
      <c r="AQ290" s="34">
        <v>11.97091125395996</v>
      </c>
      <c r="AR290" s="180"/>
    </row>
    <row r="291" spans="1:44" ht="19.5" customHeight="1">
      <c r="A291" s="166">
        <f t="shared" si="25"/>
        <v>5</v>
      </c>
      <c r="B291" s="155" t="s">
        <v>133</v>
      </c>
      <c r="C291" s="154" t="s">
        <v>94</v>
      </c>
      <c r="D291" s="167" t="s">
        <v>3901</v>
      </c>
      <c r="E291" s="124"/>
      <c r="F291" s="32">
        <v>26130.564684183359</v>
      </c>
      <c r="G291" s="32">
        <v>47744.300047854493</v>
      </c>
      <c r="H291" s="32">
        <v>73874.864732037851</v>
      </c>
      <c r="I291" s="53">
        <v>9.0884949738945355</v>
      </c>
      <c r="J291" s="53">
        <v>9.0884949738945355</v>
      </c>
      <c r="K291" s="54">
        <v>3.0294983246315108</v>
      </c>
      <c r="L291" s="53">
        <v>4.8471973194104194</v>
      </c>
      <c r="M291" s="54">
        <v>6.0589966492630234</v>
      </c>
      <c r="N291" s="54">
        <v>3.6353979895578141</v>
      </c>
      <c r="O291" s="53">
        <v>3.6353979895578141</v>
      </c>
      <c r="P291" s="54">
        <v>7.2707959791156282</v>
      </c>
      <c r="Q291" s="53">
        <v>6.0589966492630234</v>
      </c>
      <c r="R291" s="53">
        <v>7.2707959791156282</v>
      </c>
      <c r="S291" s="53">
        <v>4.2412976544841161</v>
      </c>
      <c r="T291" s="54">
        <v>4.2412976544841161</v>
      </c>
      <c r="U291" s="54">
        <v>1.8176989947789071</v>
      </c>
      <c r="V291" s="54">
        <v>3.0294983246315108</v>
      </c>
      <c r="W291" s="54">
        <v>1.8176989947789071</v>
      </c>
      <c r="X291" s="54">
        <v>18.176989947789071</v>
      </c>
      <c r="Y291" s="54">
        <v>9.6943946388208371</v>
      </c>
      <c r="Z291" s="34"/>
      <c r="AA291" s="33">
        <v>16.60598751927045</v>
      </c>
      <c r="AB291" s="33">
        <v>16.60598751927045</v>
      </c>
      <c r="AC291" s="34">
        <v>5.535329173090151</v>
      </c>
      <c r="AD291" s="33">
        <v>8.8565266769442417</v>
      </c>
      <c r="AE291" s="34">
        <v>11.0706583461803</v>
      </c>
      <c r="AF291" s="34">
        <v>6.6423950077081821</v>
      </c>
      <c r="AG291" s="33">
        <v>6.6423950077081821</v>
      </c>
      <c r="AH291" s="34">
        <v>13.284790015416361</v>
      </c>
      <c r="AI291" s="33">
        <v>11.0706583461803</v>
      </c>
      <c r="AJ291" s="33">
        <v>13.284790015416361</v>
      </c>
      <c r="AK291" s="33">
        <v>7.7494608423262124</v>
      </c>
      <c r="AL291" s="34">
        <v>7.7494608423262124</v>
      </c>
      <c r="AM291" s="34">
        <v>3.3211975038540911</v>
      </c>
      <c r="AN291" s="34">
        <v>5.535329173090151</v>
      </c>
      <c r="AO291" s="34">
        <v>3.3211975038540911</v>
      </c>
      <c r="AP291" s="34">
        <v>33.211975038540913</v>
      </c>
      <c r="AQ291" s="34">
        <v>17.71305335388848</v>
      </c>
      <c r="AR291" s="39"/>
    </row>
    <row r="292" spans="1:44" ht="19.5" customHeight="1">
      <c r="A292" s="67"/>
      <c r="B292" s="179" t="s">
        <v>3911</v>
      </c>
      <c r="C292" s="90" t="s">
        <v>185</v>
      </c>
      <c r="D292" s="179" t="s">
        <v>3913</v>
      </c>
      <c r="E292" s="127">
        <v>5</v>
      </c>
      <c r="F292" s="128">
        <v>435007.01075538038</v>
      </c>
      <c r="G292" s="128">
        <v>189062.220771755</v>
      </c>
      <c r="H292" s="128">
        <v>624069.23152713547</v>
      </c>
      <c r="I292" s="148">
        <v>151.3001758148848</v>
      </c>
      <c r="J292" s="148">
        <v>151.3001758148848</v>
      </c>
      <c r="K292" s="149">
        <v>50.433391938294918</v>
      </c>
      <c r="L292" s="148">
        <v>80.69342710127188</v>
      </c>
      <c r="M292" s="149">
        <v>100.86678387658981</v>
      </c>
      <c r="N292" s="149">
        <v>60.52007032595391</v>
      </c>
      <c r="O292" s="148">
        <v>60.52007032595391</v>
      </c>
      <c r="P292" s="149">
        <v>121.04014065190781</v>
      </c>
      <c r="Q292" s="148">
        <v>100.86678387658981</v>
      </c>
      <c r="R292" s="148">
        <v>121.04014065190781</v>
      </c>
      <c r="S292" s="148">
        <v>70.606748713612888</v>
      </c>
      <c r="T292" s="149">
        <v>70.606748713612888</v>
      </c>
      <c r="U292" s="149">
        <v>30.260035162976951</v>
      </c>
      <c r="V292" s="149">
        <v>50.433391938294918</v>
      </c>
      <c r="W292" s="149">
        <v>30.260035162976951</v>
      </c>
      <c r="X292" s="149">
        <v>302.60035162976948</v>
      </c>
      <c r="Y292" s="149">
        <v>161.38685420254379</v>
      </c>
      <c r="Z292" s="149"/>
      <c r="AA292" s="148">
        <v>65.757899379706231</v>
      </c>
      <c r="AB292" s="148">
        <v>65.757899379706231</v>
      </c>
      <c r="AC292" s="149">
        <v>21.91929979323541</v>
      </c>
      <c r="AD292" s="148">
        <v>35.070879669176662</v>
      </c>
      <c r="AE292" s="149">
        <v>43.838599586470821</v>
      </c>
      <c r="AF292" s="149">
        <v>26.3031597518825</v>
      </c>
      <c r="AG292" s="148">
        <v>26.3031597518825</v>
      </c>
      <c r="AH292" s="149">
        <v>52.606319503764993</v>
      </c>
      <c r="AI292" s="148">
        <v>43.838599586470821</v>
      </c>
      <c r="AJ292" s="148">
        <v>52.606319503764993</v>
      </c>
      <c r="AK292" s="148">
        <v>30.687019710529579</v>
      </c>
      <c r="AL292" s="149">
        <v>30.687019710529579</v>
      </c>
      <c r="AM292" s="149">
        <v>13.15157987594125</v>
      </c>
      <c r="AN292" s="149">
        <v>21.91929979323541</v>
      </c>
      <c r="AO292" s="149">
        <v>13.15157987594125</v>
      </c>
      <c r="AP292" s="149">
        <v>131.51579875941249</v>
      </c>
      <c r="AQ292" s="149">
        <v>70.14175933835331</v>
      </c>
      <c r="AR292" s="97"/>
    </row>
    <row r="293" spans="1:44" ht="19.5" customHeight="1">
      <c r="A293" s="168"/>
      <c r="B293" s="169"/>
      <c r="C293" s="177"/>
      <c r="D293" s="169"/>
      <c r="E293" s="164"/>
      <c r="F293" s="32"/>
      <c r="G293" s="32"/>
      <c r="H293" s="32">
        <v>0</v>
      </c>
      <c r="I293" s="33">
        <v>0</v>
      </c>
      <c r="J293" s="33">
        <v>0</v>
      </c>
      <c r="K293" s="34">
        <v>0</v>
      </c>
      <c r="L293" s="33">
        <v>0</v>
      </c>
      <c r="M293" s="34">
        <v>0</v>
      </c>
      <c r="N293" s="34">
        <v>0</v>
      </c>
      <c r="O293" s="33">
        <v>0</v>
      </c>
      <c r="P293" s="34">
        <v>0</v>
      </c>
      <c r="Q293" s="33">
        <v>0</v>
      </c>
      <c r="R293" s="33">
        <v>0</v>
      </c>
      <c r="S293" s="33">
        <v>0</v>
      </c>
      <c r="T293" s="34">
        <v>0</v>
      </c>
      <c r="U293" s="34">
        <v>0</v>
      </c>
      <c r="V293" s="34">
        <v>0</v>
      </c>
      <c r="W293" s="34">
        <v>0</v>
      </c>
      <c r="X293" s="34">
        <v>0</v>
      </c>
      <c r="Y293" s="34">
        <v>0</v>
      </c>
      <c r="Z293" s="34"/>
      <c r="AA293" s="33">
        <v>0</v>
      </c>
      <c r="AB293" s="33">
        <v>0</v>
      </c>
      <c r="AC293" s="34">
        <v>0</v>
      </c>
      <c r="AD293" s="33">
        <v>0</v>
      </c>
      <c r="AE293" s="34">
        <v>0</v>
      </c>
      <c r="AF293" s="34">
        <v>0</v>
      </c>
      <c r="AG293" s="33">
        <v>0</v>
      </c>
      <c r="AH293" s="34">
        <v>0</v>
      </c>
      <c r="AI293" s="33">
        <v>0</v>
      </c>
      <c r="AJ293" s="33">
        <v>0</v>
      </c>
      <c r="AK293" s="33">
        <v>0</v>
      </c>
      <c r="AL293" s="34">
        <v>0</v>
      </c>
      <c r="AM293" s="34">
        <v>0</v>
      </c>
      <c r="AN293" s="34">
        <v>0</v>
      </c>
      <c r="AO293" s="34">
        <v>0</v>
      </c>
      <c r="AP293" s="34">
        <v>0</v>
      </c>
      <c r="AQ293" s="34">
        <v>0</v>
      </c>
      <c r="AR293" s="39"/>
    </row>
    <row r="294" spans="1:44" ht="19.5" customHeight="1">
      <c r="A294" s="76" t="s">
        <v>3929</v>
      </c>
      <c r="B294" s="169"/>
      <c r="C294" s="83"/>
      <c r="D294" s="170"/>
      <c r="E294" s="124"/>
      <c r="F294" s="32"/>
      <c r="G294" s="32"/>
      <c r="H294" s="32">
        <v>0</v>
      </c>
      <c r="I294" s="33">
        <v>0</v>
      </c>
      <c r="J294" s="33">
        <v>0</v>
      </c>
      <c r="K294" s="34">
        <v>0</v>
      </c>
      <c r="L294" s="33">
        <v>0</v>
      </c>
      <c r="M294" s="34">
        <v>0</v>
      </c>
      <c r="N294" s="34">
        <v>0</v>
      </c>
      <c r="O294" s="33">
        <v>0</v>
      </c>
      <c r="P294" s="34">
        <v>0</v>
      </c>
      <c r="Q294" s="33">
        <v>0</v>
      </c>
      <c r="R294" s="33">
        <v>0</v>
      </c>
      <c r="S294" s="33">
        <v>0</v>
      </c>
      <c r="T294" s="34">
        <v>0</v>
      </c>
      <c r="U294" s="34">
        <v>0</v>
      </c>
      <c r="V294" s="34">
        <v>0</v>
      </c>
      <c r="W294" s="34">
        <v>0</v>
      </c>
      <c r="X294" s="34">
        <v>0</v>
      </c>
      <c r="Y294" s="34">
        <v>0</v>
      </c>
      <c r="Z294" s="54"/>
      <c r="AA294" s="33">
        <v>0</v>
      </c>
      <c r="AB294" s="33">
        <v>0</v>
      </c>
      <c r="AC294" s="34">
        <v>0</v>
      </c>
      <c r="AD294" s="33">
        <v>0</v>
      </c>
      <c r="AE294" s="34">
        <v>0</v>
      </c>
      <c r="AF294" s="34">
        <v>0</v>
      </c>
      <c r="AG294" s="33">
        <v>0</v>
      </c>
      <c r="AH294" s="34">
        <v>0</v>
      </c>
      <c r="AI294" s="33">
        <v>0</v>
      </c>
      <c r="AJ294" s="33">
        <v>0</v>
      </c>
      <c r="AK294" s="33">
        <v>0</v>
      </c>
      <c r="AL294" s="34">
        <v>0</v>
      </c>
      <c r="AM294" s="34">
        <v>0</v>
      </c>
      <c r="AN294" s="34">
        <v>0</v>
      </c>
      <c r="AO294" s="34">
        <v>0</v>
      </c>
      <c r="AP294" s="34">
        <v>0</v>
      </c>
      <c r="AQ294" s="34">
        <v>0</v>
      </c>
      <c r="AR294" s="39"/>
    </row>
    <row r="295" spans="1:44" ht="19.5" customHeight="1">
      <c r="A295" s="166">
        <v>1</v>
      </c>
      <c r="B295" s="167" t="s">
        <v>3934</v>
      </c>
      <c r="C295" s="154" t="s">
        <v>230</v>
      </c>
      <c r="D295" s="167" t="s">
        <v>3936</v>
      </c>
      <c r="E295" s="124"/>
      <c r="F295" s="32">
        <v>132904</v>
      </c>
      <c r="G295" s="32">
        <v>27866.756461264398</v>
      </c>
      <c r="H295" s="32">
        <v>160770.75646126439</v>
      </c>
      <c r="I295" s="33">
        <v>46.225458600273221</v>
      </c>
      <c r="J295" s="33">
        <v>46.225458600273221</v>
      </c>
      <c r="K295" s="34">
        <v>15.408486200091071</v>
      </c>
      <c r="L295" s="33">
        <v>24.653577920145722</v>
      </c>
      <c r="M295" s="34">
        <v>30.816972400182149</v>
      </c>
      <c r="N295" s="34">
        <v>18.490183440109291</v>
      </c>
      <c r="O295" s="33">
        <v>18.490183440109291</v>
      </c>
      <c r="P295" s="34">
        <v>36.980366880218583</v>
      </c>
      <c r="Q295" s="33">
        <v>30.816972400182149</v>
      </c>
      <c r="R295" s="33">
        <v>36.980366880218583</v>
      </c>
      <c r="S295" s="33">
        <v>21.571880680127499</v>
      </c>
      <c r="T295" s="34">
        <v>21.571880680127499</v>
      </c>
      <c r="U295" s="34">
        <v>9.2450917200546456</v>
      </c>
      <c r="V295" s="34">
        <v>15.408486200091071</v>
      </c>
      <c r="W295" s="34">
        <v>9.2450917200546456</v>
      </c>
      <c r="X295" s="34">
        <v>92.450917200546442</v>
      </c>
      <c r="Y295" s="34">
        <v>49.307155840291443</v>
      </c>
      <c r="Z295" s="34"/>
      <c r="AA295" s="33">
        <v>9.6923613820808523</v>
      </c>
      <c r="AB295" s="33">
        <v>9.6923613820808523</v>
      </c>
      <c r="AC295" s="34">
        <v>3.230787127360284</v>
      </c>
      <c r="AD295" s="33">
        <v>5.1692594037764552</v>
      </c>
      <c r="AE295" s="34">
        <v>6.4615742547205679</v>
      </c>
      <c r="AF295" s="34">
        <v>3.8769445528323412</v>
      </c>
      <c r="AG295" s="33">
        <v>3.8769445528323412</v>
      </c>
      <c r="AH295" s="34">
        <v>7.7538891056646824</v>
      </c>
      <c r="AI295" s="33">
        <v>6.4615742547205679</v>
      </c>
      <c r="AJ295" s="33">
        <v>7.7538891056646824</v>
      </c>
      <c r="AK295" s="33">
        <v>4.523101978304398</v>
      </c>
      <c r="AL295" s="34">
        <v>4.523101978304398</v>
      </c>
      <c r="AM295" s="34">
        <v>1.938472276416171</v>
      </c>
      <c r="AN295" s="34">
        <v>3.230787127360284</v>
      </c>
      <c r="AO295" s="34">
        <v>1.938472276416171</v>
      </c>
      <c r="AP295" s="34">
        <v>19.384722764161701</v>
      </c>
      <c r="AQ295" s="34">
        <v>10.33851880755291</v>
      </c>
      <c r="AR295" s="39"/>
    </row>
    <row r="296" spans="1:44" ht="19.5" customHeight="1">
      <c r="A296" s="166">
        <f t="shared" ref="A296:A298" si="26">A295+1</f>
        <v>2</v>
      </c>
      <c r="B296" s="167" t="s">
        <v>3945</v>
      </c>
      <c r="C296" s="154" t="s">
        <v>230</v>
      </c>
      <c r="D296" s="167" t="s">
        <v>3946</v>
      </c>
      <c r="E296" s="124"/>
      <c r="F296" s="32">
        <v>129710.67847570201</v>
      </c>
      <c r="G296" s="32">
        <v>27866.756461264398</v>
      </c>
      <c r="H296" s="32">
        <v>157577.4349369664</v>
      </c>
      <c r="I296" s="33">
        <v>45.114786597031802</v>
      </c>
      <c r="J296" s="33">
        <v>45.114786597031802</v>
      </c>
      <c r="K296" s="34">
        <v>15.0382621990106</v>
      </c>
      <c r="L296" s="33">
        <v>24.061219518416959</v>
      </c>
      <c r="M296" s="34">
        <v>30.076524398021199</v>
      </c>
      <c r="N296" s="34">
        <v>18.045914638812722</v>
      </c>
      <c r="O296" s="33">
        <v>18.045914638812722</v>
      </c>
      <c r="P296" s="34">
        <v>36.091829277625443</v>
      </c>
      <c r="Q296" s="33">
        <v>30.076524398021199</v>
      </c>
      <c r="R296" s="33">
        <v>36.091829277625443</v>
      </c>
      <c r="S296" s="33">
        <v>21.05356707861484</v>
      </c>
      <c r="T296" s="34">
        <v>21.05356707861484</v>
      </c>
      <c r="U296" s="34">
        <v>9.0229573194063608</v>
      </c>
      <c r="V296" s="34">
        <v>15.0382621990106</v>
      </c>
      <c r="W296" s="34">
        <v>9.0229573194063608</v>
      </c>
      <c r="X296" s="34">
        <v>90.229573194063605</v>
      </c>
      <c r="Y296" s="34">
        <v>48.122439036833917</v>
      </c>
      <c r="Z296" s="34"/>
      <c r="AA296" s="33">
        <v>9.6923613820808523</v>
      </c>
      <c r="AB296" s="33">
        <v>9.6923613820808523</v>
      </c>
      <c r="AC296" s="34">
        <v>3.230787127360284</v>
      </c>
      <c r="AD296" s="33">
        <v>5.1692594037764552</v>
      </c>
      <c r="AE296" s="34">
        <v>6.4615742547205679</v>
      </c>
      <c r="AF296" s="34">
        <v>3.8769445528323412</v>
      </c>
      <c r="AG296" s="33">
        <v>3.8769445528323412</v>
      </c>
      <c r="AH296" s="34">
        <v>7.7538891056646824</v>
      </c>
      <c r="AI296" s="33">
        <v>6.4615742547205679</v>
      </c>
      <c r="AJ296" s="33">
        <v>7.7538891056646824</v>
      </c>
      <c r="AK296" s="33">
        <v>4.523101978304398</v>
      </c>
      <c r="AL296" s="34">
        <v>4.523101978304398</v>
      </c>
      <c r="AM296" s="34">
        <v>1.938472276416171</v>
      </c>
      <c r="AN296" s="34">
        <v>3.230787127360284</v>
      </c>
      <c r="AO296" s="34">
        <v>1.938472276416171</v>
      </c>
      <c r="AP296" s="34">
        <v>19.384722764161701</v>
      </c>
      <c r="AQ296" s="34">
        <v>10.33851880755291</v>
      </c>
      <c r="AR296" s="39"/>
    </row>
    <row r="297" spans="1:44" ht="19.5" customHeight="1">
      <c r="A297" s="166">
        <f t="shared" si="26"/>
        <v>3</v>
      </c>
      <c r="B297" s="81" t="s">
        <v>133</v>
      </c>
      <c r="C297" s="110" t="s">
        <v>94</v>
      </c>
      <c r="D297" s="167" t="s">
        <v>3954</v>
      </c>
      <c r="E297" s="124"/>
      <c r="F297" s="32">
        <v>30000</v>
      </c>
      <c r="G297" s="32">
        <v>16720.05387675864</v>
      </c>
      <c r="H297" s="32">
        <v>46720.05387675864</v>
      </c>
      <c r="I297" s="33">
        <v>10.43432671709051</v>
      </c>
      <c r="J297" s="33">
        <v>10.43432671709051</v>
      </c>
      <c r="K297" s="34">
        <v>3.4781089056968351</v>
      </c>
      <c r="L297" s="33">
        <v>5.564974249114937</v>
      </c>
      <c r="M297" s="34">
        <v>6.9562178113936701</v>
      </c>
      <c r="N297" s="34">
        <v>4.173730686836203</v>
      </c>
      <c r="O297" s="33">
        <v>4.173730686836203</v>
      </c>
      <c r="P297" s="34">
        <v>8.3474613736724059</v>
      </c>
      <c r="Q297" s="33">
        <v>6.9562178113936701</v>
      </c>
      <c r="R297" s="33">
        <v>8.3474613736724059</v>
      </c>
      <c r="S297" s="33">
        <v>4.8693524679755704</v>
      </c>
      <c r="T297" s="34">
        <v>4.8693524679755704</v>
      </c>
      <c r="U297" s="34">
        <v>2.086865343418101</v>
      </c>
      <c r="V297" s="34">
        <v>3.4781089056968351</v>
      </c>
      <c r="W297" s="34">
        <v>2.086865343418101</v>
      </c>
      <c r="X297" s="34">
        <v>20.868653434181009</v>
      </c>
      <c r="Y297" s="34">
        <v>11.12994849822987</v>
      </c>
      <c r="Z297" s="34"/>
      <c r="AA297" s="33">
        <v>5.8154168292485124</v>
      </c>
      <c r="AB297" s="33">
        <v>5.8154168292485124</v>
      </c>
      <c r="AC297" s="34">
        <v>1.938472276416171</v>
      </c>
      <c r="AD297" s="33">
        <v>3.1015556422658741</v>
      </c>
      <c r="AE297" s="34">
        <v>3.8769445528323412</v>
      </c>
      <c r="AF297" s="34">
        <v>2.3261667316994048</v>
      </c>
      <c r="AG297" s="33">
        <v>2.3261667316994048</v>
      </c>
      <c r="AH297" s="34">
        <v>4.6523334633988096</v>
      </c>
      <c r="AI297" s="33">
        <v>3.8769445528323412</v>
      </c>
      <c r="AJ297" s="33">
        <v>4.6523334633988096</v>
      </c>
      <c r="AK297" s="33">
        <v>2.7138611869826388</v>
      </c>
      <c r="AL297" s="34">
        <v>2.7138611869826388</v>
      </c>
      <c r="AM297" s="34">
        <v>1.1630833658497031</v>
      </c>
      <c r="AN297" s="34">
        <v>1.938472276416171</v>
      </c>
      <c r="AO297" s="34">
        <v>1.1630833658497031</v>
      </c>
      <c r="AP297" s="34">
        <v>11.63083365849702</v>
      </c>
      <c r="AQ297" s="34">
        <v>6.2031112845317473</v>
      </c>
      <c r="AR297" s="39"/>
    </row>
    <row r="298" spans="1:44" ht="19.5" customHeight="1">
      <c r="A298" s="166">
        <f t="shared" si="26"/>
        <v>4</v>
      </c>
      <c r="B298" s="155" t="s">
        <v>133</v>
      </c>
      <c r="C298" s="154" t="s">
        <v>94</v>
      </c>
      <c r="D298" s="167" t="s">
        <v>3964</v>
      </c>
      <c r="E298" s="124"/>
      <c r="F298" s="32">
        <v>10000</v>
      </c>
      <c r="G298" s="32">
        <v>26524.611137696938</v>
      </c>
      <c r="H298" s="32">
        <v>36524.611137696942</v>
      </c>
      <c r="I298" s="53">
        <v>3.478108905696836</v>
      </c>
      <c r="J298" s="53">
        <v>3.478108905696836</v>
      </c>
      <c r="K298" s="54">
        <v>1.159369635232278</v>
      </c>
      <c r="L298" s="53">
        <v>1.854991416371645</v>
      </c>
      <c r="M298" s="54">
        <v>2.318739270464556</v>
      </c>
      <c r="N298" s="54">
        <v>1.391243562278734</v>
      </c>
      <c r="O298" s="53">
        <v>1.391243562278734</v>
      </c>
      <c r="P298" s="54">
        <v>2.7824871245574681</v>
      </c>
      <c r="Q298" s="53">
        <v>2.318739270464556</v>
      </c>
      <c r="R298" s="53">
        <v>2.7824871245574681</v>
      </c>
      <c r="S298" s="53">
        <v>1.6231174893251901</v>
      </c>
      <c r="T298" s="54">
        <v>1.6231174893251901</v>
      </c>
      <c r="U298" s="54">
        <v>0.69562178113936712</v>
      </c>
      <c r="V298" s="54">
        <v>1.159369635232278</v>
      </c>
      <c r="W298" s="54">
        <v>0.69562178113936712</v>
      </c>
      <c r="X298" s="54">
        <v>6.956217811393671</v>
      </c>
      <c r="Y298" s="54">
        <v>3.7099828327432909</v>
      </c>
      <c r="Z298" s="34"/>
      <c r="AA298" s="33">
        <v>9.2255486218169196</v>
      </c>
      <c r="AB298" s="33">
        <v>9.2255486218169196</v>
      </c>
      <c r="AC298" s="34">
        <v>3.075182873938973</v>
      </c>
      <c r="AD298" s="33">
        <v>4.9202925983023569</v>
      </c>
      <c r="AE298" s="34">
        <v>6.1503657478779452</v>
      </c>
      <c r="AF298" s="34">
        <v>3.6902194487267681</v>
      </c>
      <c r="AG298" s="33">
        <v>3.6902194487267681</v>
      </c>
      <c r="AH298" s="34">
        <v>7.3804388974535362</v>
      </c>
      <c r="AI298" s="33">
        <v>6.1503657478779452</v>
      </c>
      <c r="AJ298" s="33">
        <v>7.3804388974535362</v>
      </c>
      <c r="AK298" s="33">
        <v>4.3052560235145627</v>
      </c>
      <c r="AL298" s="34">
        <v>4.3052560235145627</v>
      </c>
      <c r="AM298" s="34">
        <v>1.8451097243633841</v>
      </c>
      <c r="AN298" s="34">
        <v>3.075182873938973</v>
      </c>
      <c r="AO298" s="34">
        <v>1.8451097243633841</v>
      </c>
      <c r="AP298" s="34">
        <v>18.451097243633839</v>
      </c>
      <c r="AQ298" s="34">
        <v>9.8405851966047138</v>
      </c>
      <c r="AR298" s="39"/>
    </row>
    <row r="299" spans="1:44" ht="19.5" customHeight="1">
      <c r="A299" s="168"/>
      <c r="B299" s="181" t="s">
        <v>133</v>
      </c>
      <c r="C299" s="83" t="s">
        <v>389</v>
      </c>
      <c r="D299" s="169" t="s">
        <v>3946</v>
      </c>
      <c r="E299" s="164">
        <v>4</v>
      </c>
      <c r="F299" s="171">
        <v>302614.67847570201</v>
      </c>
      <c r="G299" s="171">
        <v>98978.177936984372</v>
      </c>
      <c r="H299" s="171">
        <v>401592.85641268641</v>
      </c>
      <c r="I299" s="33">
        <v>105.25268082009239</v>
      </c>
      <c r="J299" s="33">
        <v>105.25268082009239</v>
      </c>
      <c r="K299" s="34">
        <v>35.084226940030781</v>
      </c>
      <c r="L299" s="33">
        <v>56.134763104049263</v>
      </c>
      <c r="M299" s="34">
        <v>70.168453880061563</v>
      </c>
      <c r="N299" s="34">
        <v>42.101072328036949</v>
      </c>
      <c r="O299" s="33">
        <v>42.101072328036949</v>
      </c>
      <c r="P299" s="34">
        <v>84.202144656073898</v>
      </c>
      <c r="Q299" s="33">
        <v>70.168453880061563</v>
      </c>
      <c r="R299" s="33">
        <v>84.202144656073898</v>
      </c>
      <c r="S299" s="33">
        <v>49.117917716043102</v>
      </c>
      <c r="T299" s="34">
        <v>49.117917716043102</v>
      </c>
      <c r="U299" s="34">
        <v>21.050536164018471</v>
      </c>
      <c r="V299" s="34">
        <v>35.084226940030781</v>
      </c>
      <c r="W299" s="34">
        <v>21.050536164018471</v>
      </c>
      <c r="X299" s="34">
        <v>210.5053616401847</v>
      </c>
      <c r="Y299" s="34">
        <v>112.2695262080985</v>
      </c>
      <c r="Z299" s="34"/>
      <c r="AA299" s="33">
        <v>34.425688215227133</v>
      </c>
      <c r="AB299" s="33">
        <v>34.425688215227133</v>
      </c>
      <c r="AC299" s="34">
        <v>11.47522940507571</v>
      </c>
      <c r="AD299" s="33">
        <v>18.360367048121141</v>
      </c>
      <c r="AE299" s="34">
        <v>22.950458810151421</v>
      </c>
      <c r="AF299" s="34">
        <v>13.770275286090859</v>
      </c>
      <c r="AG299" s="33">
        <v>13.770275286090859</v>
      </c>
      <c r="AH299" s="34">
        <v>27.540550572181711</v>
      </c>
      <c r="AI299" s="33">
        <v>22.950458810151421</v>
      </c>
      <c r="AJ299" s="33">
        <v>27.540550572181711</v>
      </c>
      <c r="AK299" s="33">
        <v>16.065321167105999</v>
      </c>
      <c r="AL299" s="34">
        <v>16.065321167105999</v>
      </c>
      <c r="AM299" s="34">
        <v>6.8851376430454279</v>
      </c>
      <c r="AN299" s="34">
        <v>11.47522940507571</v>
      </c>
      <c r="AO299" s="34">
        <v>6.8851376430454279</v>
      </c>
      <c r="AP299" s="34">
        <v>68.851376430454266</v>
      </c>
      <c r="AQ299" s="34">
        <v>36.720734096242282</v>
      </c>
      <c r="AR299" s="39"/>
    </row>
    <row r="300" spans="1:44" ht="19.5" customHeight="1">
      <c r="A300" s="166">
        <f>A298+1</f>
        <v>5</v>
      </c>
      <c r="B300" s="167" t="s">
        <v>3991</v>
      </c>
      <c r="C300" s="154" t="s">
        <v>159</v>
      </c>
      <c r="D300" s="167" t="s">
        <v>3992</v>
      </c>
      <c r="E300" s="124"/>
      <c r="F300" s="32">
        <v>122637.1133713321</v>
      </c>
      <c r="G300" s="32">
        <v>33440.107753517281</v>
      </c>
      <c r="H300" s="32">
        <v>156077.22112484931</v>
      </c>
      <c r="I300" s="33">
        <v>42.654523618578253</v>
      </c>
      <c r="J300" s="33">
        <v>42.654523618578253</v>
      </c>
      <c r="K300" s="34">
        <v>14.21817453952608</v>
      </c>
      <c r="L300" s="33">
        <v>22.74907926324174</v>
      </c>
      <c r="M300" s="34">
        <v>28.43634907905216</v>
      </c>
      <c r="N300" s="34">
        <v>17.061809447431301</v>
      </c>
      <c r="O300" s="33">
        <v>17.061809447431301</v>
      </c>
      <c r="P300" s="34">
        <v>34.123618894862602</v>
      </c>
      <c r="Q300" s="33">
        <v>28.43634907905216</v>
      </c>
      <c r="R300" s="33">
        <v>34.123618894862602</v>
      </c>
      <c r="S300" s="33">
        <v>19.90544435533652</v>
      </c>
      <c r="T300" s="34">
        <v>19.90544435533652</v>
      </c>
      <c r="U300" s="34">
        <v>8.5309047237156506</v>
      </c>
      <c r="V300" s="34">
        <v>14.21817453952608</v>
      </c>
      <c r="W300" s="34">
        <v>8.5309047237156506</v>
      </c>
      <c r="X300" s="34">
        <v>85.309047237156506</v>
      </c>
      <c r="Y300" s="34">
        <v>45.498158526483472</v>
      </c>
      <c r="Z300" s="54"/>
      <c r="AA300" s="33">
        <v>11.63083365849702</v>
      </c>
      <c r="AB300" s="33">
        <v>11.63083365849702</v>
      </c>
      <c r="AC300" s="34">
        <v>3.8769445528323412</v>
      </c>
      <c r="AD300" s="33">
        <v>6.2031112845317473</v>
      </c>
      <c r="AE300" s="34">
        <v>7.7538891056646824</v>
      </c>
      <c r="AF300" s="34">
        <v>4.6523334633988096</v>
      </c>
      <c r="AG300" s="33">
        <v>4.6523334633988096</v>
      </c>
      <c r="AH300" s="34">
        <v>9.304666926797621</v>
      </c>
      <c r="AI300" s="33">
        <v>7.7538891056646824</v>
      </c>
      <c r="AJ300" s="33">
        <v>9.304666926797621</v>
      </c>
      <c r="AK300" s="33">
        <v>5.4277223739652776</v>
      </c>
      <c r="AL300" s="34">
        <v>5.4277223739652776</v>
      </c>
      <c r="AM300" s="34">
        <v>2.3261667316994048</v>
      </c>
      <c r="AN300" s="34">
        <v>3.8769445528323412</v>
      </c>
      <c r="AO300" s="34">
        <v>2.3261667316994048</v>
      </c>
      <c r="AP300" s="34">
        <v>23.26166731699405</v>
      </c>
      <c r="AQ300" s="34">
        <v>12.406222569063489</v>
      </c>
      <c r="AR300" s="39"/>
    </row>
    <row r="301" spans="1:44" ht="19.5" customHeight="1">
      <c r="A301" s="166">
        <f t="shared" ref="A301:A304" si="27">A300+1</f>
        <v>6</v>
      </c>
      <c r="B301" s="167" t="s">
        <v>2291</v>
      </c>
      <c r="C301" s="154" t="s">
        <v>230</v>
      </c>
      <c r="D301" s="167" t="s">
        <v>4004</v>
      </c>
      <c r="E301" s="124"/>
      <c r="F301" s="32">
        <v>122637.1133713321</v>
      </c>
      <c r="G301" s="32">
        <v>33440.107753517281</v>
      </c>
      <c r="H301" s="32">
        <v>156077.22112484931</v>
      </c>
      <c r="I301" s="33">
        <v>42.654523618578253</v>
      </c>
      <c r="J301" s="33">
        <v>42.654523618578253</v>
      </c>
      <c r="K301" s="34">
        <v>14.21817453952608</v>
      </c>
      <c r="L301" s="33">
        <v>22.74907926324174</v>
      </c>
      <c r="M301" s="34">
        <v>28.43634907905216</v>
      </c>
      <c r="N301" s="34">
        <v>17.061809447431301</v>
      </c>
      <c r="O301" s="33">
        <v>17.061809447431301</v>
      </c>
      <c r="P301" s="34">
        <v>34.123618894862602</v>
      </c>
      <c r="Q301" s="33">
        <v>28.43634907905216</v>
      </c>
      <c r="R301" s="33">
        <v>34.123618894862602</v>
      </c>
      <c r="S301" s="33">
        <v>19.90544435533652</v>
      </c>
      <c r="T301" s="34">
        <v>19.90544435533652</v>
      </c>
      <c r="U301" s="34">
        <v>8.5309047237156506</v>
      </c>
      <c r="V301" s="34">
        <v>14.21817453952608</v>
      </c>
      <c r="W301" s="34">
        <v>8.5309047237156506</v>
      </c>
      <c r="X301" s="34">
        <v>85.309047237156506</v>
      </c>
      <c r="Y301" s="34">
        <v>45.498158526483472</v>
      </c>
      <c r="Z301" s="34"/>
      <c r="AA301" s="33">
        <v>11.63083365849702</v>
      </c>
      <c r="AB301" s="33">
        <v>11.63083365849702</v>
      </c>
      <c r="AC301" s="34">
        <v>3.8769445528323412</v>
      </c>
      <c r="AD301" s="33">
        <v>6.2031112845317473</v>
      </c>
      <c r="AE301" s="34">
        <v>7.7538891056646824</v>
      </c>
      <c r="AF301" s="34">
        <v>4.6523334633988096</v>
      </c>
      <c r="AG301" s="33">
        <v>4.6523334633988096</v>
      </c>
      <c r="AH301" s="34">
        <v>9.304666926797621</v>
      </c>
      <c r="AI301" s="33">
        <v>7.7538891056646824</v>
      </c>
      <c r="AJ301" s="33">
        <v>9.304666926797621</v>
      </c>
      <c r="AK301" s="33">
        <v>5.4277223739652776</v>
      </c>
      <c r="AL301" s="34">
        <v>5.4277223739652776</v>
      </c>
      <c r="AM301" s="34">
        <v>2.3261667316994048</v>
      </c>
      <c r="AN301" s="34">
        <v>3.8769445528323412</v>
      </c>
      <c r="AO301" s="34">
        <v>2.3261667316994048</v>
      </c>
      <c r="AP301" s="34">
        <v>23.26166731699405</v>
      </c>
      <c r="AQ301" s="34">
        <v>12.406222569063489</v>
      </c>
      <c r="AR301" s="37"/>
    </row>
    <row r="302" spans="1:44" ht="19.5" customHeight="1">
      <c r="A302" s="166">
        <f t="shared" si="27"/>
        <v>7</v>
      </c>
      <c r="B302" s="155" t="s">
        <v>133</v>
      </c>
      <c r="C302" s="154" t="s">
        <v>94</v>
      </c>
      <c r="D302" s="167" t="s">
        <v>4015</v>
      </c>
      <c r="E302" s="124"/>
      <c r="F302" s="32">
        <v>11226</v>
      </c>
      <c r="G302" s="32">
        <v>10609.844455078781</v>
      </c>
      <c r="H302" s="32">
        <v>21835.844455078779</v>
      </c>
      <c r="I302" s="33">
        <v>3.9045250575352681</v>
      </c>
      <c r="J302" s="33">
        <v>3.9045250575352681</v>
      </c>
      <c r="K302" s="34">
        <v>1.3015083525117559</v>
      </c>
      <c r="L302" s="33">
        <v>2.0824133640188101</v>
      </c>
      <c r="M302" s="34">
        <v>2.6030167050235109</v>
      </c>
      <c r="N302" s="34">
        <v>1.561810023014107</v>
      </c>
      <c r="O302" s="33">
        <v>1.561810023014107</v>
      </c>
      <c r="P302" s="34">
        <v>3.123620046028214</v>
      </c>
      <c r="Q302" s="33">
        <v>2.6030167050235109</v>
      </c>
      <c r="R302" s="33">
        <v>3.123620046028214</v>
      </c>
      <c r="S302" s="33">
        <v>1.8221116935164581</v>
      </c>
      <c r="T302" s="34">
        <v>1.8221116935164581</v>
      </c>
      <c r="U302" s="34">
        <v>0.7809050115070536</v>
      </c>
      <c r="V302" s="34">
        <v>1.3015083525117559</v>
      </c>
      <c r="W302" s="34">
        <v>0.7809050115070536</v>
      </c>
      <c r="X302" s="34">
        <v>7.8090501150705354</v>
      </c>
      <c r="Y302" s="34">
        <v>4.1648267280376192</v>
      </c>
      <c r="Z302" s="70"/>
      <c r="AA302" s="33">
        <v>3.6902194487267681</v>
      </c>
      <c r="AB302" s="33">
        <v>3.6902194487267681</v>
      </c>
      <c r="AC302" s="34">
        <v>1.230073149575589</v>
      </c>
      <c r="AD302" s="33">
        <v>1.9681170393209431</v>
      </c>
      <c r="AE302" s="34">
        <v>2.460146299151178</v>
      </c>
      <c r="AF302" s="34">
        <v>1.476087779490707</v>
      </c>
      <c r="AG302" s="33">
        <v>1.476087779490707</v>
      </c>
      <c r="AH302" s="34">
        <v>2.952175558981414</v>
      </c>
      <c r="AI302" s="33">
        <v>2.460146299151178</v>
      </c>
      <c r="AJ302" s="33">
        <v>2.952175558981414</v>
      </c>
      <c r="AK302" s="33">
        <v>1.722102409405825</v>
      </c>
      <c r="AL302" s="34">
        <v>1.722102409405825</v>
      </c>
      <c r="AM302" s="34">
        <v>0.73804388974535351</v>
      </c>
      <c r="AN302" s="34">
        <v>1.230073149575589</v>
      </c>
      <c r="AO302" s="34">
        <v>0.73804388974535351</v>
      </c>
      <c r="AP302" s="34">
        <v>7.3804388974535353</v>
      </c>
      <c r="AQ302" s="34">
        <v>3.9362340786418848</v>
      </c>
      <c r="AR302" s="39"/>
    </row>
    <row r="303" spans="1:44" ht="19.5" customHeight="1">
      <c r="A303" s="166">
        <f t="shared" si="27"/>
        <v>8</v>
      </c>
      <c r="B303" s="155" t="s">
        <v>133</v>
      </c>
      <c r="C303" s="154" t="s">
        <v>94</v>
      </c>
      <c r="D303" s="167" t="s">
        <v>4028</v>
      </c>
      <c r="E303" s="124"/>
      <c r="F303" s="32">
        <v>20000</v>
      </c>
      <c r="G303" s="32">
        <v>18609.844455078801</v>
      </c>
      <c r="H303" s="32">
        <v>38609.844455078797</v>
      </c>
      <c r="I303" s="33">
        <v>6.956217811393671</v>
      </c>
      <c r="J303" s="33">
        <v>6.956217811393671</v>
      </c>
      <c r="K303" s="34">
        <v>2.318739270464556</v>
      </c>
      <c r="L303" s="33">
        <v>3.7099828327432909</v>
      </c>
      <c r="M303" s="34">
        <v>4.6374785409291128</v>
      </c>
      <c r="N303" s="34">
        <v>2.7824871245574681</v>
      </c>
      <c r="O303" s="33">
        <v>2.7824871245574681</v>
      </c>
      <c r="P303" s="34">
        <v>5.564974249114937</v>
      </c>
      <c r="Q303" s="33">
        <v>4.6374785409291128</v>
      </c>
      <c r="R303" s="33">
        <v>5.564974249114937</v>
      </c>
      <c r="S303" s="33">
        <v>3.2462349786503801</v>
      </c>
      <c r="T303" s="34">
        <v>3.2462349786503801</v>
      </c>
      <c r="U303" s="34">
        <v>1.391243562278734</v>
      </c>
      <c r="V303" s="34">
        <v>2.318739270464556</v>
      </c>
      <c r="W303" s="34">
        <v>1.391243562278734</v>
      </c>
      <c r="X303" s="34">
        <v>13.91243562278734</v>
      </c>
      <c r="Y303" s="34">
        <v>7.4199656654865818</v>
      </c>
      <c r="Z303" s="34"/>
      <c r="AA303" s="33">
        <v>6.4727065732842446</v>
      </c>
      <c r="AB303" s="33">
        <v>6.4727065732842446</v>
      </c>
      <c r="AC303" s="34">
        <v>2.1575688577614152</v>
      </c>
      <c r="AD303" s="33">
        <v>3.452110172418263</v>
      </c>
      <c r="AE303" s="34">
        <v>4.3151377155228294</v>
      </c>
      <c r="AF303" s="34">
        <v>2.5890826293136979</v>
      </c>
      <c r="AG303" s="33">
        <v>2.5890826293136979</v>
      </c>
      <c r="AH303" s="34">
        <v>5.1781652586273959</v>
      </c>
      <c r="AI303" s="33">
        <v>4.3151377155228294</v>
      </c>
      <c r="AJ303" s="33">
        <v>5.1781652586273959</v>
      </c>
      <c r="AK303" s="33">
        <v>3.0205964008659811</v>
      </c>
      <c r="AL303" s="34">
        <v>3.0205964008659811</v>
      </c>
      <c r="AM303" s="34">
        <v>1.294541314656849</v>
      </c>
      <c r="AN303" s="34">
        <v>2.1575688577614152</v>
      </c>
      <c r="AO303" s="34">
        <v>1.294541314656849</v>
      </c>
      <c r="AP303" s="34">
        <v>12.945413146568489</v>
      </c>
      <c r="AQ303" s="34">
        <v>6.9042203448365269</v>
      </c>
      <c r="AR303" s="121"/>
    </row>
    <row r="304" spans="1:44" ht="19.5" customHeight="1">
      <c r="A304" s="166">
        <f t="shared" si="27"/>
        <v>9</v>
      </c>
      <c r="B304" s="155" t="s">
        <v>133</v>
      </c>
      <c r="C304" s="154" t="s">
        <v>94</v>
      </c>
      <c r="D304" s="167" t="s">
        <v>4039</v>
      </c>
      <c r="E304" s="124"/>
      <c r="F304" s="32">
        <v>20000</v>
      </c>
      <c r="G304" s="32">
        <v>22609.844455078801</v>
      </c>
      <c r="H304" s="32">
        <v>42609.844455078797</v>
      </c>
      <c r="I304" s="53">
        <v>6.956217811393671</v>
      </c>
      <c r="J304" s="53">
        <v>6.956217811393671</v>
      </c>
      <c r="K304" s="54">
        <v>2.318739270464556</v>
      </c>
      <c r="L304" s="53">
        <v>3.7099828327432909</v>
      </c>
      <c r="M304" s="54">
        <v>4.6374785409291128</v>
      </c>
      <c r="N304" s="54">
        <v>2.7824871245574681</v>
      </c>
      <c r="O304" s="53">
        <v>2.7824871245574681</v>
      </c>
      <c r="P304" s="54">
        <v>5.564974249114937</v>
      </c>
      <c r="Q304" s="53">
        <v>4.6374785409291128</v>
      </c>
      <c r="R304" s="53">
        <v>5.564974249114937</v>
      </c>
      <c r="S304" s="53">
        <v>3.2462349786503801</v>
      </c>
      <c r="T304" s="54">
        <v>3.2462349786503801</v>
      </c>
      <c r="U304" s="54">
        <v>1.391243562278734</v>
      </c>
      <c r="V304" s="54">
        <v>2.318739270464556</v>
      </c>
      <c r="W304" s="54">
        <v>1.391243562278734</v>
      </c>
      <c r="X304" s="54">
        <v>13.91243562278734</v>
      </c>
      <c r="Y304" s="54">
        <v>7.4199656654865818</v>
      </c>
      <c r="Z304" s="34"/>
      <c r="AA304" s="33">
        <v>7.8639501355629786</v>
      </c>
      <c r="AB304" s="33">
        <v>7.8639501355629786</v>
      </c>
      <c r="AC304" s="34">
        <v>2.6213167118543259</v>
      </c>
      <c r="AD304" s="33">
        <v>4.194106738966922</v>
      </c>
      <c r="AE304" s="34">
        <v>5.2426334237086518</v>
      </c>
      <c r="AF304" s="34">
        <v>3.1455800542251908</v>
      </c>
      <c r="AG304" s="33">
        <v>3.1455800542251908</v>
      </c>
      <c r="AH304" s="34">
        <v>6.2911601084503834</v>
      </c>
      <c r="AI304" s="33">
        <v>5.2426334237086518</v>
      </c>
      <c r="AJ304" s="33">
        <v>6.2911601084503834</v>
      </c>
      <c r="AK304" s="33">
        <v>3.6698433965960571</v>
      </c>
      <c r="AL304" s="34">
        <v>3.6698433965960571</v>
      </c>
      <c r="AM304" s="34">
        <v>1.5727900271125961</v>
      </c>
      <c r="AN304" s="34">
        <v>2.6213167118543259</v>
      </c>
      <c r="AO304" s="34">
        <v>1.5727900271125961</v>
      </c>
      <c r="AP304" s="34">
        <v>15.727900271125961</v>
      </c>
      <c r="AQ304" s="34">
        <v>8.388213477933844</v>
      </c>
      <c r="AR304" s="39"/>
    </row>
    <row r="305" spans="1:44" ht="19.5" customHeight="1">
      <c r="A305" s="168"/>
      <c r="B305" s="169" t="s">
        <v>133</v>
      </c>
      <c r="C305" s="177" t="s">
        <v>389</v>
      </c>
      <c r="D305" s="169" t="s">
        <v>4050</v>
      </c>
      <c r="E305" s="164">
        <v>5</v>
      </c>
      <c r="F305" s="171">
        <v>296500.22674266412</v>
      </c>
      <c r="G305" s="171">
        <v>118709.74887227089</v>
      </c>
      <c r="H305" s="171">
        <v>415209.97561493499</v>
      </c>
      <c r="I305" s="53">
        <v>103.1260079174791</v>
      </c>
      <c r="J305" s="53">
        <v>103.1260079174791</v>
      </c>
      <c r="K305" s="54">
        <v>34.375335972493033</v>
      </c>
      <c r="L305" s="53">
        <v>55.000537555988863</v>
      </c>
      <c r="M305" s="54">
        <v>68.750671944986067</v>
      </c>
      <c r="N305" s="54">
        <v>41.250403166991653</v>
      </c>
      <c r="O305" s="53">
        <v>41.250403166991653</v>
      </c>
      <c r="P305" s="54">
        <v>82.500806333983292</v>
      </c>
      <c r="Q305" s="53">
        <v>68.750671944986067</v>
      </c>
      <c r="R305" s="53">
        <v>82.500806333983292</v>
      </c>
      <c r="S305" s="53">
        <v>48.125470361490251</v>
      </c>
      <c r="T305" s="54">
        <v>48.125470361490251</v>
      </c>
      <c r="U305" s="54">
        <v>20.625201583495819</v>
      </c>
      <c r="V305" s="54">
        <v>34.375335972493033</v>
      </c>
      <c r="W305" s="54">
        <v>20.625201583495819</v>
      </c>
      <c r="X305" s="54">
        <v>206.2520158349582</v>
      </c>
      <c r="Y305" s="54">
        <v>110.0010751119777</v>
      </c>
      <c r="Z305" s="34"/>
      <c r="AA305" s="33">
        <v>41.288543474568037</v>
      </c>
      <c r="AB305" s="33">
        <v>41.288543474568037</v>
      </c>
      <c r="AC305" s="34">
        <v>13.76284782485601</v>
      </c>
      <c r="AD305" s="33">
        <v>22.02055651976962</v>
      </c>
      <c r="AE305" s="34">
        <v>27.52569564971202</v>
      </c>
      <c r="AF305" s="34">
        <v>16.51541738982721</v>
      </c>
      <c r="AG305" s="33">
        <v>16.51541738982721</v>
      </c>
      <c r="AH305" s="34">
        <v>33.030834779654427</v>
      </c>
      <c r="AI305" s="33">
        <v>27.52569564971202</v>
      </c>
      <c r="AJ305" s="33">
        <v>33.030834779654427</v>
      </c>
      <c r="AK305" s="33">
        <v>19.26798695479842</v>
      </c>
      <c r="AL305" s="34">
        <v>19.26798695479842</v>
      </c>
      <c r="AM305" s="34">
        <v>8.2577086949136067</v>
      </c>
      <c r="AN305" s="34">
        <v>13.76284782485601</v>
      </c>
      <c r="AO305" s="34">
        <v>8.2577086949136067</v>
      </c>
      <c r="AP305" s="34">
        <v>82.577086949136074</v>
      </c>
      <c r="AQ305" s="34">
        <v>44.041113039539233</v>
      </c>
      <c r="AR305" s="39"/>
    </row>
    <row r="306" spans="1:44" ht="19.5" customHeight="1">
      <c r="A306" s="67"/>
      <c r="B306" s="93" t="s">
        <v>4055</v>
      </c>
      <c r="C306" s="67" t="s">
        <v>2324</v>
      </c>
      <c r="D306" s="179" t="s">
        <v>4056</v>
      </c>
      <c r="E306" s="127">
        <f>E305+E299</f>
        <v>9</v>
      </c>
      <c r="F306" s="128">
        <v>599114.90521836607</v>
      </c>
      <c r="G306" s="128">
        <v>217687.9268092553</v>
      </c>
      <c r="H306" s="128">
        <v>816802.83202762133</v>
      </c>
      <c r="I306" s="33">
        <v>208.37868873757151</v>
      </c>
      <c r="J306" s="33">
        <v>208.37868873757151</v>
      </c>
      <c r="K306" s="34">
        <v>69.459562912523808</v>
      </c>
      <c r="L306" s="33">
        <v>111.1353006600381</v>
      </c>
      <c r="M306" s="34">
        <v>138.91912582504759</v>
      </c>
      <c r="N306" s="34">
        <v>83.351475495028581</v>
      </c>
      <c r="O306" s="33">
        <v>83.351475495028581</v>
      </c>
      <c r="P306" s="34">
        <v>166.70295099005719</v>
      </c>
      <c r="Q306" s="33">
        <v>138.91912582504759</v>
      </c>
      <c r="R306" s="33">
        <v>166.70295099005719</v>
      </c>
      <c r="S306" s="33">
        <v>97.243388077533353</v>
      </c>
      <c r="T306" s="34">
        <v>97.243388077533353</v>
      </c>
      <c r="U306" s="34">
        <v>41.67573774751429</v>
      </c>
      <c r="V306" s="34">
        <v>69.459562912523808</v>
      </c>
      <c r="W306" s="34">
        <v>41.67573774751429</v>
      </c>
      <c r="X306" s="34">
        <v>416.7573774751429</v>
      </c>
      <c r="Y306" s="34">
        <v>222.2706013200762</v>
      </c>
      <c r="Z306" s="34"/>
      <c r="AA306" s="33">
        <v>75.71423168979517</v>
      </c>
      <c r="AB306" s="33">
        <v>75.71423168979517</v>
      </c>
      <c r="AC306" s="34">
        <v>25.238077229931719</v>
      </c>
      <c r="AD306" s="33">
        <v>40.380923567890747</v>
      </c>
      <c r="AE306" s="34">
        <v>50.476154459863437</v>
      </c>
      <c r="AF306" s="34">
        <v>30.285692675918071</v>
      </c>
      <c r="AG306" s="33">
        <v>30.285692675918071</v>
      </c>
      <c r="AH306" s="34">
        <v>60.571385351836128</v>
      </c>
      <c r="AI306" s="33">
        <v>50.476154459863437</v>
      </c>
      <c r="AJ306" s="33">
        <v>60.571385351836128</v>
      </c>
      <c r="AK306" s="33">
        <v>35.333308121904423</v>
      </c>
      <c r="AL306" s="34">
        <v>35.333308121904423</v>
      </c>
      <c r="AM306" s="34">
        <v>15.14284633795903</v>
      </c>
      <c r="AN306" s="34">
        <v>25.238077229931719</v>
      </c>
      <c r="AO306" s="34">
        <v>15.14284633795903</v>
      </c>
      <c r="AP306" s="34">
        <v>151.42846337959031</v>
      </c>
      <c r="AQ306" s="34">
        <v>80.761847135781508</v>
      </c>
      <c r="AR306" s="39"/>
    </row>
    <row r="307" spans="1:44" ht="19.5" customHeight="1">
      <c r="A307" s="32"/>
      <c r="B307" s="32"/>
      <c r="C307" s="32"/>
      <c r="D307" s="151"/>
      <c r="E307" s="32"/>
      <c r="F307" s="32"/>
      <c r="G307" s="32"/>
      <c r="H307" s="32">
        <v>0</v>
      </c>
      <c r="I307" s="33">
        <v>0</v>
      </c>
      <c r="J307" s="33">
        <v>0</v>
      </c>
      <c r="K307" s="34">
        <v>0</v>
      </c>
      <c r="L307" s="33">
        <v>0</v>
      </c>
      <c r="M307" s="34">
        <v>0</v>
      </c>
      <c r="N307" s="34">
        <v>0</v>
      </c>
      <c r="O307" s="33">
        <v>0</v>
      </c>
      <c r="P307" s="34">
        <v>0</v>
      </c>
      <c r="Q307" s="33">
        <v>0</v>
      </c>
      <c r="R307" s="33">
        <v>0</v>
      </c>
      <c r="S307" s="33">
        <v>0</v>
      </c>
      <c r="T307" s="34">
        <v>0</v>
      </c>
      <c r="U307" s="34">
        <v>0</v>
      </c>
      <c r="V307" s="34">
        <v>0</v>
      </c>
      <c r="W307" s="34">
        <v>0</v>
      </c>
      <c r="X307" s="34">
        <v>0</v>
      </c>
      <c r="Y307" s="34">
        <v>0</v>
      </c>
      <c r="Z307" s="34"/>
      <c r="AA307" s="33">
        <v>0</v>
      </c>
      <c r="AB307" s="33">
        <v>0</v>
      </c>
      <c r="AC307" s="34">
        <v>0</v>
      </c>
      <c r="AD307" s="33">
        <v>0</v>
      </c>
      <c r="AE307" s="34">
        <v>0</v>
      </c>
      <c r="AF307" s="34">
        <v>0</v>
      </c>
      <c r="AG307" s="33">
        <v>0</v>
      </c>
      <c r="AH307" s="34">
        <v>0</v>
      </c>
      <c r="AI307" s="33">
        <v>0</v>
      </c>
      <c r="AJ307" s="33">
        <v>0</v>
      </c>
      <c r="AK307" s="33">
        <v>0</v>
      </c>
      <c r="AL307" s="34">
        <v>0</v>
      </c>
      <c r="AM307" s="34">
        <v>0</v>
      </c>
      <c r="AN307" s="34">
        <v>0</v>
      </c>
      <c r="AO307" s="34">
        <v>0</v>
      </c>
      <c r="AP307" s="34">
        <v>0</v>
      </c>
      <c r="AQ307" s="34">
        <v>0</v>
      </c>
      <c r="AR307" s="39"/>
    </row>
    <row r="308" spans="1:44" ht="19.5" customHeight="1">
      <c r="A308" s="68"/>
      <c r="B308" s="179" t="s">
        <v>133</v>
      </c>
      <c r="C308" s="90"/>
      <c r="D308" s="179" t="s">
        <v>4076</v>
      </c>
      <c r="E308" s="68">
        <f>E306+E292+E284</f>
        <v>40</v>
      </c>
      <c r="F308" s="68">
        <v>2171625.8097311058</v>
      </c>
      <c r="G308" s="68">
        <v>910930.3642306088</v>
      </c>
      <c r="H308" s="68">
        <v>3082556.1739617148</v>
      </c>
      <c r="I308" s="94">
        <v>755.31510686668605</v>
      </c>
      <c r="J308" s="94">
        <v>755.31510686668605</v>
      </c>
      <c r="K308" s="95">
        <v>251.77170228889531</v>
      </c>
      <c r="L308" s="94">
        <v>402.83472366223248</v>
      </c>
      <c r="M308" s="95">
        <v>503.54340457779062</v>
      </c>
      <c r="N308" s="95">
        <v>302.12604274667439</v>
      </c>
      <c r="O308" s="94">
        <v>302.12604274667439</v>
      </c>
      <c r="P308" s="95">
        <v>604.25208549334877</v>
      </c>
      <c r="Q308" s="94">
        <v>503.54340457779062</v>
      </c>
      <c r="R308" s="94">
        <v>604.25208549334877</v>
      </c>
      <c r="S308" s="94">
        <v>352.48038320445352</v>
      </c>
      <c r="T308" s="95">
        <v>352.48038320445352</v>
      </c>
      <c r="U308" s="95">
        <v>151.06302137333719</v>
      </c>
      <c r="V308" s="95">
        <v>251.77170228889531</v>
      </c>
      <c r="W308" s="95">
        <v>151.06302137333719</v>
      </c>
      <c r="X308" s="95">
        <v>1510.6302137333721</v>
      </c>
      <c r="Y308" s="95">
        <v>805.66944732446507</v>
      </c>
      <c r="Z308" s="95"/>
      <c r="AA308" s="94">
        <v>316.83150123001428</v>
      </c>
      <c r="AB308" s="94">
        <v>316.83150123001428</v>
      </c>
      <c r="AC308" s="95">
        <v>105.6105004100047</v>
      </c>
      <c r="AD308" s="94">
        <v>168.97680065600761</v>
      </c>
      <c r="AE308" s="95">
        <v>211.22100082000949</v>
      </c>
      <c r="AF308" s="95">
        <v>126.7326004920057</v>
      </c>
      <c r="AG308" s="94">
        <v>126.7326004920057</v>
      </c>
      <c r="AH308" s="95">
        <v>253.4652009840114</v>
      </c>
      <c r="AI308" s="94">
        <v>211.22100082000949</v>
      </c>
      <c r="AJ308" s="94">
        <v>253.4652009840114</v>
      </c>
      <c r="AK308" s="94">
        <v>147.8547005740067</v>
      </c>
      <c r="AL308" s="95">
        <v>147.8547005740067</v>
      </c>
      <c r="AM308" s="95">
        <v>63.366300246002851</v>
      </c>
      <c r="AN308" s="95">
        <v>105.6105004100047</v>
      </c>
      <c r="AO308" s="95">
        <v>63.366300246002851</v>
      </c>
      <c r="AP308" s="95">
        <v>633.66300246002857</v>
      </c>
      <c r="AQ308" s="95">
        <v>337.95360131201522</v>
      </c>
      <c r="AR308" s="121"/>
    </row>
    <row r="309" spans="1:44" ht="19.5" customHeight="1">
      <c r="A309" s="32"/>
      <c r="B309" s="32"/>
      <c r="C309" s="32"/>
      <c r="D309" s="182"/>
      <c r="E309" s="32">
        <v>40</v>
      </c>
      <c r="F309" s="32"/>
      <c r="G309" s="32"/>
      <c r="H309" s="32">
        <v>0</v>
      </c>
      <c r="I309" s="33">
        <v>0</v>
      </c>
      <c r="J309" s="33">
        <v>0</v>
      </c>
      <c r="K309" s="34">
        <v>0</v>
      </c>
      <c r="L309" s="33">
        <v>0</v>
      </c>
      <c r="M309" s="34">
        <v>0</v>
      </c>
      <c r="N309" s="34">
        <v>0</v>
      </c>
      <c r="O309" s="33">
        <v>0</v>
      </c>
      <c r="P309" s="34">
        <v>0</v>
      </c>
      <c r="Q309" s="33">
        <v>0</v>
      </c>
      <c r="R309" s="33">
        <v>0</v>
      </c>
      <c r="S309" s="33">
        <v>0</v>
      </c>
      <c r="T309" s="34">
        <v>0</v>
      </c>
      <c r="U309" s="34">
        <v>0</v>
      </c>
      <c r="V309" s="34">
        <v>0</v>
      </c>
      <c r="W309" s="34">
        <v>0</v>
      </c>
      <c r="X309" s="34">
        <v>0</v>
      </c>
      <c r="Y309" s="34">
        <v>0</v>
      </c>
      <c r="Z309" s="34"/>
      <c r="AA309" s="33">
        <v>0</v>
      </c>
      <c r="AB309" s="33">
        <v>0</v>
      </c>
      <c r="AC309" s="34">
        <v>0</v>
      </c>
      <c r="AD309" s="33">
        <v>0</v>
      </c>
      <c r="AE309" s="34">
        <v>0</v>
      </c>
      <c r="AF309" s="34">
        <v>0</v>
      </c>
      <c r="AG309" s="33">
        <v>0</v>
      </c>
      <c r="AH309" s="34">
        <v>0</v>
      </c>
      <c r="AI309" s="33">
        <v>0</v>
      </c>
      <c r="AJ309" s="33">
        <v>0</v>
      </c>
      <c r="AK309" s="33">
        <v>0</v>
      </c>
      <c r="AL309" s="34">
        <v>0</v>
      </c>
      <c r="AM309" s="34">
        <v>0</v>
      </c>
      <c r="AN309" s="34">
        <v>0</v>
      </c>
      <c r="AO309" s="34">
        <v>0</v>
      </c>
      <c r="AP309" s="34">
        <v>0</v>
      </c>
      <c r="AQ309" s="34">
        <v>0</v>
      </c>
      <c r="AR309" s="37"/>
    </row>
    <row r="310" spans="1:44" ht="19.5" customHeight="1">
      <c r="A310" s="14" t="s">
        <v>4099</v>
      </c>
      <c r="B310" s="14"/>
      <c r="C310" s="49"/>
      <c r="D310" s="183"/>
      <c r="E310" s="32"/>
      <c r="F310" s="32"/>
      <c r="G310" s="32"/>
      <c r="H310" s="32">
        <v>0</v>
      </c>
      <c r="I310" s="33">
        <v>0</v>
      </c>
      <c r="J310" s="33">
        <v>0</v>
      </c>
      <c r="K310" s="34">
        <v>0</v>
      </c>
      <c r="L310" s="33">
        <v>0</v>
      </c>
      <c r="M310" s="34">
        <v>0</v>
      </c>
      <c r="N310" s="34">
        <v>0</v>
      </c>
      <c r="O310" s="33">
        <v>0</v>
      </c>
      <c r="P310" s="34">
        <v>0</v>
      </c>
      <c r="Q310" s="33">
        <v>0</v>
      </c>
      <c r="R310" s="33">
        <v>0</v>
      </c>
      <c r="S310" s="33">
        <v>0</v>
      </c>
      <c r="T310" s="34">
        <v>0</v>
      </c>
      <c r="U310" s="34">
        <v>0</v>
      </c>
      <c r="V310" s="34">
        <v>0</v>
      </c>
      <c r="W310" s="34">
        <v>0</v>
      </c>
      <c r="X310" s="34">
        <v>0</v>
      </c>
      <c r="Y310" s="34">
        <v>0</v>
      </c>
      <c r="Z310" s="34"/>
      <c r="AA310" s="33">
        <v>0</v>
      </c>
      <c r="AB310" s="33">
        <v>0</v>
      </c>
      <c r="AC310" s="34">
        <v>0</v>
      </c>
      <c r="AD310" s="33">
        <v>0</v>
      </c>
      <c r="AE310" s="34">
        <v>0</v>
      </c>
      <c r="AF310" s="34">
        <v>0</v>
      </c>
      <c r="AG310" s="33">
        <v>0</v>
      </c>
      <c r="AH310" s="34">
        <v>0</v>
      </c>
      <c r="AI310" s="33">
        <v>0</v>
      </c>
      <c r="AJ310" s="33">
        <v>0</v>
      </c>
      <c r="AK310" s="33">
        <v>0</v>
      </c>
      <c r="AL310" s="34">
        <v>0</v>
      </c>
      <c r="AM310" s="34">
        <v>0</v>
      </c>
      <c r="AN310" s="34">
        <v>0</v>
      </c>
      <c r="AO310" s="34">
        <v>0</v>
      </c>
      <c r="AP310" s="34">
        <v>0</v>
      </c>
      <c r="AQ310" s="34">
        <v>0</v>
      </c>
      <c r="AR310" s="39"/>
    </row>
    <row r="311" spans="1:44" ht="19.5" customHeight="1">
      <c r="A311" s="55">
        <v>1</v>
      </c>
      <c r="B311" s="129" t="s">
        <v>133</v>
      </c>
      <c r="C311" s="30" t="s">
        <v>94</v>
      </c>
      <c r="D311" s="56" t="s">
        <v>4110</v>
      </c>
      <c r="E311" s="30"/>
      <c r="F311" s="32">
        <v>30180.802210231781</v>
      </c>
      <c r="G311" s="32">
        <v>35000</v>
      </c>
      <c r="H311" s="32">
        <v>65180.802210231777</v>
      </c>
      <c r="I311" s="33">
        <v>10.49721169484819</v>
      </c>
      <c r="J311" s="33">
        <v>10.49721169484819</v>
      </c>
      <c r="K311" s="34">
        <v>3.4990705649493958</v>
      </c>
      <c r="L311" s="33">
        <v>5.5985129039190351</v>
      </c>
      <c r="M311" s="34">
        <v>6.9981411298987926</v>
      </c>
      <c r="N311" s="34">
        <v>4.1988846779392759</v>
      </c>
      <c r="O311" s="33">
        <v>4.1988846779392759</v>
      </c>
      <c r="P311" s="34">
        <v>8.3977693558785518</v>
      </c>
      <c r="Q311" s="33">
        <v>6.9981411298987926</v>
      </c>
      <c r="R311" s="33">
        <v>8.3977693558785518</v>
      </c>
      <c r="S311" s="33">
        <v>4.8986987909291546</v>
      </c>
      <c r="T311" s="34">
        <v>4.8986987909291546</v>
      </c>
      <c r="U311" s="34">
        <v>2.0994423389696379</v>
      </c>
      <c r="V311" s="34">
        <v>3.4990705649493958</v>
      </c>
      <c r="W311" s="34">
        <v>2.0994423389696379</v>
      </c>
      <c r="X311" s="34">
        <v>20.994423389696379</v>
      </c>
      <c r="Y311" s="34">
        <v>11.19702580783807</v>
      </c>
      <c r="Z311" s="34"/>
      <c r="AA311" s="33">
        <v>12.173381169938921</v>
      </c>
      <c r="AB311" s="33">
        <v>12.173381169938921</v>
      </c>
      <c r="AC311" s="34">
        <v>4.0577937233129742</v>
      </c>
      <c r="AD311" s="33">
        <v>6.4924699573007594</v>
      </c>
      <c r="AE311" s="34">
        <v>8.1155874466259483</v>
      </c>
      <c r="AF311" s="34">
        <v>4.8693524679755704</v>
      </c>
      <c r="AG311" s="33">
        <v>4.8693524679755704</v>
      </c>
      <c r="AH311" s="34">
        <v>9.7387049359511391</v>
      </c>
      <c r="AI311" s="33">
        <v>8.1155874466259483</v>
      </c>
      <c r="AJ311" s="33">
        <v>9.7387049359511391</v>
      </c>
      <c r="AK311" s="33">
        <v>5.6809112126381649</v>
      </c>
      <c r="AL311" s="34">
        <v>5.6809112126381649</v>
      </c>
      <c r="AM311" s="34">
        <v>2.4346762339877852</v>
      </c>
      <c r="AN311" s="34">
        <v>4.0577937233129742</v>
      </c>
      <c r="AO311" s="34">
        <v>2.4346762339877852</v>
      </c>
      <c r="AP311" s="34">
        <v>24.346762339877849</v>
      </c>
      <c r="AQ311" s="34">
        <v>12.984939914601521</v>
      </c>
      <c r="AR311" s="39"/>
    </row>
    <row r="312" spans="1:44" ht="19.5" customHeight="1">
      <c r="A312" s="55">
        <f t="shared" ref="A312:A315" si="28">A311+1</f>
        <v>2</v>
      </c>
      <c r="B312" s="16" t="s">
        <v>4125</v>
      </c>
      <c r="C312" s="30" t="s">
        <v>94</v>
      </c>
      <c r="D312" s="16" t="s">
        <v>4127</v>
      </c>
      <c r="E312" s="30"/>
      <c r="F312" s="32">
        <v>105000</v>
      </c>
      <c r="G312" s="32">
        <v>30000</v>
      </c>
      <c r="H312" s="32">
        <v>135000</v>
      </c>
      <c r="I312" s="33">
        <v>36.520143509816769</v>
      </c>
      <c r="J312" s="33">
        <v>36.520143509816769</v>
      </c>
      <c r="K312" s="34">
        <v>12.173381169938921</v>
      </c>
      <c r="L312" s="33">
        <v>19.477409871902282</v>
      </c>
      <c r="M312" s="34">
        <v>24.346762339877841</v>
      </c>
      <c r="N312" s="34">
        <v>14.608057403926709</v>
      </c>
      <c r="O312" s="33">
        <v>14.608057403926709</v>
      </c>
      <c r="P312" s="34">
        <v>29.216114807853419</v>
      </c>
      <c r="Q312" s="33">
        <v>24.346762339877841</v>
      </c>
      <c r="R312" s="33">
        <v>29.216114807853419</v>
      </c>
      <c r="S312" s="33">
        <v>17.042733637914491</v>
      </c>
      <c r="T312" s="34">
        <v>17.042733637914491</v>
      </c>
      <c r="U312" s="34">
        <v>7.3040287019633539</v>
      </c>
      <c r="V312" s="34">
        <v>12.173381169938921</v>
      </c>
      <c r="W312" s="34">
        <v>7.3040287019633539</v>
      </c>
      <c r="X312" s="34">
        <v>73.040287019633539</v>
      </c>
      <c r="Y312" s="34">
        <v>38.954819743804563</v>
      </c>
      <c r="Z312" s="34"/>
      <c r="AA312" s="33">
        <v>10.43432671709051</v>
      </c>
      <c r="AB312" s="33">
        <v>10.43432671709051</v>
      </c>
      <c r="AC312" s="34">
        <v>3.4781089056968351</v>
      </c>
      <c r="AD312" s="33">
        <v>5.564974249114937</v>
      </c>
      <c r="AE312" s="34">
        <v>6.9562178113936701</v>
      </c>
      <c r="AF312" s="34">
        <v>4.173730686836203</v>
      </c>
      <c r="AG312" s="33">
        <v>4.173730686836203</v>
      </c>
      <c r="AH312" s="34">
        <v>8.3474613736724059</v>
      </c>
      <c r="AI312" s="33">
        <v>6.9562178113936701</v>
      </c>
      <c r="AJ312" s="33">
        <v>8.3474613736724059</v>
      </c>
      <c r="AK312" s="33">
        <v>4.8693524679755704</v>
      </c>
      <c r="AL312" s="34">
        <v>4.8693524679755704</v>
      </c>
      <c r="AM312" s="34">
        <v>2.086865343418101</v>
      </c>
      <c r="AN312" s="34">
        <v>3.4781089056968351</v>
      </c>
      <c r="AO312" s="34">
        <v>2.086865343418101</v>
      </c>
      <c r="AP312" s="34">
        <v>20.868653434181009</v>
      </c>
      <c r="AQ312" s="34">
        <v>11.12994849822987</v>
      </c>
      <c r="AR312" s="39"/>
    </row>
    <row r="313" spans="1:44" ht="19.5" customHeight="1">
      <c r="A313" s="55">
        <f t="shared" si="28"/>
        <v>3</v>
      </c>
      <c r="B313" s="129" t="s">
        <v>133</v>
      </c>
      <c r="C313" s="30" t="s">
        <v>94</v>
      </c>
      <c r="D313" s="56" t="s">
        <v>4136</v>
      </c>
      <c r="E313" s="30"/>
      <c r="F313" s="32">
        <v>40000</v>
      </c>
      <c r="G313" s="32">
        <v>22293.405169011519</v>
      </c>
      <c r="H313" s="32">
        <v>62293.405169011523</v>
      </c>
      <c r="I313" s="33">
        <v>13.91243562278734</v>
      </c>
      <c r="J313" s="33">
        <v>13.91243562278734</v>
      </c>
      <c r="K313" s="34">
        <v>4.6374785409291128</v>
      </c>
      <c r="L313" s="33">
        <v>7.4199656654865818</v>
      </c>
      <c r="M313" s="34">
        <v>9.2749570818582256</v>
      </c>
      <c r="N313" s="34">
        <v>5.564974249114937</v>
      </c>
      <c r="O313" s="33">
        <v>5.564974249114937</v>
      </c>
      <c r="P313" s="34">
        <v>11.12994849822987</v>
      </c>
      <c r="Q313" s="33">
        <v>9.2749570818582256</v>
      </c>
      <c r="R313" s="33">
        <v>11.12994849822987</v>
      </c>
      <c r="S313" s="33">
        <v>6.4924699573007594</v>
      </c>
      <c r="T313" s="34">
        <v>6.4924699573007594</v>
      </c>
      <c r="U313" s="34">
        <v>2.7824871245574681</v>
      </c>
      <c r="V313" s="34">
        <v>4.6374785409291128</v>
      </c>
      <c r="W313" s="34">
        <v>2.7824871245574681</v>
      </c>
      <c r="X313" s="34">
        <v>27.824871245574681</v>
      </c>
      <c r="Y313" s="34">
        <v>14.83993133097316</v>
      </c>
      <c r="Z313" s="34"/>
      <c r="AA313" s="33">
        <v>7.7538891056646833</v>
      </c>
      <c r="AB313" s="33">
        <v>7.7538891056646833</v>
      </c>
      <c r="AC313" s="34">
        <v>2.584629701888228</v>
      </c>
      <c r="AD313" s="33">
        <v>4.1354075230211649</v>
      </c>
      <c r="AE313" s="34">
        <v>5.1692594037764552</v>
      </c>
      <c r="AF313" s="34">
        <v>3.1015556422658741</v>
      </c>
      <c r="AG313" s="33">
        <v>3.1015556422658741</v>
      </c>
      <c r="AH313" s="34">
        <v>6.2031112845317473</v>
      </c>
      <c r="AI313" s="33">
        <v>5.1692594037764552</v>
      </c>
      <c r="AJ313" s="33">
        <v>6.2031112845317473</v>
      </c>
      <c r="AK313" s="33">
        <v>3.6184815826435188</v>
      </c>
      <c r="AL313" s="34">
        <v>3.6184815826435188</v>
      </c>
      <c r="AM313" s="34">
        <v>1.5507778211329371</v>
      </c>
      <c r="AN313" s="34">
        <v>2.584629701888228</v>
      </c>
      <c r="AO313" s="34">
        <v>1.5507778211329371</v>
      </c>
      <c r="AP313" s="34">
        <v>15.50777821132937</v>
      </c>
      <c r="AQ313" s="34">
        <v>8.2708150460423298</v>
      </c>
      <c r="AR313" s="39"/>
    </row>
    <row r="314" spans="1:44" ht="19.5" customHeight="1">
      <c r="A314" s="55">
        <f t="shared" si="28"/>
        <v>4</v>
      </c>
      <c r="B314" s="129" t="s">
        <v>133</v>
      </c>
      <c r="C314" s="30" t="s">
        <v>94</v>
      </c>
      <c r="D314" s="56" t="s">
        <v>4147</v>
      </c>
      <c r="E314" s="30"/>
      <c r="F314" s="32">
        <v>32857</v>
      </c>
      <c r="G314" s="32">
        <v>35000</v>
      </c>
      <c r="H314" s="32">
        <v>67857</v>
      </c>
      <c r="I314" s="33">
        <v>11.42802243144809</v>
      </c>
      <c r="J314" s="33">
        <v>11.42802243144809</v>
      </c>
      <c r="K314" s="34">
        <v>3.8093408104826971</v>
      </c>
      <c r="L314" s="33">
        <v>6.0949452967723152</v>
      </c>
      <c r="M314" s="34">
        <v>7.6186816209653934</v>
      </c>
      <c r="N314" s="34">
        <v>4.5712089725792371</v>
      </c>
      <c r="O314" s="33">
        <v>4.5712089725792371</v>
      </c>
      <c r="P314" s="34">
        <v>9.1424179451584742</v>
      </c>
      <c r="Q314" s="33">
        <v>7.6186816209653934</v>
      </c>
      <c r="R314" s="33">
        <v>9.1424179451584742</v>
      </c>
      <c r="S314" s="33">
        <v>5.3330771346757757</v>
      </c>
      <c r="T314" s="34">
        <v>5.3330771346757757</v>
      </c>
      <c r="U314" s="34">
        <v>2.285604486289619</v>
      </c>
      <c r="V314" s="34">
        <v>3.8093408104826971</v>
      </c>
      <c r="W314" s="34">
        <v>2.285604486289619</v>
      </c>
      <c r="X314" s="34">
        <v>22.85604486289618</v>
      </c>
      <c r="Y314" s="34">
        <v>12.18989059354463</v>
      </c>
      <c r="Z314" s="34"/>
      <c r="AA314" s="33">
        <v>12.173381169938921</v>
      </c>
      <c r="AB314" s="33">
        <v>12.173381169938921</v>
      </c>
      <c r="AC314" s="34">
        <v>4.0577937233129742</v>
      </c>
      <c r="AD314" s="33">
        <v>6.4924699573007594</v>
      </c>
      <c r="AE314" s="34">
        <v>8.1155874466259483</v>
      </c>
      <c r="AF314" s="34">
        <v>4.8693524679755704</v>
      </c>
      <c r="AG314" s="33">
        <v>4.8693524679755704</v>
      </c>
      <c r="AH314" s="34">
        <v>9.7387049359511391</v>
      </c>
      <c r="AI314" s="33">
        <v>8.1155874466259483</v>
      </c>
      <c r="AJ314" s="33">
        <v>9.7387049359511391</v>
      </c>
      <c r="AK314" s="33">
        <v>5.6809112126381649</v>
      </c>
      <c r="AL314" s="34">
        <v>5.6809112126381649</v>
      </c>
      <c r="AM314" s="34">
        <v>2.4346762339877852</v>
      </c>
      <c r="AN314" s="34">
        <v>4.0577937233129742</v>
      </c>
      <c r="AO314" s="34">
        <v>2.4346762339877852</v>
      </c>
      <c r="AP314" s="34">
        <v>24.346762339877849</v>
      </c>
      <c r="AQ314" s="34">
        <v>12.984939914601521</v>
      </c>
      <c r="AR314" s="39"/>
    </row>
    <row r="315" spans="1:44" ht="19.5" customHeight="1">
      <c r="A315" s="55">
        <f t="shared" si="28"/>
        <v>5</v>
      </c>
      <c r="B315" s="129" t="s">
        <v>133</v>
      </c>
      <c r="C315" s="30" t="s">
        <v>94</v>
      </c>
      <c r="D315" s="102" t="s">
        <v>4158</v>
      </c>
      <c r="E315" s="30"/>
      <c r="F315" s="32">
        <v>15678.33881051002</v>
      </c>
      <c r="G315" s="32">
        <v>16392.209683096709</v>
      </c>
      <c r="H315" s="32">
        <v>32070.548493606719</v>
      </c>
      <c r="I315" s="33">
        <v>5.4530969843367219</v>
      </c>
      <c r="J315" s="33">
        <v>5.4530969843367219</v>
      </c>
      <c r="K315" s="34">
        <v>1.8176989947789071</v>
      </c>
      <c r="L315" s="33">
        <v>2.9083183916462518</v>
      </c>
      <c r="M315" s="34">
        <v>3.6353979895578141</v>
      </c>
      <c r="N315" s="34">
        <v>2.1812387937346891</v>
      </c>
      <c r="O315" s="33">
        <v>2.1812387937346891</v>
      </c>
      <c r="P315" s="34">
        <v>4.3624775874693782</v>
      </c>
      <c r="Q315" s="33">
        <v>3.6353979895578141</v>
      </c>
      <c r="R315" s="33">
        <v>4.3624775874693782</v>
      </c>
      <c r="S315" s="33">
        <v>2.54477859269047</v>
      </c>
      <c r="T315" s="34">
        <v>2.54477859269047</v>
      </c>
      <c r="U315" s="34">
        <v>1.090619396867345</v>
      </c>
      <c r="V315" s="34">
        <v>1.8176989947789071</v>
      </c>
      <c r="W315" s="34">
        <v>1.090619396867345</v>
      </c>
      <c r="X315" s="34">
        <v>10.90619396867344</v>
      </c>
      <c r="Y315" s="34">
        <v>5.8166367832925037</v>
      </c>
      <c r="Z315" s="34"/>
      <c r="AA315" s="33">
        <v>5.7013890482828549</v>
      </c>
      <c r="AB315" s="33">
        <v>5.7013890482828549</v>
      </c>
      <c r="AC315" s="34">
        <v>1.900463016094285</v>
      </c>
      <c r="AD315" s="33">
        <v>3.0407408257508561</v>
      </c>
      <c r="AE315" s="34">
        <v>3.8009260321885701</v>
      </c>
      <c r="AF315" s="34">
        <v>2.2805556193131422</v>
      </c>
      <c r="AG315" s="33">
        <v>2.2805556193131422</v>
      </c>
      <c r="AH315" s="34">
        <v>4.5611112386262844</v>
      </c>
      <c r="AI315" s="33">
        <v>3.8009260321885701</v>
      </c>
      <c r="AJ315" s="33">
        <v>4.5611112386262844</v>
      </c>
      <c r="AK315" s="33">
        <v>2.6606482225319992</v>
      </c>
      <c r="AL315" s="34">
        <v>2.6606482225319992</v>
      </c>
      <c r="AM315" s="34">
        <v>1.1402778096565711</v>
      </c>
      <c r="AN315" s="34">
        <v>1.900463016094285</v>
      </c>
      <c r="AO315" s="34">
        <v>1.1402778096565711</v>
      </c>
      <c r="AP315" s="34">
        <v>11.40277809656571</v>
      </c>
      <c r="AQ315" s="34">
        <v>6.0814816515017123</v>
      </c>
      <c r="AR315" s="39"/>
    </row>
    <row r="316" spans="1:44" ht="19.5" customHeight="1">
      <c r="A316" s="49"/>
      <c r="B316" s="184" t="s">
        <v>2164</v>
      </c>
      <c r="C316" s="49" t="s">
        <v>389</v>
      </c>
      <c r="D316" s="137" t="s">
        <v>4168</v>
      </c>
      <c r="E316" s="51">
        <v>5</v>
      </c>
      <c r="F316" s="52">
        <v>223716.14102074181</v>
      </c>
      <c r="G316" s="52">
        <v>138685.61485210821</v>
      </c>
      <c r="H316" s="52">
        <v>362401.75587285007</v>
      </c>
      <c r="I316" s="33">
        <v>77.810910243237117</v>
      </c>
      <c r="J316" s="33">
        <v>77.810910243237117</v>
      </c>
      <c r="K316" s="34">
        <v>25.936970081079039</v>
      </c>
      <c r="L316" s="33">
        <v>41.499152129726461</v>
      </c>
      <c r="M316" s="34">
        <v>51.873940162158071</v>
      </c>
      <c r="N316" s="34">
        <v>31.124364097294851</v>
      </c>
      <c r="O316" s="33">
        <v>31.124364097294851</v>
      </c>
      <c r="P316" s="34">
        <v>62.248728194589702</v>
      </c>
      <c r="Q316" s="33">
        <v>51.873940162158071</v>
      </c>
      <c r="R316" s="33">
        <v>62.248728194589702</v>
      </c>
      <c r="S316" s="33">
        <v>36.311758113510663</v>
      </c>
      <c r="T316" s="34">
        <v>36.311758113510663</v>
      </c>
      <c r="U316" s="34">
        <v>15.56218204864742</v>
      </c>
      <c r="V316" s="34">
        <v>25.936970081079039</v>
      </c>
      <c r="W316" s="34">
        <v>15.56218204864742</v>
      </c>
      <c r="X316" s="34">
        <v>155.62182048647421</v>
      </c>
      <c r="Y316" s="34">
        <v>82.998304259452922</v>
      </c>
      <c r="Z316" s="34"/>
      <c r="AA316" s="33">
        <v>48.236367210915887</v>
      </c>
      <c r="AB316" s="33">
        <v>48.236367210915887</v>
      </c>
      <c r="AC316" s="34">
        <v>16.078789070305302</v>
      </c>
      <c r="AD316" s="33">
        <v>25.726062512488479</v>
      </c>
      <c r="AE316" s="34">
        <v>32.157578140610603</v>
      </c>
      <c r="AF316" s="34">
        <v>19.294546884366358</v>
      </c>
      <c r="AG316" s="33">
        <v>19.294546884366358</v>
      </c>
      <c r="AH316" s="34">
        <v>38.589093768732717</v>
      </c>
      <c r="AI316" s="33">
        <v>32.157578140610603</v>
      </c>
      <c r="AJ316" s="33">
        <v>38.589093768732717</v>
      </c>
      <c r="AK316" s="33">
        <v>22.510304698427419</v>
      </c>
      <c r="AL316" s="34">
        <v>22.510304698427419</v>
      </c>
      <c r="AM316" s="34">
        <v>9.6472734421831792</v>
      </c>
      <c r="AN316" s="34">
        <v>16.078789070305302</v>
      </c>
      <c r="AO316" s="34">
        <v>9.6472734421831792</v>
      </c>
      <c r="AP316" s="34">
        <v>96.472734421831788</v>
      </c>
      <c r="AQ316" s="34">
        <v>51.452125024976958</v>
      </c>
      <c r="AR316" s="37"/>
    </row>
    <row r="317" spans="1:44" ht="19.5" customHeight="1">
      <c r="A317" s="55">
        <f>A315+1</f>
        <v>6</v>
      </c>
      <c r="B317" s="129" t="s">
        <v>133</v>
      </c>
      <c r="C317" s="26" t="s">
        <v>94</v>
      </c>
      <c r="D317" s="56" t="s">
        <v>4177</v>
      </c>
      <c r="E317" s="30"/>
      <c r="F317" s="32">
        <v>50252.7465246383</v>
      </c>
      <c r="G317" s="32">
        <v>10720.0538767586</v>
      </c>
      <c r="H317" s="32">
        <v>60972.800401396897</v>
      </c>
      <c r="I317" s="33">
        <v>17.47845252230702</v>
      </c>
      <c r="J317" s="33">
        <v>17.47845252230702</v>
      </c>
      <c r="K317" s="34">
        <v>5.8261508407690048</v>
      </c>
      <c r="L317" s="33">
        <v>9.3218413452304087</v>
      </c>
      <c r="M317" s="34">
        <v>11.65230168153801</v>
      </c>
      <c r="N317" s="34">
        <v>6.9913810089228061</v>
      </c>
      <c r="O317" s="33">
        <v>6.9913810089228061</v>
      </c>
      <c r="P317" s="34">
        <v>13.98276201784561</v>
      </c>
      <c r="Q317" s="33">
        <v>11.65230168153801</v>
      </c>
      <c r="R317" s="33">
        <v>13.98276201784561</v>
      </c>
      <c r="S317" s="33">
        <v>8.1566111770766074</v>
      </c>
      <c r="T317" s="34">
        <v>8.1566111770766074</v>
      </c>
      <c r="U317" s="34">
        <v>3.4956905044614031</v>
      </c>
      <c r="V317" s="34">
        <v>5.8261508407690048</v>
      </c>
      <c r="W317" s="34">
        <v>3.4956905044614031</v>
      </c>
      <c r="X317" s="34">
        <v>34.956905044614032</v>
      </c>
      <c r="Y317" s="34">
        <v>18.643682690460821</v>
      </c>
      <c r="Z317" s="34"/>
      <c r="AA317" s="33">
        <v>3.7285514858303981</v>
      </c>
      <c r="AB317" s="33">
        <v>3.7285514858303981</v>
      </c>
      <c r="AC317" s="34">
        <v>1.2428504952767989</v>
      </c>
      <c r="AD317" s="33">
        <v>1.988560792442879</v>
      </c>
      <c r="AE317" s="34">
        <v>2.4857009905535978</v>
      </c>
      <c r="AF317" s="34">
        <v>1.491420594332159</v>
      </c>
      <c r="AG317" s="33">
        <v>1.491420594332159</v>
      </c>
      <c r="AH317" s="34">
        <v>2.982841188664318</v>
      </c>
      <c r="AI317" s="33">
        <v>2.4857009905535978</v>
      </c>
      <c r="AJ317" s="33">
        <v>2.982841188664318</v>
      </c>
      <c r="AK317" s="33">
        <v>1.7399906933875191</v>
      </c>
      <c r="AL317" s="34">
        <v>1.7399906933875191</v>
      </c>
      <c r="AM317" s="34">
        <v>0.74571029716607951</v>
      </c>
      <c r="AN317" s="34">
        <v>1.2428504952767989</v>
      </c>
      <c r="AO317" s="34">
        <v>0.74571029716607951</v>
      </c>
      <c r="AP317" s="34">
        <v>7.4571029716607953</v>
      </c>
      <c r="AQ317" s="34">
        <v>3.977121584885758</v>
      </c>
      <c r="AR317" s="39"/>
    </row>
    <row r="318" spans="1:44" ht="19.5" customHeight="1">
      <c r="A318" s="55">
        <f t="shared" ref="A318:A321" si="29">A317+1</f>
        <v>7</v>
      </c>
      <c r="B318" s="16" t="s">
        <v>4187</v>
      </c>
      <c r="C318" s="26" t="s">
        <v>94</v>
      </c>
      <c r="D318" s="56" t="s">
        <v>4189</v>
      </c>
      <c r="E318" s="30"/>
      <c r="F318" s="32">
        <v>120723.20884092709</v>
      </c>
      <c r="G318" s="32">
        <v>27866.756461264398</v>
      </c>
      <c r="H318" s="32">
        <v>148589.9653021915</v>
      </c>
      <c r="I318" s="33">
        <v>41.988846779392759</v>
      </c>
      <c r="J318" s="33">
        <v>41.988846779392759</v>
      </c>
      <c r="K318" s="34">
        <v>13.99628225979759</v>
      </c>
      <c r="L318" s="33">
        <v>22.39405161567614</v>
      </c>
      <c r="M318" s="34">
        <v>27.99256451959517</v>
      </c>
      <c r="N318" s="34">
        <v>16.7955387117571</v>
      </c>
      <c r="O318" s="33">
        <v>16.7955387117571</v>
      </c>
      <c r="P318" s="34">
        <v>33.591077423514207</v>
      </c>
      <c r="Q318" s="33">
        <v>27.99256451959517</v>
      </c>
      <c r="R318" s="33">
        <v>33.591077423514207</v>
      </c>
      <c r="S318" s="33">
        <v>19.594795163716618</v>
      </c>
      <c r="T318" s="34">
        <v>19.594795163716618</v>
      </c>
      <c r="U318" s="34">
        <v>8.3977693558785518</v>
      </c>
      <c r="V318" s="34">
        <v>13.99628225979759</v>
      </c>
      <c r="W318" s="34">
        <v>8.3977693558785518</v>
      </c>
      <c r="X318" s="34">
        <v>83.977693558785518</v>
      </c>
      <c r="Y318" s="34">
        <v>44.788103231352281</v>
      </c>
      <c r="Z318" s="34"/>
      <c r="AA318" s="33">
        <v>9.6923613820808523</v>
      </c>
      <c r="AB318" s="33">
        <v>9.6923613820808523</v>
      </c>
      <c r="AC318" s="34">
        <v>3.230787127360284</v>
      </c>
      <c r="AD318" s="33">
        <v>5.1692594037764552</v>
      </c>
      <c r="AE318" s="34">
        <v>6.4615742547205679</v>
      </c>
      <c r="AF318" s="34">
        <v>3.8769445528323412</v>
      </c>
      <c r="AG318" s="33">
        <v>3.8769445528323412</v>
      </c>
      <c r="AH318" s="34">
        <v>7.7538891056646824</v>
      </c>
      <c r="AI318" s="33">
        <v>6.4615742547205679</v>
      </c>
      <c r="AJ318" s="33">
        <v>7.7538891056646824</v>
      </c>
      <c r="AK318" s="33">
        <v>4.523101978304398</v>
      </c>
      <c r="AL318" s="34">
        <v>4.523101978304398</v>
      </c>
      <c r="AM318" s="34">
        <v>1.938472276416171</v>
      </c>
      <c r="AN318" s="34">
        <v>3.230787127360284</v>
      </c>
      <c r="AO318" s="34">
        <v>1.938472276416171</v>
      </c>
      <c r="AP318" s="34">
        <v>19.384722764161701</v>
      </c>
      <c r="AQ318" s="34">
        <v>10.33851880755291</v>
      </c>
      <c r="AR318" s="39"/>
    </row>
    <row r="319" spans="1:44" ht="19.5" customHeight="1">
      <c r="A319" s="55">
        <f t="shared" si="29"/>
        <v>8</v>
      </c>
      <c r="B319" s="16" t="s">
        <v>4200</v>
      </c>
      <c r="C319" s="30" t="s">
        <v>230</v>
      </c>
      <c r="D319" s="56" t="s">
        <v>4201</v>
      </c>
      <c r="E319" s="30"/>
      <c r="F319" s="32">
        <v>129801.9867415659</v>
      </c>
      <c r="G319" s="32">
        <v>40866.756461264398</v>
      </c>
      <c r="H319" s="32">
        <v>170668.74320283029</v>
      </c>
      <c r="I319" s="33">
        <v>45.146544606298299</v>
      </c>
      <c r="J319" s="33">
        <v>45.146544606298299</v>
      </c>
      <c r="K319" s="34">
        <v>15.04884820209943</v>
      </c>
      <c r="L319" s="33">
        <v>24.078157123359091</v>
      </c>
      <c r="M319" s="34">
        <v>30.09769640419886</v>
      </c>
      <c r="N319" s="34">
        <v>18.058617842519318</v>
      </c>
      <c r="O319" s="33">
        <v>18.058617842519318</v>
      </c>
      <c r="P319" s="34">
        <v>36.117235685038636</v>
      </c>
      <c r="Q319" s="33">
        <v>30.09769640419886</v>
      </c>
      <c r="R319" s="33">
        <v>36.117235685038636</v>
      </c>
      <c r="S319" s="33">
        <v>21.068387482939201</v>
      </c>
      <c r="T319" s="34">
        <v>21.068387482939201</v>
      </c>
      <c r="U319" s="34">
        <v>9.0293089212596591</v>
      </c>
      <c r="V319" s="34">
        <v>15.04884820209943</v>
      </c>
      <c r="W319" s="34">
        <v>9.0293089212596591</v>
      </c>
      <c r="X319" s="34">
        <v>90.293089212596598</v>
      </c>
      <c r="Y319" s="34">
        <v>48.156314246718182</v>
      </c>
      <c r="Z319" s="34"/>
      <c r="AA319" s="33">
        <v>14.21390295948674</v>
      </c>
      <c r="AB319" s="33">
        <v>14.21390295948674</v>
      </c>
      <c r="AC319" s="34">
        <v>4.7379676531622463</v>
      </c>
      <c r="AD319" s="33">
        <v>7.5807482450595947</v>
      </c>
      <c r="AE319" s="34">
        <v>9.4759353063244927</v>
      </c>
      <c r="AF319" s="34">
        <v>5.6855611837946958</v>
      </c>
      <c r="AG319" s="33">
        <v>5.6855611837946958</v>
      </c>
      <c r="AH319" s="34">
        <v>11.37112236758939</v>
      </c>
      <c r="AI319" s="33">
        <v>9.4759353063244927</v>
      </c>
      <c r="AJ319" s="33">
        <v>11.37112236758939</v>
      </c>
      <c r="AK319" s="33">
        <v>6.6331547144271452</v>
      </c>
      <c r="AL319" s="34">
        <v>6.6331547144271452</v>
      </c>
      <c r="AM319" s="34">
        <v>2.8427805918973479</v>
      </c>
      <c r="AN319" s="34">
        <v>4.7379676531622463</v>
      </c>
      <c r="AO319" s="34">
        <v>2.8427805918973479</v>
      </c>
      <c r="AP319" s="34">
        <v>28.42780591897348</v>
      </c>
      <c r="AQ319" s="34">
        <v>15.161496490119189</v>
      </c>
      <c r="AR319" s="39"/>
    </row>
    <row r="320" spans="1:44" ht="19.5" customHeight="1">
      <c r="A320" s="55">
        <f t="shared" si="29"/>
        <v>9</v>
      </c>
      <c r="B320" s="129" t="s">
        <v>133</v>
      </c>
      <c r="C320" s="26" t="s">
        <v>94</v>
      </c>
      <c r="D320" s="56" t="s">
        <v>4213</v>
      </c>
      <c r="E320" s="30"/>
      <c r="F320" s="32">
        <v>34863.502496209599</v>
      </c>
      <c r="G320" s="32">
        <v>27866.756461264398</v>
      </c>
      <c r="H320" s="32">
        <v>62730.258957473998</v>
      </c>
      <c r="I320" s="33">
        <v>12.125905851585051</v>
      </c>
      <c r="J320" s="33">
        <v>12.125905851585051</v>
      </c>
      <c r="K320" s="34">
        <v>4.0419686171950149</v>
      </c>
      <c r="L320" s="33">
        <v>6.4671497875120236</v>
      </c>
      <c r="M320" s="34">
        <v>8.0839372343900298</v>
      </c>
      <c r="N320" s="34">
        <v>4.8503623406340184</v>
      </c>
      <c r="O320" s="33">
        <v>4.8503623406340184</v>
      </c>
      <c r="P320" s="34">
        <v>9.7007246812680368</v>
      </c>
      <c r="Q320" s="33">
        <v>8.0839372343900298</v>
      </c>
      <c r="R320" s="33">
        <v>9.7007246812680368</v>
      </c>
      <c r="S320" s="33">
        <v>5.658756064073021</v>
      </c>
      <c r="T320" s="34">
        <v>5.658756064073021</v>
      </c>
      <c r="U320" s="34">
        <v>2.4251811703170092</v>
      </c>
      <c r="V320" s="34">
        <v>4.0419686171950149</v>
      </c>
      <c r="W320" s="34">
        <v>2.4251811703170092</v>
      </c>
      <c r="X320" s="34">
        <v>24.251811703170091</v>
      </c>
      <c r="Y320" s="34">
        <v>12.934299575024051</v>
      </c>
      <c r="Z320" s="54"/>
      <c r="AA320" s="33">
        <v>9.6923613820808523</v>
      </c>
      <c r="AB320" s="33">
        <v>9.6923613820808523</v>
      </c>
      <c r="AC320" s="34">
        <v>3.230787127360284</v>
      </c>
      <c r="AD320" s="33">
        <v>5.1692594037764552</v>
      </c>
      <c r="AE320" s="34">
        <v>6.4615742547205679</v>
      </c>
      <c r="AF320" s="34">
        <v>3.8769445528323412</v>
      </c>
      <c r="AG320" s="33">
        <v>3.8769445528323412</v>
      </c>
      <c r="AH320" s="34">
        <v>7.7538891056646824</v>
      </c>
      <c r="AI320" s="33">
        <v>6.4615742547205679</v>
      </c>
      <c r="AJ320" s="33">
        <v>7.7538891056646824</v>
      </c>
      <c r="AK320" s="33">
        <v>4.523101978304398</v>
      </c>
      <c r="AL320" s="34">
        <v>4.523101978304398</v>
      </c>
      <c r="AM320" s="34">
        <v>1.938472276416171</v>
      </c>
      <c r="AN320" s="34">
        <v>3.230787127360284</v>
      </c>
      <c r="AO320" s="34">
        <v>1.938472276416171</v>
      </c>
      <c r="AP320" s="34">
        <v>19.384722764161701</v>
      </c>
      <c r="AQ320" s="34">
        <v>10.33851880755291</v>
      </c>
      <c r="AR320" s="39"/>
    </row>
    <row r="321" spans="1:44" ht="19.5" customHeight="1">
      <c r="A321" s="55">
        <f t="shared" si="29"/>
        <v>10</v>
      </c>
      <c r="B321" s="16" t="s">
        <v>4221</v>
      </c>
      <c r="C321" s="26" t="s">
        <v>1014</v>
      </c>
      <c r="D321" s="56" t="s">
        <v>4223</v>
      </c>
      <c r="E321" s="30"/>
      <c r="F321" s="32">
        <v>120723.20884092709</v>
      </c>
      <c r="G321" s="32">
        <v>22293.405169011519</v>
      </c>
      <c r="H321" s="32">
        <v>143016.6140099387</v>
      </c>
      <c r="I321" s="53">
        <v>41.988846779392759</v>
      </c>
      <c r="J321" s="53">
        <v>41.988846779392759</v>
      </c>
      <c r="K321" s="54">
        <v>13.99628225979759</v>
      </c>
      <c r="L321" s="53">
        <v>22.39405161567614</v>
      </c>
      <c r="M321" s="54">
        <v>27.99256451959517</v>
      </c>
      <c r="N321" s="54">
        <v>16.7955387117571</v>
      </c>
      <c r="O321" s="53">
        <v>16.7955387117571</v>
      </c>
      <c r="P321" s="54">
        <v>33.591077423514207</v>
      </c>
      <c r="Q321" s="53">
        <v>27.99256451959517</v>
      </c>
      <c r="R321" s="53">
        <v>33.591077423514207</v>
      </c>
      <c r="S321" s="53">
        <v>19.594795163716618</v>
      </c>
      <c r="T321" s="54">
        <v>19.594795163716618</v>
      </c>
      <c r="U321" s="54">
        <v>8.3977693558785518</v>
      </c>
      <c r="V321" s="54">
        <v>13.99628225979759</v>
      </c>
      <c r="W321" s="54">
        <v>8.3977693558785518</v>
      </c>
      <c r="X321" s="54">
        <v>83.977693558785518</v>
      </c>
      <c r="Y321" s="54">
        <v>44.788103231352281</v>
      </c>
      <c r="Z321" s="34"/>
      <c r="AA321" s="33">
        <v>7.7538891056646833</v>
      </c>
      <c r="AB321" s="33">
        <v>7.7538891056646833</v>
      </c>
      <c r="AC321" s="34">
        <v>2.584629701888228</v>
      </c>
      <c r="AD321" s="33">
        <v>4.1354075230211649</v>
      </c>
      <c r="AE321" s="34">
        <v>5.1692594037764552</v>
      </c>
      <c r="AF321" s="34">
        <v>3.1015556422658741</v>
      </c>
      <c r="AG321" s="33">
        <v>3.1015556422658741</v>
      </c>
      <c r="AH321" s="34">
        <v>6.2031112845317473</v>
      </c>
      <c r="AI321" s="33">
        <v>5.1692594037764552</v>
      </c>
      <c r="AJ321" s="33">
        <v>6.2031112845317473</v>
      </c>
      <c r="AK321" s="33">
        <v>3.6184815826435188</v>
      </c>
      <c r="AL321" s="34">
        <v>3.6184815826435188</v>
      </c>
      <c r="AM321" s="34">
        <v>1.5507778211329371</v>
      </c>
      <c r="AN321" s="34">
        <v>2.584629701888228</v>
      </c>
      <c r="AO321" s="34">
        <v>1.5507778211329371</v>
      </c>
      <c r="AP321" s="34">
        <v>15.50777821132937</v>
      </c>
      <c r="AQ321" s="34">
        <v>8.2708150460423298</v>
      </c>
      <c r="AR321" s="37"/>
    </row>
    <row r="322" spans="1:44" ht="19.5" customHeight="1">
      <c r="A322" s="62"/>
      <c r="B322" s="76" t="s">
        <v>4231</v>
      </c>
      <c r="C322" s="51" t="s">
        <v>185</v>
      </c>
      <c r="D322" s="63" t="s">
        <v>4232</v>
      </c>
      <c r="E322" s="51">
        <v>5</v>
      </c>
      <c r="F322" s="52">
        <v>456364.65344426798</v>
      </c>
      <c r="G322" s="52">
        <v>129613.7284295633</v>
      </c>
      <c r="H322" s="52">
        <v>585978.38187383139</v>
      </c>
      <c r="I322" s="33">
        <v>158.72859653897589</v>
      </c>
      <c r="J322" s="33">
        <v>158.72859653897589</v>
      </c>
      <c r="K322" s="34">
        <v>52.909532179658619</v>
      </c>
      <c r="L322" s="33">
        <v>84.655251487453796</v>
      </c>
      <c r="M322" s="34">
        <v>105.8190643593172</v>
      </c>
      <c r="N322" s="34">
        <v>63.491438615590347</v>
      </c>
      <c r="O322" s="33">
        <v>63.491438615590347</v>
      </c>
      <c r="P322" s="34">
        <v>126.98287723118069</v>
      </c>
      <c r="Q322" s="33">
        <v>105.8190643593172</v>
      </c>
      <c r="R322" s="33">
        <v>126.98287723118069</v>
      </c>
      <c r="S322" s="33">
        <v>74.073345051522068</v>
      </c>
      <c r="T322" s="34">
        <v>74.073345051522068</v>
      </c>
      <c r="U322" s="34">
        <v>31.745719307795181</v>
      </c>
      <c r="V322" s="34">
        <v>52.909532179658619</v>
      </c>
      <c r="W322" s="34">
        <v>31.745719307795181</v>
      </c>
      <c r="X322" s="34">
        <v>317.45719307795167</v>
      </c>
      <c r="Y322" s="34">
        <v>169.31050297490759</v>
      </c>
      <c r="Z322" s="34"/>
      <c r="AA322" s="33">
        <v>45.081066315143516</v>
      </c>
      <c r="AB322" s="33">
        <v>45.081066315143516</v>
      </c>
      <c r="AC322" s="34">
        <v>15.027022105047839</v>
      </c>
      <c r="AD322" s="33">
        <v>24.043235368076541</v>
      </c>
      <c r="AE322" s="34">
        <v>30.054044210095679</v>
      </c>
      <c r="AF322" s="34">
        <v>18.03242652605741</v>
      </c>
      <c r="AG322" s="33">
        <v>18.03242652605741</v>
      </c>
      <c r="AH322" s="34">
        <v>36.06485305211482</v>
      </c>
      <c r="AI322" s="33">
        <v>30.054044210095679</v>
      </c>
      <c r="AJ322" s="33">
        <v>36.06485305211482</v>
      </c>
      <c r="AK322" s="33">
        <v>21.037830947066979</v>
      </c>
      <c r="AL322" s="34">
        <v>21.037830947066979</v>
      </c>
      <c r="AM322" s="34">
        <v>9.0162132630287051</v>
      </c>
      <c r="AN322" s="34">
        <v>15.027022105047839</v>
      </c>
      <c r="AO322" s="34">
        <v>9.0162132630287051</v>
      </c>
      <c r="AP322" s="34">
        <v>90.162132630287047</v>
      </c>
      <c r="AQ322" s="34">
        <v>48.086470736153089</v>
      </c>
      <c r="AR322" s="39"/>
    </row>
    <row r="323" spans="1:44" ht="19.5" customHeight="1">
      <c r="A323" s="55">
        <f>A321+1</f>
        <v>11</v>
      </c>
      <c r="B323" s="100" t="s">
        <v>386</v>
      </c>
      <c r="C323" s="26" t="s">
        <v>230</v>
      </c>
      <c r="D323" s="28" t="s">
        <v>4243</v>
      </c>
      <c r="E323" s="30"/>
      <c r="F323" s="32">
        <v>146732.68066437889</v>
      </c>
      <c r="G323" s="32">
        <v>10000</v>
      </c>
      <c r="H323" s="32">
        <v>156732.68066437889</v>
      </c>
      <c r="I323" s="33">
        <v>51.035224337554617</v>
      </c>
      <c r="J323" s="33">
        <v>51.035224337554617</v>
      </c>
      <c r="K323" s="34">
        <v>17.011741445851541</v>
      </c>
      <c r="L323" s="33">
        <v>27.218786313362461</v>
      </c>
      <c r="M323" s="34">
        <v>34.023482891703082</v>
      </c>
      <c r="N323" s="34">
        <v>20.41408973502185</v>
      </c>
      <c r="O323" s="33">
        <v>20.41408973502185</v>
      </c>
      <c r="P323" s="34">
        <v>40.828179470043693</v>
      </c>
      <c r="Q323" s="33">
        <v>34.023482891703082</v>
      </c>
      <c r="R323" s="33">
        <v>40.828179470043693</v>
      </c>
      <c r="S323" s="33">
        <v>23.816438024192149</v>
      </c>
      <c r="T323" s="34">
        <v>23.816438024192149</v>
      </c>
      <c r="U323" s="34">
        <v>10.20704486751092</v>
      </c>
      <c r="V323" s="34">
        <v>17.011741445851541</v>
      </c>
      <c r="W323" s="34">
        <v>10.20704486751092</v>
      </c>
      <c r="X323" s="34">
        <v>102.0704486751092</v>
      </c>
      <c r="Y323" s="34">
        <v>54.437572626724922</v>
      </c>
      <c r="Z323" s="34"/>
      <c r="AA323" s="33">
        <v>3.478108905696836</v>
      </c>
      <c r="AB323" s="33">
        <v>3.478108905696836</v>
      </c>
      <c r="AC323" s="34">
        <v>1.159369635232278</v>
      </c>
      <c r="AD323" s="33">
        <v>1.854991416371645</v>
      </c>
      <c r="AE323" s="34">
        <v>2.318739270464556</v>
      </c>
      <c r="AF323" s="34">
        <v>1.391243562278734</v>
      </c>
      <c r="AG323" s="33">
        <v>1.391243562278734</v>
      </c>
      <c r="AH323" s="34">
        <v>2.7824871245574681</v>
      </c>
      <c r="AI323" s="33">
        <v>2.318739270464556</v>
      </c>
      <c r="AJ323" s="33">
        <v>2.7824871245574681</v>
      </c>
      <c r="AK323" s="33">
        <v>1.6231174893251901</v>
      </c>
      <c r="AL323" s="34">
        <v>1.6231174893251901</v>
      </c>
      <c r="AM323" s="34">
        <v>0.69562178113936712</v>
      </c>
      <c r="AN323" s="34">
        <v>1.159369635232278</v>
      </c>
      <c r="AO323" s="34">
        <v>0.69562178113936712</v>
      </c>
      <c r="AP323" s="34">
        <v>6.956217811393671</v>
      </c>
      <c r="AQ323" s="34">
        <v>3.7099828327432909</v>
      </c>
      <c r="AR323" s="39"/>
    </row>
    <row r="324" spans="1:44" ht="19.5" customHeight="1">
      <c r="A324" s="55">
        <f t="shared" ref="A324:A326" si="30">A323+1</f>
        <v>12</v>
      </c>
      <c r="B324" s="100" t="s">
        <v>4256</v>
      </c>
      <c r="C324" s="26" t="s">
        <v>94</v>
      </c>
      <c r="D324" s="28" t="s">
        <v>4257</v>
      </c>
      <c r="E324" s="30"/>
      <c r="F324" s="32">
        <v>120723.20884092709</v>
      </c>
      <c r="G324" s="32">
        <v>27466.124032541102</v>
      </c>
      <c r="H324" s="32">
        <v>148189.3328734682</v>
      </c>
      <c r="I324" s="33">
        <v>41.988846779392759</v>
      </c>
      <c r="J324" s="33">
        <v>41.988846779392759</v>
      </c>
      <c r="K324" s="34">
        <v>13.99628225979759</v>
      </c>
      <c r="L324" s="33">
        <v>22.39405161567614</v>
      </c>
      <c r="M324" s="34">
        <v>27.99256451959517</v>
      </c>
      <c r="N324" s="34">
        <v>16.7955387117571</v>
      </c>
      <c r="O324" s="33">
        <v>16.7955387117571</v>
      </c>
      <c r="P324" s="34">
        <v>33.591077423514207</v>
      </c>
      <c r="Q324" s="33">
        <v>27.99256451959517</v>
      </c>
      <c r="R324" s="33">
        <v>33.591077423514207</v>
      </c>
      <c r="S324" s="33">
        <v>19.594795163716618</v>
      </c>
      <c r="T324" s="34">
        <v>19.594795163716618</v>
      </c>
      <c r="U324" s="34">
        <v>8.3977693558785518</v>
      </c>
      <c r="V324" s="34">
        <v>13.99628225979759</v>
      </c>
      <c r="W324" s="34">
        <v>8.3977693558785518</v>
      </c>
      <c r="X324" s="34">
        <v>83.977693558785518</v>
      </c>
      <c r="Y324" s="34">
        <v>44.788103231352281</v>
      </c>
      <c r="Z324" s="54"/>
      <c r="AA324" s="33">
        <v>9.5530170602555078</v>
      </c>
      <c r="AB324" s="33">
        <v>9.5530170602555078</v>
      </c>
      <c r="AC324" s="34">
        <v>3.1843390200851691</v>
      </c>
      <c r="AD324" s="33">
        <v>5.0949424321362713</v>
      </c>
      <c r="AE324" s="34">
        <v>6.3686780401703382</v>
      </c>
      <c r="AF324" s="34">
        <v>3.821206824102203</v>
      </c>
      <c r="AG324" s="33">
        <v>3.821206824102203</v>
      </c>
      <c r="AH324" s="34">
        <v>7.6424136482044069</v>
      </c>
      <c r="AI324" s="33">
        <v>6.3686780401703382</v>
      </c>
      <c r="AJ324" s="33">
        <v>7.6424136482044069</v>
      </c>
      <c r="AK324" s="33">
        <v>4.4580746281192374</v>
      </c>
      <c r="AL324" s="34">
        <v>4.4580746281192374</v>
      </c>
      <c r="AM324" s="34">
        <v>1.910603412051102</v>
      </c>
      <c r="AN324" s="34">
        <v>3.1843390200851691</v>
      </c>
      <c r="AO324" s="34">
        <v>1.910603412051102</v>
      </c>
      <c r="AP324" s="34">
        <v>19.106034120511019</v>
      </c>
      <c r="AQ324" s="34">
        <v>10.189884864272541</v>
      </c>
      <c r="AR324" s="39"/>
    </row>
    <row r="325" spans="1:44" ht="19.5" customHeight="1">
      <c r="A325" s="55">
        <f t="shared" si="30"/>
        <v>13</v>
      </c>
      <c r="B325" s="129" t="s">
        <v>133</v>
      </c>
      <c r="C325" s="26" t="s">
        <v>94</v>
      </c>
      <c r="D325" s="28" t="s">
        <v>4265</v>
      </c>
      <c r="E325" s="30"/>
      <c r="F325" s="32">
        <v>31356.677621020041</v>
      </c>
      <c r="G325" s="32">
        <v>47744.300047854493</v>
      </c>
      <c r="H325" s="32">
        <v>79100.977668874533</v>
      </c>
      <c r="I325" s="33">
        <v>10.90619396867344</v>
      </c>
      <c r="J325" s="33">
        <v>10.90619396867344</v>
      </c>
      <c r="K325" s="34">
        <v>3.6353979895578141</v>
      </c>
      <c r="L325" s="33">
        <v>5.8166367832925037</v>
      </c>
      <c r="M325" s="34">
        <v>7.2707959791156282</v>
      </c>
      <c r="N325" s="34">
        <v>4.3624775874693782</v>
      </c>
      <c r="O325" s="33">
        <v>4.3624775874693782</v>
      </c>
      <c r="P325" s="34">
        <v>8.7249551749387564</v>
      </c>
      <c r="Q325" s="33">
        <v>7.2707959791156282</v>
      </c>
      <c r="R325" s="33">
        <v>8.7249551749387564</v>
      </c>
      <c r="S325" s="33">
        <v>5.0895571853809409</v>
      </c>
      <c r="T325" s="34">
        <v>5.0895571853809409</v>
      </c>
      <c r="U325" s="34">
        <v>2.1812387937346891</v>
      </c>
      <c r="V325" s="34">
        <v>3.6353979895578141</v>
      </c>
      <c r="W325" s="34">
        <v>2.1812387937346891</v>
      </c>
      <c r="X325" s="34">
        <v>21.812387937346891</v>
      </c>
      <c r="Y325" s="34">
        <v>11.633273566585011</v>
      </c>
      <c r="Z325" s="54"/>
      <c r="AA325" s="33">
        <v>16.60598751927045</v>
      </c>
      <c r="AB325" s="33">
        <v>16.60598751927045</v>
      </c>
      <c r="AC325" s="34">
        <v>5.535329173090151</v>
      </c>
      <c r="AD325" s="33">
        <v>8.8565266769442417</v>
      </c>
      <c r="AE325" s="34">
        <v>11.0706583461803</v>
      </c>
      <c r="AF325" s="34">
        <v>6.6423950077081821</v>
      </c>
      <c r="AG325" s="33">
        <v>6.6423950077081821</v>
      </c>
      <c r="AH325" s="34">
        <v>13.284790015416361</v>
      </c>
      <c r="AI325" s="33">
        <v>11.0706583461803</v>
      </c>
      <c r="AJ325" s="33">
        <v>13.284790015416361</v>
      </c>
      <c r="AK325" s="33">
        <v>7.7494608423262124</v>
      </c>
      <c r="AL325" s="34">
        <v>7.7494608423262124</v>
      </c>
      <c r="AM325" s="34">
        <v>3.3211975038540911</v>
      </c>
      <c r="AN325" s="34">
        <v>5.535329173090151</v>
      </c>
      <c r="AO325" s="34">
        <v>3.3211975038540911</v>
      </c>
      <c r="AP325" s="34">
        <v>33.211975038540913</v>
      </c>
      <c r="AQ325" s="34">
        <v>17.71305335388848</v>
      </c>
      <c r="AR325" s="37"/>
    </row>
    <row r="326" spans="1:44" ht="19.5" customHeight="1">
      <c r="A326" s="55">
        <f t="shared" si="30"/>
        <v>14</v>
      </c>
      <c r="B326" s="100" t="s">
        <v>4276</v>
      </c>
      <c r="C326" s="26" t="s">
        <v>159</v>
      </c>
      <c r="D326" s="28" t="s">
        <v>4277</v>
      </c>
      <c r="E326" s="30"/>
      <c r="F326" s="32">
        <v>128476.9759128241</v>
      </c>
      <c r="G326" s="32">
        <v>15000</v>
      </c>
      <c r="H326" s="32">
        <v>143476.9759128241</v>
      </c>
      <c r="I326" s="53">
        <v>44.685691409939118</v>
      </c>
      <c r="J326" s="53">
        <v>44.685691409939118</v>
      </c>
      <c r="K326" s="54">
        <v>14.895230469979699</v>
      </c>
      <c r="L326" s="53">
        <v>23.832368751967529</v>
      </c>
      <c r="M326" s="54">
        <v>29.790460939959409</v>
      </c>
      <c r="N326" s="54">
        <v>17.874276563975648</v>
      </c>
      <c r="O326" s="53">
        <v>17.874276563975648</v>
      </c>
      <c r="P326" s="54">
        <v>35.748553127951297</v>
      </c>
      <c r="Q326" s="53">
        <v>29.790460939959409</v>
      </c>
      <c r="R326" s="53">
        <v>35.748553127951297</v>
      </c>
      <c r="S326" s="53">
        <v>20.853322657971589</v>
      </c>
      <c r="T326" s="54">
        <v>20.853322657971589</v>
      </c>
      <c r="U326" s="54">
        <v>8.9371382819878242</v>
      </c>
      <c r="V326" s="54">
        <v>14.895230469979699</v>
      </c>
      <c r="W326" s="54">
        <v>8.9371382819878242</v>
      </c>
      <c r="X326" s="54">
        <v>89.371382819878249</v>
      </c>
      <c r="Y326" s="54">
        <v>47.664737503935058</v>
      </c>
      <c r="Z326" s="34"/>
      <c r="AA326" s="33">
        <v>5.2171633585452533</v>
      </c>
      <c r="AB326" s="33">
        <v>5.2171633585452533</v>
      </c>
      <c r="AC326" s="34">
        <v>1.739054452848418</v>
      </c>
      <c r="AD326" s="33">
        <v>2.7824871245574681</v>
      </c>
      <c r="AE326" s="34">
        <v>3.4781089056968351</v>
      </c>
      <c r="AF326" s="34">
        <v>2.086865343418101</v>
      </c>
      <c r="AG326" s="33">
        <v>2.086865343418101</v>
      </c>
      <c r="AH326" s="34">
        <v>4.173730686836203</v>
      </c>
      <c r="AI326" s="33">
        <v>3.4781089056968351</v>
      </c>
      <c r="AJ326" s="33">
        <v>4.173730686836203</v>
      </c>
      <c r="AK326" s="33">
        <v>2.4346762339877852</v>
      </c>
      <c r="AL326" s="34">
        <v>2.4346762339877852</v>
      </c>
      <c r="AM326" s="34">
        <v>1.043432671709051</v>
      </c>
      <c r="AN326" s="34">
        <v>1.739054452848418</v>
      </c>
      <c r="AO326" s="34">
        <v>1.043432671709051</v>
      </c>
      <c r="AP326" s="34">
        <v>10.43432671709051</v>
      </c>
      <c r="AQ326" s="34">
        <v>5.564974249114937</v>
      </c>
      <c r="AR326" s="37"/>
    </row>
    <row r="327" spans="1:44" ht="19.5" customHeight="1">
      <c r="A327" s="49"/>
      <c r="B327" s="14" t="s">
        <v>4286</v>
      </c>
      <c r="C327" s="49" t="s">
        <v>389</v>
      </c>
      <c r="D327" s="50" t="s">
        <v>4289</v>
      </c>
      <c r="E327" s="51">
        <v>4</v>
      </c>
      <c r="F327" s="52">
        <v>427289.54303915019</v>
      </c>
      <c r="G327" s="52">
        <v>100210.42408039561</v>
      </c>
      <c r="H327" s="52">
        <v>527499.96711954579</v>
      </c>
      <c r="I327" s="33">
        <v>148.61595649555991</v>
      </c>
      <c r="J327" s="33">
        <v>148.61595649555991</v>
      </c>
      <c r="K327" s="34">
        <v>49.538652165186647</v>
      </c>
      <c r="L327" s="33">
        <v>79.261843464298636</v>
      </c>
      <c r="M327" s="34">
        <v>99.077304330373295</v>
      </c>
      <c r="N327" s="34">
        <v>59.446382598223977</v>
      </c>
      <c r="O327" s="33">
        <v>59.446382598223977</v>
      </c>
      <c r="P327" s="34">
        <v>118.892765196448</v>
      </c>
      <c r="Q327" s="33">
        <v>99.077304330373295</v>
      </c>
      <c r="R327" s="33">
        <v>118.892765196448</v>
      </c>
      <c r="S327" s="33">
        <v>69.354113031261306</v>
      </c>
      <c r="T327" s="34">
        <v>69.354113031261306</v>
      </c>
      <c r="U327" s="34">
        <v>29.723191299111988</v>
      </c>
      <c r="V327" s="34">
        <v>49.538652165186647</v>
      </c>
      <c r="W327" s="34">
        <v>29.723191299111988</v>
      </c>
      <c r="X327" s="34">
        <v>297.23191299111988</v>
      </c>
      <c r="Y327" s="34">
        <v>158.5236869285973</v>
      </c>
      <c r="Z327" s="34"/>
      <c r="AA327" s="33">
        <v>34.854276843768062</v>
      </c>
      <c r="AB327" s="33">
        <v>34.854276843768062</v>
      </c>
      <c r="AC327" s="34">
        <v>11.61809228125602</v>
      </c>
      <c r="AD327" s="33">
        <v>18.588947650009629</v>
      </c>
      <c r="AE327" s="34">
        <v>23.23618456251203</v>
      </c>
      <c r="AF327" s="34">
        <v>13.94171073750722</v>
      </c>
      <c r="AG327" s="33">
        <v>13.94171073750722</v>
      </c>
      <c r="AH327" s="34">
        <v>27.88342147501444</v>
      </c>
      <c r="AI327" s="33">
        <v>23.23618456251203</v>
      </c>
      <c r="AJ327" s="33">
        <v>27.88342147501444</v>
      </c>
      <c r="AK327" s="33">
        <v>16.265329193758429</v>
      </c>
      <c r="AL327" s="34">
        <v>16.265329193758429</v>
      </c>
      <c r="AM327" s="34">
        <v>6.970855368753611</v>
      </c>
      <c r="AN327" s="34">
        <v>11.61809228125602</v>
      </c>
      <c r="AO327" s="34">
        <v>6.970855368753611</v>
      </c>
      <c r="AP327" s="34">
        <v>69.70855368753611</v>
      </c>
      <c r="AQ327" s="34">
        <v>37.177895300019259</v>
      </c>
      <c r="AR327" s="39"/>
    </row>
    <row r="328" spans="1:44" ht="19.5" customHeight="1">
      <c r="A328" s="55">
        <f>A326+1</f>
        <v>15</v>
      </c>
      <c r="B328" s="16" t="s">
        <v>4302</v>
      </c>
      <c r="C328" s="26" t="s">
        <v>159</v>
      </c>
      <c r="D328" s="28" t="s">
        <v>4303</v>
      </c>
      <c r="E328" s="30"/>
      <c r="F328" s="32">
        <v>120723.20884092709</v>
      </c>
      <c r="G328" s="32">
        <v>38840</v>
      </c>
      <c r="H328" s="32">
        <v>159563.20884092711</v>
      </c>
      <c r="I328" s="33">
        <v>41.988846779392759</v>
      </c>
      <c r="J328" s="33">
        <v>41.988846779392759</v>
      </c>
      <c r="K328" s="34">
        <v>13.99628225979759</v>
      </c>
      <c r="L328" s="33">
        <v>22.39405161567614</v>
      </c>
      <c r="M328" s="34">
        <v>27.99256451959517</v>
      </c>
      <c r="N328" s="34">
        <v>16.7955387117571</v>
      </c>
      <c r="O328" s="33">
        <v>16.7955387117571</v>
      </c>
      <c r="P328" s="34">
        <v>33.591077423514207</v>
      </c>
      <c r="Q328" s="33">
        <v>27.99256451959517</v>
      </c>
      <c r="R328" s="33">
        <v>33.591077423514207</v>
      </c>
      <c r="S328" s="33">
        <v>19.594795163716618</v>
      </c>
      <c r="T328" s="34">
        <v>19.594795163716618</v>
      </c>
      <c r="U328" s="34">
        <v>8.3977693558785518</v>
      </c>
      <c r="V328" s="34">
        <v>13.99628225979759</v>
      </c>
      <c r="W328" s="34">
        <v>8.3977693558785518</v>
      </c>
      <c r="X328" s="34">
        <v>83.977693558785518</v>
      </c>
      <c r="Y328" s="34">
        <v>44.788103231352281</v>
      </c>
      <c r="Z328" s="34"/>
      <c r="AA328" s="33">
        <v>13.508974989726511</v>
      </c>
      <c r="AB328" s="33">
        <v>13.508974989726511</v>
      </c>
      <c r="AC328" s="34">
        <v>4.5029916632421676</v>
      </c>
      <c r="AD328" s="33">
        <v>7.2047866611874696</v>
      </c>
      <c r="AE328" s="34">
        <v>9.005983326484337</v>
      </c>
      <c r="AF328" s="34">
        <v>5.4035899958906031</v>
      </c>
      <c r="AG328" s="33">
        <v>5.4035899958906031</v>
      </c>
      <c r="AH328" s="34">
        <v>10.80717999178121</v>
      </c>
      <c r="AI328" s="33">
        <v>9.005983326484337</v>
      </c>
      <c r="AJ328" s="33">
        <v>10.80717999178121</v>
      </c>
      <c r="AK328" s="33">
        <v>6.3041883285390368</v>
      </c>
      <c r="AL328" s="34">
        <v>6.3041883285390368</v>
      </c>
      <c r="AM328" s="34">
        <v>2.701794997945302</v>
      </c>
      <c r="AN328" s="34">
        <v>4.5029916632421676</v>
      </c>
      <c r="AO328" s="34">
        <v>2.701794997945302</v>
      </c>
      <c r="AP328" s="34">
        <v>27.017949979453011</v>
      </c>
      <c r="AQ328" s="34">
        <v>14.409573322374939</v>
      </c>
      <c r="AR328" s="39"/>
    </row>
    <row r="329" spans="1:44" ht="19.5" customHeight="1">
      <c r="A329" s="55">
        <f t="shared" ref="A329:A331" si="31">A328+1</f>
        <v>16</v>
      </c>
      <c r="B329" s="102" t="s">
        <v>4312</v>
      </c>
      <c r="C329" s="185" t="s">
        <v>159</v>
      </c>
      <c r="D329" s="28" t="s">
        <v>4315</v>
      </c>
      <c r="E329" s="30"/>
      <c r="F329" s="32">
        <v>128476.9759128241</v>
      </c>
      <c r="G329" s="32">
        <v>15000</v>
      </c>
      <c r="H329" s="32">
        <v>143476.9759128241</v>
      </c>
      <c r="I329" s="33">
        <v>44.685691409939118</v>
      </c>
      <c r="J329" s="33">
        <v>44.685691409939118</v>
      </c>
      <c r="K329" s="34">
        <v>14.895230469979699</v>
      </c>
      <c r="L329" s="33">
        <v>23.832368751967529</v>
      </c>
      <c r="M329" s="34">
        <v>29.790460939959409</v>
      </c>
      <c r="N329" s="34">
        <v>17.874276563975648</v>
      </c>
      <c r="O329" s="33">
        <v>17.874276563975648</v>
      </c>
      <c r="P329" s="34">
        <v>35.748553127951297</v>
      </c>
      <c r="Q329" s="33">
        <v>29.790460939959409</v>
      </c>
      <c r="R329" s="33">
        <v>35.748553127951297</v>
      </c>
      <c r="S329" s="33">
        <v>20.853322657971589</v>
      </c>
      <c r="T329" s="34">
        <v>20.853322657971589</v>
      </c>
      <c r="U329" s="34">
        <v>8.9371382819878242</v>
      </c>
      <c r="V329" s="34">
        <v>14.895230469979699</v>
      </c>
      <c r="W329" s="34">
        <v>8.9371382819878242</v>
      </c>
      <c r="X329" s="34">
        <v>89.371382819878249</v>
      </c>
      <c r="Y329" s="34">
        <v>47.664737503935058</v>
      </c>
      <c r="Z329" s="34"/>
      <c r="AA329" s="33">
        <v>5.2171633585452533</v>
      </c>
      <c r="AB329" s="33">
        <v>5.2171633585452533</v>
      </c>
      <c r="AC329" s="34">
        <v>1.739054452848418</v>
      </c>
      <c r="AD329" s="33">
        <v>2.7824871245574681</v>
      </c>
      <c r="AE329" s="34">
        <v>3.4781089056968351</v>
      </c>
      <c r="AF329" s="34">
        <v>2.086865343418101</v>
      </c>
      <c r="AG329" s="33">
        <v>2.086865343418101</v>
      </c>
      <c r="AH329" s="34">
        <v>4.173730686836203</v>
      </c>
      <c r="AI329" s="33">
        <v>3.4781089056968351</v>
      </c>
      <c r="AJ329" s="33">
        <v>4.173730686836203</v>
      </c>
      <c r="AK329" s="33">
        <v>2.4346762339877852</v>
      </c>
      <c r="AL329" s="34">
        <v>2.4346762339877852</v>
      </c>
      <c r="AM329" s="34">
        <v>1.043432671709051</v>
      </c>
      <c r="AN329" s="34">
        <v>1.739054452848418</v>
      </c>
      <c r="AO329" s="34">
        <v>1.043432671709051</v>
      </c>
      <c r="AP329" s="34">
        <v>10.43432671709051</v>
      </c>
      <c r="AQ329" s="34">
        <v>5.564974249114937</v>
      </c>
      <c r="AR329" s="39"/>
    </row>
    <row r="330" spans="1:44" ht="19.5" customHeight="1">
      <c r="A330" s="55">
        <f t="shared" si="31"/>
        <v>17</v>
      </c>
      <c r="B330" s="129" t="s">
        <v>133</v>
      </c>
      <c r="C330" s="185" t="s">
        <v>94</v>
      </c>
      <c r="D330" s="101" t="s">
        <v>4322</v>
      </c>
      <c r="E330" s="30"/>
      <c r="F330" s="32">
        <v>20904.451747346691</v>
      </c>
      <c r="G330" s="32">
        <v>30320.349471827802</v>
      </c>
      <c r="H330" s="32">
        <v>51224.801219174493</v>
      </c>
      <c r="I330" s="33">
        <v>7.27079597911563</v>
      </c>
      <c r="J330" s="33">
        <v>7.27079597911563</v>
      </c>
      <c r="K330" s="34">
        <v>2.4235986597052102</v>
      </c>
      <c r="L330" s="33">
        <v>3.8777578555283361</v>
      </c>
      <c r="M330" s="34">
        <v>4.8471973194104194</v>
      </c>
      <c r="N330" s="34">
        <v>2.9083183916462518</v>
      </c>
      <c r="O330" s="33">
        <v>2.9083183916462518</v>
      </c>
      <c r="P330" s="34">
        <v>5.8166367832925054</v>
      </c>
      <c r="Q330" s="33">
        <v>4.8471973194104194</v>
      </c>
      <c r="R330" s="33">
        <v>5.8166367832925054</v>
      </c>
      <c r="S330" s="33">
        <v>3.393038123587294</v>
      </c>
      <c r="T330" s="34">
        <v>3.393038123587294</v>
      </c>
      <c r="U330" s="34">
        <v>1.4541591958231259</v>
      </c>
      <c r="V330" s="34">
        <v>2.4235986597052102</v>
      </c>
      <c r="W330" s="34">
        <v>1.4541591958231259</v>
      </c>
      <c r="X330" s="34">
        <v>14.54159195823126</v>
      </c>
      <c r="Y330" s="34">
        <v>7.7555157110566721</v>
      </c>
      <c r="Z330" s="54"/>
      <c r="AA330" s="33">
        <v>10.545747752180461</v>
      </c>
      <c r="AB330" s="33">
        <v>10.545747752180461</v>
      </c>
      <c r="AC330" s="34">
        <v>3.51524925072682</v>
      </c>
      <c r="AD330" s="33">
        <v>5.6243988011629122</v>
      </c>
      <c r="AE330" s="34">
        <v>7.0304985014536401</v>
      </c>
      <c r="AF330" s="34">
        <v>4.2182991008721844</v>
      </c>
      <c r="AG330" s="33">
        <v>4.2182991008721844</v>
      </c>
      <c r="AH330" s="34">
        <v>8.4365982017443688</v>
      </c>
      <c r="AI330" s="33">
        <v>7.0304985014536401</v>
      </c>
      <c r="AJ330" s="33">
        <v>8.4365982017443688</v>
      </c>
      <c r="AK330" s="33">
        <v>4.9213489510175483</v>
      </c>
      <c r="AL330" s="34">
        <v>4.9213489510175483</v>
      </c>
      <c r="AM330" s="34">
        <v>2.1091495504360922</v>
      </c>
      <c r="AN330" s="34">
        <v>3.51524925072682</v>
      </c>
      <c r="AO330" s="34">
        <v>2.1091495504360922</v>
      </c>
      <c r="AP330" s="34">
        <v>21.091495504360921</v>
      </c>
      <c r="AQ330" s="34">
        <v>11.248797602325819</v>
      </c>
      <c r="AR330" s="39"/>
    </row>
    <row r="331" spans="1:44" ht="19.5" customHeight="1">
      <c r="A331" s="55">
        <f t="shared" si="31"/>
        <v>18</v>
      </c>
      <c r="B331" s="100" t="s">
        <v>4333</v>
      </c>
      <c r="C331" s="26" t="s">
        <v>230</v>
      </c>
      <c r="D331" s="28" t="s">
        <v>4334</v>
      </c>
      <c r="E331" s="30"/>
      <c r="F331" s="32">
        <v>147635.65100692891</v>
      </c>
      <c r="G331" s="32">
        <v>15900</v>
      </c>
      <c r="H331" s="32">
        <v>163535.65100692891</v>
      </c>
      <c r="I331" s="53">
        <v>51.349287256554952</v>
      </c>
      <c r="J331" s="53">
        <v>51.349287256554952</v>
      </c>
      <c r="K331" s="54">
        <v>17.11642908551832</v>
      </c>
      <c r="L331" s="53">
        <v>27.38628653682931</v>
      </c>
      <c r="M331" s="54">
        <v>34.232858171036632</v>
      </c>
      <c r="N331" s="54">
        <v>20.539714902621981</v>
      </c>
      <c r="O331" s="53">
        <v>20.539714902621981</v>
      </c>
      <c r="P331" s="54">
        <v>41.079429805243961</v>
      </c>
      <c r="Q331" s="53">
        <v>34.232858171036632</v>
      </c>
      <c r="R331" s="53">
        <v>41.079429805243961</v>
      </c>
      <c r="S331" s="53">
        <v>23.963000719725649</v>
      </c>
      <c r="T331" s="54">
        <v>23.963000719725649</v>
      </c>
      <c r="U331" s="54">
        <v>10.26985745131099</v>
      </c>
      <c r="V331" s="54">
        <v>17.11642908551832</v>
      </c>
      <c r="W331" s="54">
        <v>10.26985745131099</v>
      </c>
      <c r="X331" s="54">
        <v>102.6985745131099</v>
      </c>
      <c r="Y331" s="54">
        <v>54.772573073658613</v>
      </c>
      <c r="Z331" s="34"/>
      <c r="AA331" s="33">
        <v>5.5301931600579666</v>
      </c>
      <c r="AB331" s="33">
        <v>5.5301931600579666</v>
      </c>
      <c r="AC331" s="34">
        <v>1.8433977200193219</v>
      </c>
      <c r="AD331" s="33">
        <v>2.9494363520309159</v>
      </c>
      <c r="AE331" s="34">
        <v>3.6867954400386451</v>
      </c>
      <c r="AF331" s="34">
        <v>2.2120772640231872</v>
      </c>
      <c r="AG331" s="33">
        <v>2.2120772640231872</v>
      </c>
      <c r="AH331" s="34">
        <v>4.4241545280463743</v>
      </c>
      <c r="AI331" s="33">
        <v>3.6867954400386451</v>
      </c>
      <c r="AJ331" s="33">
        <v>4.4241545280463743</v>
      </c>
      <c r="AK331" s="33">
        <v>2.580756808027052</v>
      </c>
      <c r="AL331" s="34">
        <v>2.580756808027052</v>
      </c>
      <c r="AM331" s="34">
        <v>1.106038632011594</v>
      </c>
      <c r="AN331" s="34">
        <v>1.8433977200193219</v>
      </c>
      <c r="AO331" s="34">
        <v>1.106038632011594</v>
      </c>
      <c r="AP331" s="34">
        <v>11.06038632011593</v>
      </c>
      <c r="AQ331" s="34">
        <v>5.8988727040618327</v>
      </c>
      <c r="AR331" s="37"/>
    </row>
    <row r="332" spans="1:44" ht="19.5" customHeight="1">
      <c r="A332" s="62"/>
      <c r="B332" s="14" t="s">
        <v>4343</v>
      </c>
      <c r="C332" s="49" t="s">
        <v>185</v>
      </c>
      <c r="D332" s="50" t="s">
        <v>4344</v>
      </c>
      <c r="E332" s="51">
        <v>4</v>
      </c>
      <c r="F332" s="52">
        <v>417740.28750802681</v>
      </c>
      <c r="G332" s="52">
        <v>100060.34947182779</v>
      </c>
      <c r="H332" s="52">
        <v>517800.63697985461</v>
      </c>
      <c r="I332" s="33">
        <v>145.29462142500239</v>
      </c>
      <c r="J332" s="33">
        <v>145.29462142500239</v>
      </c>
      <c r="K332" s="34">
        <v>48.431540475000823</v>
      </c>
      <c r="L332" s="33">
        <v>77.490464760001302</v>
      </c>
      <c r="M332" s="34">
        <v>96.863080950001631</v>
      </c>
      <c r="N332" s="34">
        <v>58.11784857000098</v>
      </c>
      <c r="O332" s="33">
        <v>58.11784857000098</v>
      </c>
      <c r="P332" s="34">
        <v>116.235697140002</v>
      </c>
      <c r="Q332" s="33">
        <v>96.863080950001631</v>
      </c>
      <c r="R332" s="33">
        <v>116.235697140002</v>
      </c>
      <c r="S332" s="33">
        <v>67.804156665001145</v>
      </c>
      <c r="T332" s="34">
        <v>67.804156665001145</v>
      </c>
      <c r="U332" s="34">
        <v>29.05892428500049</v>
      </c>
      <c r="V332" s="34">
        <v>48.431540475000823</v>
      </c>
      <c r="W332" s="34">
        <v>29.05892428500049</v>
      </c>
      <c r="X332" s="34">
        <v>290.58924285000489</v>
      </c>
      <c r="Y332" s="34">
        <v>154.9809295200026</v>
      </c>
      <c r="Z332" s="34"/>
      <c r="AA332" s="33">
        <v>34.80207926051019</v>
      </c>
      <c r="AB332" s="33">
        <v>34.80207926051019</v>
      </c>
      <c r="AC332" s="34">
        <v>11.60069308683673</v>
      </c>
      <c r="AD332" s="33">
        <v>18.561108938938769</v>
      </c>
      <c r="AE332" s="34">
        <v>23.201386173673459</v>
      </c>
      <c r="AF332" s="34">
        <v>13.92083170420408</v>
      </c>
      <c r="AG332" s="33">
        <v>13.92083170420408</v>
      </c>
      <c r="AH332" s="34">
        <v>27.841663408408149</v>
      </c>
      <c r="AI332" s="33">
        <v>23.201386173673459</v>
      </c>
      <c r="AJ332" s="33">
        <v>27.841663408408149</v>
      </c>
      <c r="AK332" s="33">
        <v>16.240970321571421</v>
      </c>
      <c r="AL332" s="34">
        <v>16.240970321571421</v>
      </c>
      <c r="AM332" s="34">
        <v>6.9604158521020381</v>
      </c>
      <c r="AN332" s="34">
        <v>11.60069308683673</v>
      </c>
      <c r="AO332" s="34">
        <v>6.9604158521020381</v>
      </c>
      <c r="AP332" s="34">
        <v>69.604158521020381</v>
      </c>
      <c r="AQ332" s="34">
        <v>37.122217877877532</v>
      </c>
      <c r="AR332" s="39"/>
    </row>
    <row r="333" spans="1:44" ht="19.5" customHeight="1">
      <c r="A333" s="55">
        <f>A331+1</f>
        <v>19</v>
      </c>
      <c r="B333" s="101" t="s">
        <v>4354</v>
      </c>
      <c r="C333" s="58" t="s">
        <v>132</v>
      </c>
      <c r="D333" s="101" t="s">
        <v>4355</v>
      </c>
      <c r="E333" s="30"/>
      <c r="F333" s="32">
        <v>82879.119786957497</v>
      </c>
      <c r="G333" s="32">
        <v>20454.842686869189</v>
      </c>
      <c r="H333" s="32">
        <v>103333.9624738267</v>
      </c>
      <c r="I333" s="33">
        <v>28.82626046273317</v>
      </c>
      <c r="J333" s="33">
        <v>28.82626046273317</v>
      </c>
      <c r="K333" s="34">
        <v>9.6087534875777223</v>
      </c>
      <c r="L333" s="33">
        <v>15.37400558012436</v>
      </c>
      <c r="M333" s="34">
        <v>19.217506975155441</v>
      </c>
      <c r="N333" s="34">
        <v>11.530504185093269</v>
      </c>
      <c r="O333" s="33">
        <v>11.530504185093269</v>
      </c>
      <c r="P333" s="34">
        <v>23.061008370186531</v>
      </c>
      <c r="Q333" s="33">
        <v>19.217506975155441</v>
      </c>
      <c r="R333" s="33">
        <v>23.061008370186531</v>
      </c>
      <c r="S333" s="33">
        <v>13.452254882608811</v>
      </c>
      <c r="T333" s="34">
        <v>13.452254882608811</v>
      </c>
      <c r="U333" s="34">
        <v>5.7652520925466337</v>
      </c>
      <c r="V333" s="34">
        <v>9.6087534875777223</v>
      </c>
      <c r="W333" s="34">
        <v>5.7652520925466337</v>
      </c>
      <c r="X333" s="34">
        <v>57.652520925466327</v>
      </c>
      <c r="Y333" s="34">
        <v>30.748011160248709</v>
      </c>
      <c r="Z333" s="34"/>
      <c r="AA333" s="33">
        <v>7.11441705138275</v>
      </c>
      <c r="AB333" s="33">
        <v>7.11441705138275</v>
      </c>
      <c r="AC333" s="34">
        <v>2.371472350460917</v>
      </c>
      <c r="AD333" s="33">
        <v>3.7943557607374672</v>
      </c>
      <c r="AE333" s="34">
        <v>4.7429447009218331</v>
      </c>
      <c r="AF333" s="34">
        <v>2.8457668205530999</v>
      </c>
      <c r="AG333" s="33">
        <v>2.8457668205530999</v>
      </c>
      <c r="AH333" s="34">
        <v>5.6915336411061999</v>
      </c>
      <c r="AI333" s="33">
        <v>4.7429447009218331</v>
      </c>
      <c r="AJ333" s="33">
        <v>5.6915336411061999</v>
      </c>
      <c r="AK333" s="33">
        <v>3.3200612906452829</v>
      </c>
      <c r="AL333" s="34">
        <v>3.3200612906452829</v>
      </c>
      <c r="AM333" s="34">
        <v>1.42288341027655</v>
      </c>
      <c r="AN333" s="34">
        <v>2.371472350460917</v>
      </c>
      <c r="AO333" s="34">
        <v>1.42288341027655</v>
      </c>
      <c r="AP333" s="34">
        <v>14.2288341027655</v>
      </c>
      <c r="AQ333" s="34">
        <v>7.5887115214749334</v>
      </c>
      <c r="AR333" s="39"/>
    </row>
    <row r="334" spans="1:44" ht="19.5" customHeight="1">
      <c r="A334" s="55">
        <f t="shared" ref="A334:A336" si="32">A333+1</f>
        <v>20</v>
      </c>
      <c r="B334" s="186" t="s">
        <v>133</v>
      </c>
      <c r="C334" s="64" t="s">
        <v>94</v>
      </c>
      <c r="D334" s="187" t="s">
        <v>4368</v>
      </c>
      <c r="E334" s="30"/>
      <c r="F334" s="32">
        <v>33151.647914783003</v>
      </c>
      <c r="G334" s="32">
        <v>17454.8426868692</v>
      </c>
      <c r="H334" s="32">
        <v>50606.4906016522</v>
      </c>
      <c r="I334" s="33">
        <v>11.530504185093269</v>
      </c>
      <c r="J334" s="33">
        <v>11.530504185093269</v>
      </c>
      <c r="K334" s="34">
        <v>3.843501395031089</v>
      </c>
      <c r="L334" s="33">
        <v>6.1496022320497437</v>
      </c>
      <c r="M334" s="34">
        <v>7.6870027900621789</v>
      </c>
      <c r="N334" s="34">
        <v>4.6122016740373084</v>
      </c>
      <c r="O334" s="33">
        <v>4.6122016740373084</v>
      </c>
      <c r="P334" s="34">
        <v>9.224403348074615</v>
      </c>
      <c r="Q334" s="33">
        <v>7.6870027900621789</v>
      </c>
      <c r="R334" s="33">
        <v>9.224403348074615</v>
      </c>
      <c r="S334" s="33">
        <v>5.3809019530435256</v>
      </c>
      <c r="T334" s="34">
        <v>5.3809019530435256</v>
      </c>
      <c r="U334" s="34">
        <v>2.3061008370186542</v>
      </c>
      <c r="V334" s="34">
        <v>3.843501395031089</v>
      </c>
      <c r="W334" s="34">
        <v>2.3061008370186542</v>
      </c>
      <c r="X334" s="34">
        <v>23.061008370186538</v>
      </c>
      <c r="Y334" s="34">
        <v>12.299204464099491</v>
      </c>
      <c r="Z334" s="34"/>
      <c r="AA334" s="33">
        <v>6.0709843796737042</v>
      </c>
      <c r="AB334" s="33">
        <v>6.0709843796737042</v>
      </c>
      <c r="AC334" s="34">
        <v>2.023661459891235</v>
      </c>
      <c r="AD334" s="33">
        <v>3.237858335825976</v>
      </c>
      <c r="AE334" s="34">
        <v>4.0473229197824692</v>
      </c>
      <c r="AF334" s="34">
        <v>2.428393751869482</v>
      </c>
      <c r="AG334" s="33">
        <v>2.428393751869482</v>
      </c>
      <c r="AH334" s="34">
        <v>4.8567875037389632</v>
      </c>
      <c r="AI334" s="33">
        <v>4.0473229197824692</v>
      </c>
      <c r="AJ334" s="33">
        <v>4.8567875037389632</v>
      </c>
      <c r="AK334" s="33">
        <v>2.833126043847729</v>
      </c>
      <c r="AL334" s="34">
        <v>2.833126043847729</v>
      </c>
      <c r="AM334" s="34">
        <v>1.214196875934741</v>
      </c>
      <c r="AN334" s="34">
        <v>2.023661459891235</v>
      </c>
      <c r="AO334" s="34">
        <v>1.214196875934741</v>
      </c>
      <c r="AP334" s="34">
        <v>12.14196875934741</v>
      </c>
      <c r="AQ334" s="34">
        <v>6.4757166716519512</v>
      </c>
      <c r="AR334" s="39"/>
    </row>
    <row r="335" spans="1:44" ht="19.5" customHeight="1">
      <c r="A335" s="55">
        <f t="shared" si="32"/>
        <v>21</v>
      </c>
      <c r="B335" s="16" t="s">
        <v>4379</v>
      </c>
      <c r="C335" s="26" t="s">
        <v>930</v>
      </c>
      <c r="D335" s="188" t="s">
        <v>4382</v>
      </c>
      <c r="E335" s="30"/>
      <c r="F335" s="32">
        <v>66000</v>
      </c>
      <c r="G335" s="32">
        <v>20454.842686869189</v>
      </c>
      <c r="H335" s="32">
        <v>86454.842686869189</v>
      </c>
      <c r="I335" s="33">
        <v>22.95551877759911</v>
      </c>
      <c r="J335" s="33">
        <v>22.95551877759911</v>
      </c>
      <c r="K335" s="34">
        <v>7.6518395925330376</v>
      </c>
      <c r="L335" s="33">
        <v>12.24294334805286</v>
      </c>
      <c r="M335" s="34">
        <v>15.30367918506608</v>
      </c>
      <c r="N335" s="34">
        <v>9.1822075110396462</v>
      </c>
      <c r="O335" s="33">
        <v>9.1822075110396462</v>
      </c>
      <c r="P335" s="34">
        <v>18.364415022079289</v>
      </c>
      <c r="Q335" s="33">
        <v>15.30367918506608</v>
      </c>
      <c r="R335" s="33">
        <v>18.364415022079289</v>
      </c>
      <c r="S335" s="33">
        <v>10.71257542954625</v>
      </c>
      <c r="T335" s="34">
        <v>10.71257542954625</v>
      </c>
      <c r="U335" s="34">
        <v>4.5911037555198231</v>
      </c>
      <c r="V335" s="34">
        <v>7.6518395925330376</v>
      </c>
      <c r="W335" s="34">
        <v>4.5911037555198231</v>
      </c>
      <c r="X335" s="34">
        <v>45.911037555198227</v>
      </c>
      <c r="Y335" s="34">
        <v>24.48588669610572</v>
      </c>
      <c r="Z335" s="34"/>
      <c r="AA335" s="33">
        <v>7.11441705138275</v>
      </c>
      <c r="AB335" s="33">
        <v>7.11441705138275</v>
      </c>
      <c r="AC335" s="34">
        <v>2.371472350460917</v>
      </c>
      <c r="AD335" s="33">
        <v>3.7943557607374672</v>
      </c>
      <c r="AE335" s="34">
        <v>4.7429447009218331</v>
      </c>
      <c r="AF335" s="34">
        <v>2.8457668205530999</v>
      </c>
      <c r="AG335" s="33">
        <v>2.8457668205530999</v>
      </c>
      <c r="AH335" s="34">
        <v>5.6915336411061999</v>
      </c>
      <c r="AI335" s="33">
        <v>4.7429447009218331</v>
      </c>
      <c r="AJ335" s="33">
        <v>5.6915336411061999</v>
      </c>
      <c r="AK335" s="33">
        <v>3.3200612906452829</v>
      </c>
      <c r="AL335" s="34">
        <v>3.3200612906452829</v>
      </c>
      <c r="AM335" s="34">
        <v>1.42288341027655</v>
      </c>
      <c r="AN335" s="34">
        <v>2.371472350460917</v>
      </c>
      <c r="AO335" s="34">
        <v>1.42288341027655</v>
      </c>
      <c r="AP335" s="34">
        <v>14.2288341027655</v>
      </c>
      <c r="AQ335" s="34">
        <v>7.5887115214749334</v>
      </c>
      <c r="AR335" s="39"/>
    </row>
    <row r="336" spans="1:44" ht="19.5" customHeight="1">
      <c r="A336" s="55">
        <f t="shared" si="32"/>
        <v>22</v>
      </c>
      <c r="B336" s="186" t="s">
        <v>133</v>
      </c>
      <c r="C336" s="64" t="s">
        <v>94</v>
      </c>
      <c r="D336" s="28" t="s">
        <v>4392</v>
      </c>
      <c r="E336" s="30"/>
      <c r="F336" s="32">
        <v>33151.647914783003</v>
      </c>
      <c r="G336" s="32">
        <v>20341</v>
      </c>
      <c r="H336" s="32">
        <v>53492.647914783003</v>
      </c>
      <c r="I336" s="53">
        <v>11.530504185093269</v>
      </c>
      <c r="J336" s="53">
        <v>11.530504185093269</v>
      </c>
      <c r="K336" s="54">
        <v>3.843501395031089</v>
      </c>
      <c r="L336" s="53">
        <v>6.1496022320497437</v>
      </c>
      <c r="M336" s="54">
        <v>7.6870027900621789</v>
      </c>
      <c r="N336" s="54">
        <v>4.6122016740373084</v>
      </c>
      <c r="O336" s="53">
        <v>4.6122016740373084</v>
      </c>
      <c r="P336" s="54">
        <v>9.224403348074615</v>
      </c>
      <c r="Q336" s="53">
        <v>7.6870027900621789</v>
      </c>
      <c r="R336" s="53">
        <v>9.224403348074615</v>
      </c>
      <c r="S336" s="53">
        <v>5.3809019530435256</v>
      </c>
      <c r="T336" s="54">
        <v>5.3809019530435256</v>
      </c>
      <c r="U336" s="54">
        <v>2.3061008370186542</v>
      </c>
      <c r="V336" s="54">
        <v>3.843501395031089</v>
      </c>
      <c r="W336" s="54">
        <v>2.3061008370186542</v>
      </c>
      <c r="X336" s="54">
        <v>23.061008370186538</v>
      </c>
      <c r="Y336" s="54">
        <v>12.299204464099491</v>
      </c>
      <c r="Z336" s="34"/>
      <c r="AA336" s="33">
        <v>7.0748213250779326</v>
      </c>
      <c r="AB336" s="33">
        <v>7.0748213250779326</v>
      </c>
      <c r="AC336" s="34">
        <v>2.3582737750259768</v>
      </c>
      <c r="AD336" s="33">
        <v>3.7732380400415639</v>
      </c>
      <c r="AE336" s="34">
        <v>4.7165475500519536</v>
      </c>
      <c r="AF336" s="34">
        <v>2.829928530031173</v>
      </c>
      <c r="AG336" s="33">
        <v>2.829928530031173</v>
      </c>
      <c r="AH336" s="34">
        <v>5.6598570600623468</v>
      </c>
      <c r="AI336" s="33">
        <v>4.7165475500519536</v>
      </c>
      <c r="AJ336" s="33">
        <v>5.6598570600623468</v>
      </c>
      <c r="AK336" s="33">
        <v>3.3015832850363691</v>
      </c>
      <c r="AL336" s="34">
        <v>3.3015832850363691</v>
      </c>
      <c r="AM336" s="34">
        <v>1.4149642650155869</v>
      </c>
      <c r="AN336" s="34">
        <v>2.3582737750259768</v>
      </c>
      <c r="AO336" s="34">
        <v>1.4149642650155869</v>
      </c>
      <c r="AP336" s="34">
        <v>14.149642650155871</v>
      </c>
      <c r="AQ336" s="34">
        <v>7.5464760800831279</v>
      </c>
      <c r="AR336" s="39"/>
    </row>
    <row r="337" spans="1:44" ht="19.5" customHeight="1">
      <c r="A337" s="62"/>
      <c r="B337" s="50" t="s">
        <v>4399</v>
      </c>
      <c r="C337" s="49" t="s">
        <v>4400</v>
      </c>
      <c r="D337" s="50" t="s">
        <v>4401</v>
      </c>
      <c r="E337" s="51">
        <v>4</v>
      </c>
      <c r="F337" s="52">
        <v>215182.4156165235</v>
      </c>
      <c r="G337" s="52">
        <v>78705.528060607568</v>
      </c>
      <c r="H337" s="52">
        <v>293887.94367713109</v>
      </c>
      <c r="I337" s="33">
        <v>74.842787610518812</v>
      </c>
      <c r="J337" s="33">
        <v>74.842787610518812</v>
      </c>
      <c r="K337" s="34">
        <v>24.94759587017294</v>
      </c>
      <c r="L337" s="33">
        <v>39.916153392276698</v>
      </c>
      <c r="M337" s="34">
        <v>49.895191740345872</v>
      </c>
      <c r="N337" s="34">
        <v>29.93711504420753</v>
      </c>
      <c r="O337" s="33">
        <v>29.93711504420753</v>
      </c>
      <c r="P337" s="34">
        <v>59.874230088415047</v>
      </c>
      <c r="Q337" s="33">
        <v>49.895191740345872</v>
      </c>
      <c r="R337" s="33">
        <v>59.874230088415047</v>
      </c>
      <c r="S337" s="33">
        <v>34.926634218242107</v>
      </c>
      <c r="T337" s="34">
        <v>34.926634218242107</v>
      </c>
      <c r="U337" s="34">
        <v>14.96855752210376</v>
      </c>
      <c r="V337" s="34">
        <v>24.94759587017294</v>
      </c>
      <c r="W337" s="34">
        <v>14.96855752210376</v>
      </c>
      <c r="X337" s="34">
        <v>149.6855752210376</v>
      </c>
      <c r="Y337" s="34">
        <v>79.83230678455341</v>
      </c>
      <c r="Z337" s="34"/>
      <c r="AA337" s="33">
        <v>27.374639807517141</v>
      </c>
      <c r="AB337" s="33">
        <v>27.374639807517141</v>
      </c>
      <c r="AC337" s="34">
        <v>9.1248799358390453</v>
      </c>
      <c r="AD337" s="33">
        <v>14.599807897342471</v>
      </c>
      <c r="AE337" s="34">
        <v>18.249759871678091</v>
      </c>
      <c r="AF337" s="34">
        <v>10.949855923006851</v>
      </c>
      <c r="AG337" s="33">
        <v>10.949855923006851</v>
      </c>
      <c r="AH337" s="34">
        <v>21.899711846013709</v>
      </c>
      <c r="AI337" s="33">
        <v>18.249759871678091</v>
      </c>
      <c r="AJ337" s="33">
        <v>21.899711846013709</v>
      </c>
      <c r="AK337" s="33">
        <v>12.77483191017466</v>
      </c>
      <c r="AL337" s="34">
        <v>12.77483191017466</v>
      </c>
      <c r="AM337" s="34">
        <v>5.4749279615034272</v>
      </c>
      <c r="AN337" s="34">
        <v>9.1248799358390453</v>
      </c>
      <c r="AO337" s="34">
        <v>5.4749279615034272</v>
      </c>
      <c r="AP337" s="34">
        <v>54.749279615034283</v>
      </c>
      <c r="AQ337" s="34">
        <v>29.199615794684949</v>
      </c>
      <c r="AR337" s="39"/>
    </row>
    <row r="338" spans="1:44" ht="19.5" customHeight="1">
      <c r="A338" s="55">
        <f>A336+1</f>
        <v>23</v>
      </c>
      <c r="B338" s="129" t="s">
        <v>133</v>
      </c>
      <c r="C338" s="26" t="s">
        <v>94</v>
      </c>
      <c r="D338" s="56" t="s">
        <v>4410</v>
      </c>
      <c r="E338" s="30"/>
      <c r="F338" s="32">
        <v>50000</v>
      </c>
      <c r="G338" s="32">
        <v>26524.611137696938</v>
      </c>
      <c r="H338" s="32">
        <v>76524.611137696949</v>
      </c>
      <c r="I338" s="33">
        <v>17.39054452848417</v>
      </c>
      <c r="J338" s="33">
        <v>17.39054452848417</v>
      </c>
      <c r="K338" s="34">
        <v>5.796848176161391</v>
      </c>
      <c r="L338" s="33">
        <v>9.2749570818582274</v>
      </c>
      <c r="M338" s="34">
        <v>11.59369635232278</v>
      </c>
      <c r="N338" s="34">
        <v>6.9562178113936701</v>
      </c>
      <c r="O338" s="33">
        <v>6.9562178113936701</v>
      </c>
      <c r="P338" s="34">
        <v>13.91243562278734</v>
      </c>
      <c r="Q338" s="33">
        <v>11.59369635232278</v>
      </c>
      <c r="R338" s="33">
        <v>13.91243562278734</v>
      </c>
      <c r="S338" s="33">
        <v>8.1155874466259483</v>
      </c>
      <c r="T338" s="34">
        <v>8.1155874466259483</v>
      </c>
      <c r="U338" s="34">
        <v>3.4781089056968351</v>
      </c>
      <c r="V338" s="34">
        <v>5.796848176161391</v>
      </c>
      <c r="W338" s="34">
        <v>3.4781089056968351</v>
      </c>
      <c r="X338" s="34">
        <v>34.781089056968348</v>
      </c>
      <c r="Y338" s="34">
        <v>18.549914163716451</v>
      </c>
      <c r="Z338" s="34"/>
      <c r="AA338" s="33">
        <v>9.2255486218169196</v>
      </c>
      <c r="AB338" s="33">
        <v>9.2255486218169196</v>
      </c>
      <c r="AC338" s="34">
        <v>3.075182873938973</v>
      </c>
      <c r="AD338" s="33">
        <v>4.9202925983023569</v>
      </c>
      <c r="AE338" s="34">
        <v>6.1503657478779452</v>
      </c>
      <c r="AF338" s="34">
        <v>3.6902194487267681</v>
      </c>
      <c r="AG338" s="33">
        <v>3.6902194487267681</v>
      </c>
      <c r="AH338" s="34">
        <v>7.3804388974535362</v>
      </c>
      <c r="AI338" s="33">
        <v>6.1503657478779452</v>
      </c>
      <c r="AJ338" s="33">
        <v>7.3804388974535362</v>
      </c>
      <c r="AK338" s="33">
        <v>4.3052560235145627</v>
      </c>
      <c r="AL338" s="34">
        <v>4.3052560235145627</v>
      </c>
      <c r="AM338" s="34">
        <v>1.8451097243633841</v>
      </c>
      <c r="AN338" s="34">
        <v>3.075182873938973</v>
      </c>
      <c r="AO338" s="34">
        <v>1.8451097243633841</v>
      </c>
      <c r="AP338" s="34">
        <v>18.451097243633839</v>
      </c>
      <c r="AQ338" s="34">
        <v>9.8405851966047138</v>
      </c>
      <c r="AR338" s="39"/>
    </row>
    <row r="339" spans="1:44" ht="19.5" customHeight="1">
      <c r="A339" s="55">
        <f t="shared" ref="A339:A342" si="33">A338+1</f>
        <v>24</v>
      </c>
      <c r="B339" s="16" t="s">
        <v>4411</v>
      </c>
      <c r="C339" s="30" t="s">
        <v>230</v>
      </c>
      <c r="D339" s="56" t="s">
        <v>4412</v>
      </c>
      <c r="E339" s="30"/>
      <c r="F339" s="32">
        <v>146732.68066437889</v>
      </c>
      <c r="G339" s="32">
        <v>11146.70258450576</v>
      </c>
      <c r="H339" s="32">
        <v>157879.3832488847</v>
      </c>
      <c r="I339" s="33">
        <v>51.035224337554617</v>
      </c>
      <c r="J339" s="33">
        <v>51.035224337554617</v>
      </c>
      <c r="K339" s="34">
        <v>17.011741445851541</v>
      </c>
      <c r="L339" s="33">
        <v>27.218786313362461</v>
      </c>
      <c r="M339" s="34">
        <v>34.023482891703082</v>
      </c>
      <c r="N339" s="34">
        <v>20.41408973502185</v>
      </c>
      <c r="O339" s="33">
        <v>20.41408973502185</v>
      </c>
      <c r="P339" s="34">
        <v>40.828179470043693</v>
      </c>
      <c r="Q339" s="33">
        <v>34.023482891703082</v>
      </c>
      <c r="R339" s="33">
        <v>40.828179470043693</v>
      </c>
      <c r="S339" s="33">
        <v>23.816438024192149</v>
      </c>
      <c r="T339" s="34">
        <v>23.816438024192149</v>
      </c>
      <c r="U339" s="34">
        <v>10.20704486751092</v>
      </c>
      <c r="V339" s="34">
        <v>17.011741445851541</v>
      </c>
      <c r="W339" s="34">
        <v>10.20704486751092</v>
      </c>
      <c r="X339" s="34">
        <v>102.0704486751092</v>
      </c>
      <c r="Y339" s="34">
        <v>54.437572626724922</v>
      </c>
      <c r="Z339" s="54"/>
      <c r="AA339" s="33">
        <v>3.8769445528323421</v>
      </c>
      <c r="AB339" s="33">
        <v>3.8769445528323421</v>
      </c>
      <c r="AC339" s="34">
        <v>1.292314850944114</v>
      </c>
      <c r="AD339" s="33">
        <v>2.067703761510582</v>
      </c>
      <c r="AE339" s="34">
        <v>2.584629701888228</v>
      </c>
      <c r="AF339" s="34">
        <v>1.5507778211329371</v>
      </c>
      <c r="AG339" s="33">
        <v>1.5507778211329371</v>
      </c>
      <c r="AH339" s="34">
        <v>3.1015556422658741</v>
      </c>
      <c r="AI339" s="33">
        <v>2.584629701888228</v>
      </c>
      <c r="AJ339" s="33">
        <v>3.1015556422658741</v>
      </c>
      <c r="AK339" s="33">
        <v>1.8092407913217601</v>
      </c>
      <c r="AL339" s="34">
        <v>1.8092407913217601</v>
      </c>
      <c r="AM339" s="34">
        <v>0.77538891056646841</v>
      </c>
      <c r="AN339" s="34">
        <v>1.292314850944114</v>
      </c>
      <c r="AO339" s="34">
        <v>0.77538891056646841</v>
      </c>
      <c r="AP339" s="34">
        <v>7.7538891056646833</v>
      </c>
      <c r="AQ339" s="34">
        <v>4.1354075230211649</v>
      </c>
      <c r="AR339" s="39"/>
    </row>
    <row r="340" spans="1:44" ht="19.5" customHeight="1">
      <c r="A340" s="55">
        <f t="shared" si="33"/>
        <v>25</v>
      </c>
      <c r="B340" s="16" t="s">
        <v>2063</v>
      </c>
      <c r="C340" s="30" t="s">
        <v>230</v>
      </c>
      <c r="D340" s="56" t="s">
        <v>4418</v>
      </c>
      <c r="E340" s="30"/>
      <c r="F340" s="32">
        <v>146953.47826547269</v>
      </c>
      <c r="G340" s="32">
        <v>16233.062016270531</v>
      </c>
      <c r="H340" s="32">
        <v>163186.54028174331</v>
      </c>
      <c r="I340" s="33">
        <v>51.112020147826712</v>
      </c>
      <c r="J340" s="33">
        <v>51.112020147826712</v>
      </c>
      <c r="K340" s="34">
        <v>17.037340049275571</v>
      </c>
      <c r="L340" s="33">
        <v>27.25974407884091</v>
      </c>
      <c r="M340" s="34">
        <v>34.074680098551127</v>
      </c>
      <c r="N340" s="34">
        <v>20.44480805913069</v>
      </c>
      <c r="O340" s="33">
        <v>20.44480805913069</v>
      </c>
      <c r="P340" s="34">
        <v>40.889616118261372</v>
      </c>
      <c r="Q340" s="33">
        <v>34.074680098551127</v>
      </c>
      <c r="R340" s="33">
        <v>40.889616118261372</v>
      </c>
      <c r="S340" s="33">
        <v>23.852276068985802</v>
      </c>
      <c r="T340" s="34">
        <v>23.852276068985802</v>
      </c>
      <c r="U340" s="34">
        <v>10.22240402956534</v>
      </c>
      <c r="V340" s="34">
        <v>17.037340049275571</v>
      </c>
      <c r="W340" s="34">
        <v>10.22240402956534</v>
      </c>
      <c r="X340" s="34">
        <v>102.2240402956534</v>
      </c>
      <c r="Y340" s="34">
        <v>54.519488157681828</v>
      </c>
      <c r="Z340" s="34"/>
      <c r="AA340" s="33">
        <v>5.6460357565519539</v>
      </c>
      <c r="AB340" s="33">
        <v>5.6460357565519539</v>
      </c>
      <c r="AC340" s="34">
        <v>1.882011918850651</v>
      </c>
      <c r="AD340" s="33">
        <v>3.011219070161042</v>
      </c>
      <c r="AE340" s="34">
        <v>3.764023837701302</v>
      </c>
      <c r="AF340" s="34">
        <v>2.258414302620781</v>
      </c>
      <c r="AG340" s="33">
        <v>2.258414302620781</v>
      </c>
      <c r="AH340" s="34">
        <v>4.5168286052415629</v>
      </c>
      <c r="AI340" s="33">
        <v>3.764023837701302</v>
      </c>
      <c r="AJ340" s="33">
        <v>4.5168286052415629</v>
      </c>
      <c r="AK340" s="33">
        <v>2.6348166863909119</v>
      </c>
      <c r="AL340" s="34">
        <v>2.6348166863909119</v>
      </c>
      <c r="AM340" s="34">
        <v>1.129207151310391</v>
      </c>
      <c r="AN340" s="34">
        <v>1.882011918850651</v>
      </c>
      <c r="AO340" s="34">
        <v>1.129207151310391</v>
      </c>
      <c r="AP340" s="34">
        <v>11.29207151310391</v>
      </c>
      <c r="AQ340" s="34">
        <v>6.0224381403220839</v>
      </c>
      <c r="AR340" s="37"/>
    </row>
    <row r="341" spans="1:44" ht="19.5" customHeight="1">
      <c r="A341" s="55">
        <f t="shared" si="33"/>
        <v>26</v>
      </c>
      <c r="B341" s="129" t="s">
        <v>133</v>
      </c>
      <c r="C341" s="26" t="s">
        <v>94</v>
      </c>
      <c r="D341" s="16" t="s">
        <v>4426</v>
      </c>
      <c r="E341" s="30"/>
      <c r="F341" s="32">
        <v>20904.451747346691</v>
      </c>
      <c r="G341" s="32">
        <v>44561.346711330858</v>
      </c>
      <c r="H341" s="32">
        <v>65465.798458677549</v>
      </c>
      <c r="I341" s="33">
        <v>7.27079597911563</v>
      </c>
      <c r="J341" s="33">
        <v>7.27079597911563</v>
      </c>
      <c r="K341" s="34">
        <v>2.4235986597052102</v>
      </c>
      <c r="L341" s="33">
        <v>3.8777578555283361</v>
      </c>
      <c r="M341" s="34">
        <v>4.8471973194104194</v>
      </c>
      <c r="N341" s="34">
        <v>2.9083183916462518</v>
      </c>
      <c r="O341" s="33">
        <v>2.9083183916462518</v>
      </c>
      <c r="P341" s="34">
        <v>5.8166367832925054</v>
      </c>
      <c r="Q341" s="33">
        <v>4.8471973194104194</v>
      </c>
      <c r="R341" s="33">
        <v>5.8166367832925054</v>
      </c>
      <c r="S341" s="33">
        <v>3.393038123587294</v>
      </c>
      <c r="T341" s="34">
        <v>3.393038123587294</v>
      </c>
      <c r="U341" s="34">
        <v>1.4541591958231259</v>
      </c>
      <c r="V341" s="34">
        <v>2.4235986597052102</v>
      </c>
      <c r="W341" s="34">
        <v>1.4541591958231259</v>
      </c>
      <c r="X341" s="34">
        <v>14.54159195823126</v>
      </c>
      <c r="Y341" s="34">
        <v>7.7555157110566721</v>
      </c>
      <c r="Z341" s="34"/>
      <c r="AA341" s="33">
        <v>15.49892168465243</v>
      </c>
      <c r="AB341" s="33">
        <v>15.49892168465243</v>
      </c>
      <c r="AC341" s="34">
        <v>5.1663072282174749</v>
      </c>
      <c r="AD341" s="33">
        <v>8.2660915651479598</v>
      </c>
      <c r="AE341" s="34">
        <v>10.33261445643495</v>
      </c>
      <c r="AF341" s="34">
        <v>6.1995686738609708</v>
      </c>
      <c r="AG341" s="33">
        <v>6.1995686738609708</v>
      </c>
      <c r="AH341" s="34">
        <v>12.39913734772194</v>
      </c>
      <c r="AI341" s="33">
        <v>10.33261445643495</v>
      </c>
      <c r="AJ341" s="33">
        <v>12.39913734772194</v>
      </c>
      <c r="AK341" s="33">
        <v>7.2328301195044657</v>
      </c>
      <c r="AL341" s="34">
        <v>7.2328301195044657</v>
      </c>
      <c r="AM341" s="34">
        <v>3.0997843369304849</v>
      </c>
      <c r="AN341" s="34">
        <v>5.1663072282174749</v>
      </c>
      <c r="AO341" s="34">
        <v>3.0997843369304849</v>
      </c>
      <c r="AP341" s="34">
        <v>30.997843369304849</v>
      </c>
      <c r="AQ341" s="34">
        <v>16.53218313029592</v>
      </c>
      <c r="AR341" s="39"/>
    </row>
    <row r="342" spans="1:44" ht="19.5" customHeight="1">
      <c r="A342" s="55">
        <f t="shared" si="33"/>
        <v>27</v>
      </c>
      <c r="B342" s="16" t="s">
        <v>4435</v>
      </c>
      <c r="C342" s="26" t="s">
        <v>159</v>
      </c>
      <c r="D342" s="56" t="s">
        <v>4436</v>
      </c>
      <c r="E342" s="30"/>
      <c r="F342" s="32">
        <v>125200.10396107371</v>
      </c>
      <c r="G342" s="32">
        <v>21219.688910157551</v>
      </c>
      <c r="H342" s="32">
        <v>146419.79287123121</v>
      </c>
      <c r="I342" s="53">
        <v>43.545959658118001</v>
      </c>
      <c r="J342" s="53">
        <v>43.545959658118001</v>
      </c>
      <c r="K342" s="54">
        <v>14.515319886039331</v>
      </c>
      <c r="L342" s="53">
        <v>23.224511817662929</v>
      </c>
      <c r="M342" s="54">
        <v>29.030639772078661</v>
      </c>
      <c r="N342" s="54">
        <v>17.4183838632472</v>
      </c>
      <c r="O342" s="53">
        <v>17.4183838632472</v>
      </c>
      <c r="P342" s="54">
        <v>34.836767726494401</v>
      </c>
      <c r="Q342" s="53">
        <v>29.030639772078661</v>
      </c>
      <c r="R342" s="53">
        <v>34.836767726494401</v>
      </c>
      <c r="S342" s="53">
        <v>20.321447840455061</v>
      </c>
      <c r="T342" s="54">
        <v>20.321447840455061</v>
      </c>
      <c r="U342" s="54">
        <v>8.7091919316236002</v>
      </c>
      <c r="V342" s="54">
        <v>14.515319886039331</v>
      </c>
      <c r="W342" s="54">
        <v>8.7091919316236002</v>
      </c>
      <c r="X342" s="54">
        <v>87.091919316236002</v>
      </c>
      <c r="Y342" s="54">
        <v>46.449023635325872</v>
      </c>
      <c r="Z342" s="54"/>
      <c r="AA342" s="53">
        <v>7.3804388974535353</v>
      </c>
      <c r="AB342" s="53">
        <v>7.3804388974535353</v>
      </c>
      <c r="AC342" s="54">
        <v>2.460146299151178</v>
      </c>
      <c r="AD342" s="53">
        <v>3.9362340786418848</v>
      </c>
      <c r="AE342" s="54">
        <v>4.920292598302356</v>
      </c>
      <c r="AF342" s="54">
        <v>2.952175558981414</v>
      </c>
      <c r="AG342" s="53">
        <v>2.952175558981414</v>
      </c>
      <c r="AH342" s="54">
        <v>5.9043511179628281</v>
      </c>
      <c r="AI342" s="53">
        <v>4.920292598302356</v>
      </c>
      <c r="AJ342" s="53">
        <v>5.9043511179628281</v>
      </c>
      <c r="AK342" s="53">
        <v>3.4442048188116501</v>
      </c>
      <c r="AL342" s="54">
        <v>3.4442048188116501</v>
      </c>
      <c r="AM342" s="54">
        <v>1.476087779490707</v>
      </c>
      <c r="AN342" s="54">
        <v>2.460146299151178</v>
      </c>
      <c r="AO342" s="54">
        <v>1.476087779490707</v>
      </c>
      <c r="AP342" s="54">
        <v>14.760877794907071</v>
      </c>
      <c r="AQ342" s="54">
        <v>7.8724681572837696</v>
      </c>
      <c r="AR342" s="39"/>
    </row>
    <row r="343" spans="1:44" ht="19.5" customHeight="1">
      <c r="A343" s="62"/>
      <c r="B343" s="76" t="s">
        <v>4445</v>
      </c>
      <c r="C343" s="51" t="s">
        <v>389</v>
      </c>
      <c r="D343" s="63" t="s">
        <v>4446</v>
      </c>
      <c r="E343" s="51">
        <v>5</v>
      </c>
      <c r="F343" s="52">
        <v>489790.71463827201</v>
      </c>
      <c r="G343" s="52">
        <v>119685.4113599616</v>
      </c>
      <c r="H343" s="52">
        <v>609476.12599823368</v>
      </c>
      <c r="I343" s="33">
        <v>170.3545446510991</v>
      </c>
      <c r="J343" s="33">
        <v>170.3545446510991</v>
      </c>
      <c r="K343" s="34">
        <v>56.78484821703303</v>
      </c>
      <c r="L343" s="33">
        <v>90.855757147252859</v>
      </c>
      <c r="M343" s="34">
        <v>113.5696964340661</v>
      </c>
      <c r="N343" s="34">
        <v>68.141817860439645</v>
      </c>
      <c r="O343" s="33">
        <v>68.141817860439645</v>
      </c>
      <c r="P343" s="34">
        <v>136.28363572087929</v>
      </c>
      <c r="Q343" s="33">
        <v>113.5696964340661</v>
      </c>
      <c r="R343" s="33">
        <v>136.28363572087929</v>
      </c>
      <c r="S343" s="33">
        <v>79.498787503846245</v>
      </c>
      <c r="T343" s="34">
        <v>79.498787503846245</v>
      </c>
      <c r="U343" s="34">
        <v>34.070908930219822</v>
      </c>
      <c r="V343" s="34">
        <v>56.78484821703303</v>
      </c>
      <c r="W343" s="34">
        <v>34.070908930219822</v>
      </c>
      <c r="X343" s="34">
        <v>340.70908930219821</v>
      </c>
      <c r="Y343" s="34">
        <v>181.71151429450569</v>
      </c>
      <c r="Z343" s="34"/>
      <c r="AA343" s="33">
        <v>41.627889513307167</v>
      </c>
      <c r="AB343" s="33">
        <v>41.627889513307167</v>
      </c>
      <c r="AC343" s="34">
        <v>13.87596317110239</v>
      </c>
      <c r="AD343" s="33">
        <v>22.201541073763821</v>
      </c>
      <c r="AE343" s="34">
        <v>27.751926342204779</v>
      </c>
      <c r="AF343" s="34">
        <v>16.651155805322869</v>
      </c>
      <c r="AG343" s="33">
        <v>16.651155805322869</v>
      </c>
      <c r="AH343" s="34">
        <v>33.302311610645738</v>
      </c>
      <c r="AI343" s="33">
        <v>27.751926342204779</v>
      </c>
      <c r="AJ343" s="33">
        <v>33.302311610645738</v>
      </c>
      <c r="AK343" s="33">
        <v>19.42634843954335</v>
      </c>
      <c r="AL343" s="34">
        <v>19.42634843954335</v>
      </c>
      <c r="AM343" s="34">
        <v>8.3255779026614345</v>
      </c>
      <c r="AN343" s="34">
        <v>13.87596317110239</v>
      </c>
      <c r="AO343" s="34">
        <v>8.3255779026614345</v>
      </c>
      <c r="AP343" s="34">
        <v>83.255779026614334</v>
      </c>
      <c r="AQ343" s="34">
        <v>44.403082147527648</v>
      </c>
      <c r="AR343" s="37"/>
    </row>
    <row r="344" spans="1:44" ht="19.5" customHeight="1">
      <c r="A344" s="55">
        <f>A342+1</f>
        <v>28</v>
      </c>
      <c r="B344" s="102" t="s">
        <v>4457</v>
      </c>
      <c r="C344" s="26" t="s">
        <v>230</v>
      </c>
      <c r="D344" s="101" t="s">
        <v>4458</v>
      </c>
      <c r="E344" s="30"/>
      <c r="F344" s="32">
        <v>152149</v>
      </c>
      <c r="G344" s="32">
        <v>21644.082688360701</v>
      </c>
      <c r="H344" s="32">
        <v>173793.08268836071</v>
      </c>
      <c r="I344" s="33">
        <v>52.919079189286776</v>
      </c>
      <c r="J344" s="33">
        <v>52.919079189286776</v>
      </c>
      <c r="K344" s="34">
        <v>17.639693063095589</v>
      </c>
      <c r="L344" s="33">
        <v>28.22350890095295</v>
      </c>
      <c r="M344" s="34">
        <v>35.279386126191177</v>
      </c>
      <c r="N344" s="34">
        <v>21.167631675714709</v>
      </c>
      <c r="O344" s="33">
        <v>21.167631675714709</v>
      </c>
      <c r="P344" s="34">
        <v>42.335263351429433</v>
      </c>
      <c r="Q344" s="33">
        <v>35.279386126191177</v>
      </c>
      <c r="R344" s="33">
        <v>42.335263351429433</v>
      </c>
      <c r="S344" s="33">
        <v>24.69557028833383</v>
      </c>
      <c r="T344" s="34">
        <v>24.69557028833383</v>
      </c>
      <c r="U344" s="34">
        <v>10.58381583785736</v>
      </c>
      <c r="V344" s="34">
        <v>17.639693063095589</v>
      </c>
      <c r="W344" s="34">
        <v>10.58381583785736</v>
      </c>
      <c r="X344" s="34">
        <v>105.8381583785736</v>
      </c>
      <c r="Y344" s="34">
        <v>56.447017801905901</v>
      </c>
      <c r="Z344" s="34"/>
      <c r="AA344" s="33">
        <v>7.5280476754026058</v>
      </c>
      <c r="AB344" s="33">
        <v>7.5280476754026058</v>
      </c>
      <c r="AC344" s="34">
        <v>2.5093492251342022</v>
      </c>
      <c r="AD344" s="33">
        <v>4.0149587602147232</v>
      </c>
      <c r="AE344" s="34">
        <v>5.0186984502684044</v>
      </c>
      <c r="AF344" s="34">
        <v>3.011219070161042</v>
      </c>
      <c r="AG344" s="33">
        <v>3.011219070161042</v>
      </c>
      <c r="AH344" s="34">
        <v>6.0224381403220848</v>
      </c>
      <c r="AI344" s="33">
        <v>5.0186984502684044</v>
      </c>
      <c r="AJ344" s="33">
        <v>6.0224381403220848</v>
      </c>
      <c r="AK344" s="33">
        <v>3.513088915187883</v>
      </c>
      <c r="AL344" s="34">
        <v>3.513088915187883</v>
      </c>
      <c r="AM344" s="34">
        <v>1.505609535080521</v>
      </c>
      <c r="AN344" s="34">
        <v>2.5093492251342022</v>
      </c>
      <c r="AO344" s="34">
        <v>1.505609535080521</v>
      </c>
      <c r="AP344" s="34">
        <v>15.05609535080521</v>
      </c>
      <c r="AQ344" s="34">
        <v>8.0299175204294464</v>
      </c>
      <c r="AR344" s="39"/>
    </row>
    <row r="345" spans="1:44" ht="19.5" customHeight="1">
      <c r="A345" s="55">
        <f t="shared" ref="A345:A348" si="34">A344+1</f>
        <v>29</v>
      </c>
      <c r="B345" s="102" t="s">
        <v>4473</v>
      </c>
      <c r="C345" s="26" t="s">
        <v>230</v>
      </c>
      <c r="D345" s="101" t="s">
        <v>4474</v>
      </c>
      <c r="E345" s="30"/>
      <c r="F345" s="32">
        <v>122637.1133713321</v>
      </c>
      <c r="G345" s="32">
        <v>10822.04134418035</v>
      </c>
      <c r="H345" s="32">
        <v>133459.15471551241</v>
      </c>
      <c r="I345" s="53">
        <v>42.654523618578253</v>
      </c>
      <c r="J345" s="53">
        <v>42.654523618578253</v>
      </c>
      <c r="K345" s="54">
        <v>14.21817453952608</v>
      </c>
      <c r="L345" s="53">
        <v>22.74907926324174</v>
      </c>
      <c r="M345" s="54">
        <v>28.43634907905216</v>
      </c>
      <c r="N345" s="54">
        <v>17.061809447431301</v>
      </c>
      <c r="O345" s="53">
        <v>17.061809447431301</v>
      </c>
      <c r="P345" s="54">
        <v>34.123618894862602</v>
      </c>
      <c r="Q345" s="53">
        <v>28.43634907905216</v>
      </c>
      <c r="R345" s="53">
        <v>34.123618894862602</v>
      </c>
      <c r="S345" s="53">
        <v>19.90544435533652</v>
      </c>
      <c r="T345" s="54">
        <v>19.90544435533652</v>
      </c>
      <c r="U345" s="54">
        <v>8.5309047237156506</v>
      </c>
      <c r="V345" s="54">
        <v>14.21817453952608</v>
      </c>
      <c r="W345" s="54">
        <v>8.5309047237156506</v>
      </c>
      <c r="X345" s="54">
        <v>85.309047237156506</v>
      </c>
      <c r="Y345" s="54">
        <v>45.498158526483472</v>
      </c>
      <c r="Z345" s="54"/>
      <c r="AA345" s="53">
        <v>3.7640238377013029</v>
      </c>
      <c r="AB345" s="53">
        <v>3.7640238377013029</v>
      </c>
      <c r="AC345" s="54">
        <v>1.2546746125671011</v>
      </c>
      <c r="AD345" s="53">
        <v>2.007479380107362</v>
      </c>
      <c r="AE345" s="54">
        <v>2.5093492251342022</v>
      </c>
      <c r="AF345" s="54">
        <v>1.505609535080521</v>
      </c>
      <c r="AG345" s="53">
        <v>1.505609535080521</v>
      </c>
      <c r="AH345" s="54">
        <v>3.011219070161042</v>
      </c>
      <c r="AI345" s="53">
        <v>2.5093492251342022</v>
      </c>
      <c r="AJ345" s="53">
        <v>3.011219070161042</v>
      </c>
      <c r="AK345" s="53">
        <v>1.756544457593942</v>
      </c>
      <c r="AL345" s="54">
        <v>1.756544457593942</v>
      </c>
      <c r="AM345" s="54">
        <v>0.7528047675402606</v>
      </c>
      <c r="AN345" s="54">
        <v>1.2546746125671011</v>
      </c>
      <c r="AO345" s="54">
        <v>0.7528047675402606</v>
      </c>
      <c r="AP345" s="54">
        <v>7.5280476754026058</v>
      </c>
      <c r="AQ345" s="54">
        <v>4.0149587602147232</v>
      </c>
      <c r="AR345" s="39"/>
    </row>
    <row r="346" spans="1:44" ht="19.5" customHeight="1">
      <c r="A346" s="55">
        <f t="shared" si="34"/>
        <v>30</v>
      </c>
      <c r="B346" s="129" t="s">
        <v>133</v>
      </c>
      <c r="C346" s="26" t="s">
        <v>94</v>
      </c>
      <c r="D346" s="56" t="s">
        <v>4489</v>
      </c>
      <c r="E346" s="30"/>
      <c r="F346" s="32">
        <v>30000</v>
      </c>
      <c r="G346" s="32">
        <v>50000</v>
      </c>
      <c r="H346" s="32">
        <v>80000</v>
      </c>
      <c r="I346" s="33">
        <v>10.43432671709051</v>
      </c>
      <c r="J346" s="33">
        <v>10.43432671709051</v>
      </c>
      <c r="K346" s="34">
        <v>3.4781089056968351</v>
      </c>
      <c r="L346" s="33">
        <v>5.564974249114937</v>
      </c>
      <c r="M346" s="34">
        <v>6.9562178113936701</v>
      </c>
      <c r="N346" s="34">
        <v>4.173730686836203</v>
      </c>
      <c r="O346" s="33">
        <v>4.173730686836203</v>
      </c>
      <c r="P346" s="34">
        <v>8.3474613736724059</v>
      </c>
      <c r="Q346" s="33">
        <v>6.9562178113936701</v>
      </c>
      <c r="R346" s="33">
        <v>8.3474613736724059</v>
      </c>
      <c r="S346" s="33">
        <v>4.8693524679755704</v>
      </c>
      <c r="T346" s="34">
        <v>4.8693524679755704</v>
      </c>
      <c r="U346" s="34">
        <v>2.086865343418101</v>
      </c>
      <c r="V346" s="34">
        <v>3.4781089056968351</v>
      </c>
      <c r="W346" s="34">
        <v>2.086865343418101</v>
      </c>
      <c r="X346" s="34">
        <v>20.868653434181009</v>
      </c>
      <c r="Y346" s="34">
        <v>11.12994849822987</v>
      </c>
      <c r="Z346" s="34"/>
      <c r="AA346" s="33">
        <v>17.39054452848417</v>
      </c>
      <c r="AB346" s="33">
        <v>17.39054452848417</v>
      </c>
      <c r="AC346" s="34">
        <v>5.796848176161391</v>
      </c>
      <c r="AD346" s="33">
        <v>9.2749570818582274</v>
      </c>
      <c r="AE346" s="34">
        <v>11.59369635232278</v>
      </c>
      <c r="AF346" s="34">
        <v>6.9562178113936701</v>
      </c>
      <c r="AG346" s="33">
        <v>6.9562178113936701</v>
      </c>
      <c r="AH346" s="34">
        <v>13.91243562278734</v>
      </c>
      <c r="AI346" s="33">
        <v>11.59369635232278</v>
      </c>
      <c r="AJ346" s="33">
        <v>13.91243562278734</v>
      </c>
      <c r="AK346" s="33">
        <v>8.1155874466259483</v>
      </c>
      <c r="AL346" s="34">
        <v>8.1155874466259483</v>
      </c>
      <c r="AM346" s="34">
        <v>3.4781089056968351</v>
      </c>
      <c r="AN346" s="34">
        <v>5.796848176161391</v>
      </c>
      <c r="AO346" s="34">
        <v>3.4781089056968351</v>
      </c>
      <c r="AP346" s="34">
        <v>34.781089056968348</v>
      </c>
      <c r="AQ346" s="34">
        <v>18.549914163716451</v>
      </c>
      <c r="AR346" s="39"/>
    </row>
    <row r="347" spans="1:44" ht="19.5" customHeight="1">
      <c r="A347" s="55">
        <f t="shared" si="34"/>
        <v>31</v>
      </c>
      <c r="B347" s="16" t="s">
        <v>4497</v>
      </c>
      <c r="C347" s="26" t="s">
        <v>1369</v>
      </c>
      <c r="D347" s="56" t="s">
        <v>4499</v>
      </c>
      <c r="E347" s="30"/>
      <c r="F347" s="32">
        <v>66303.295829566006</v>
      </c>
      <c r="G347" s="32">
        <v>21856.279577462279</v>
      </c>
      <c r="H347" s="32">
        <v>88159.575407028286</v>
      </c>
      <c r="I347" s="33">
        <v>23.061008370186538</v>
      </c>
      <c r="J347" s="33">
        <v>23.061008370186538</v>
      </c>
      <c r="K347" s="34">
        <v>7.6870027900621789</v>
      </c>
      <c r="L347" s="33">
        <v>12.299204464099491</v>
      </c>
      <c r="M347" s="34">
        <v>15.37400558012436</v>
      </c>
      <c r="N347" s="34">
        <v>9.224403348074615</v>
      </c>
      <c r="O347" s="33">
        <v>9.224403348074615</v>
      </c>
      <c r="P347" s="34">
        <v>18.44880669614923</v>
      </c>
      <c r="Q347" s="33">
        <v>15.37400558012436</v>
      </c>
      <c r="R347" s="33">
        <v>18.44880669614923</v>
      </c>
      <c r="S347" s="33">
        <v>10.761803906087049</v>
      </c>
      <c r="T347" s="34">
        <v>10.761803906087049</v>
      </c>
      <c r="U347" s="34">
        <v>4.6122016740373084</v>
      </c>
      <c r="V347" s="34">
        <v>7.6870027900621789</v>
      </c>
      <c r="W347" s="34">
        <v>4.6122016740373084</v>
      </c>
      <c r="X347" s="34">
        <v>46.122016740373077</v>
      </c>
      <c r="Y347" s="34">
        <v>24.598408928198971</v>
      </c>
      <c r="Z347" s="34"/>
      <c r="AA347" s="33">
        <v>7.6018520643771419</v>
      </c>
      <c r="AB347" s="33">
        <v>7.6018520643771419</v>
      </c>
      <c r="AC347" s="34">
        <v>2.5339506881257141</v>
      </c>
      <c r="AD347" s="33">
        <v>4.0543211010011424</v>
      </c>
      <c r="AE347" s="34">
        <v>5.0679013762514273</v>
      </c>
      <c r="AF347" s="34">
        <v>3.040740825750857</v>
      </c>
      <c r="AG347" s="33">
        <v>3.040740825750857</v>
      </c>
      <c r="AH347" s="34">
        <v>6.0814816515017132</v>
      </c>
      <c r="AI347" s="33">
        <v>5.0679013762514273</v>
      </c>
      <c r="AJ347" s="33">
        <v>6.0814816515017132</v>
      </c>
      <c r="AK347" s="33">
        <v>3.547530963375999</v>
      </c>
      <c r="AL347" s="34">
        <v>3.547530963375999</v>
      </c>
      <c r="AM347" s="34">
        <v>1.5203704128754281</v>
      </c>
      <c r="AN347" s="34">
        <v>2.5339506881257141</v>
      </c>
      <c r="AO347" s="34">
        <v>1.5203704128754281</v>
      </c>
      <c r="AP347" s="34">
        <v>15.20370412875428</v>
      </c>
      <c r="AQ347" s="34">
        <v>8.1086422020022848</v>
      </c>
      <c r="AR347" s="39"/>
    </row>
    <row r="348" spans="1:44" ht="19.5" customHeight="1">
      <c r="A348" s="55">
        <f t="shared" si="34"/>
        <v>32</v>
      </c>
      <c r="B348" s="129" t="s">
        <v>133</v>
      </c>
      <c r="C348" s="26" t="s">
        <v>94</v>
      </c>
      <c r="D348" s="56" t="s">
        <v>4510</v>
      </c>
      <c r="E348" s="30"/>
      <c r="F348" s="32">
        <v>20904.451747346691</v>
      </c>
      <c r="G348" s="32">
        <v>20000</v>
      </c>
      <c r="H348" s="32">
        <v>40904.451747346691</v>
      </c>
      <c r="I348" s="53">
        <v>7.27079597911563</v>
      </c>
      <c r="J348" s="53">
        <v>7.27079597911563</v>
      </c>
      <c r="K348" s="54">
        <v>2.4235986597052102</v>
      </c>
      <c r="L348" s="53">
        <v>3.8777578555283361</v>
      </c>
      <c r="M348" s="54">
        <v>4.8471973194104194</v>
      </c>
      <c r="N348" s="54">
        <v>2.9083183916462518</v>
      </c>
      <c r="O348" s="53">
        <v>2.9083183916462518</v>
      </c>
      <c r="P348" s="54">
        <v>5.8166367832925054</v>
      </c>
      <c r="Q348" s="53">
        <v>4.8471973194104194</v>
      </c>
      <c r="R348" s="53">
        <v>5.8166367832925054</v>
      </c>
      <c r="S348" s="53">
        <v>3.393038123587294</v>
      </c>
      <c r="T348" s="54">
        <v>3.393038123587294</v>
      </c>
      <c r="U348" s="54">
        <v>1.4541591958231259</v>
      </c>
      <c r="V348" s="54">
        <v>2.4235986597052102</v>
      </c>
      <c r="W348" s="54">
        <v>1.4541591958231259</v>
      </c>
      <c r="X348" s="54">
        <v>14.54159195823126</v>
      </c>
      <c r="Y348" s="54">
        <v>7.7555157110566721</v>
      </c>
      <c r="Z348" s="54"/>
      <c r="AA348" s="53">
        <v>6.956217811393671</v>
      </c>
      <c r="AB348" s="53">
        <v>6.956217811393671</v>
      </c>
      <c r="AC348" s="54">
        <v>2.318739270464556</v>
      </c>
      <c r="AD348" s="53">
        <v>3.7099828327432909</v>
      </c>
      <c r="AE348" s="54">
        <v>4.6374785409291128</v>
      </c>
      <c r="AF348" s="54">
        <v>2.7824871245574681</v>
      </c>
      <c r="AG348" s="53">
        <v>2.7824871245574681</v>
      </c>
      <c r="AH348" s="54">
        <v>5.564974249114937</v>
      </c>
      <c r="AI348" s="53">
        <v>4.6374785409291128</v>
      </c>
      <c r="AJ348" s="53">
        <v>5.564974249114937</v>
      </c>
      <c r="AK348" s="53">
        <v>3.2462349786503801</v>
      </c>
      <c r="AL348" s="54">
        <v>3.2462349786503801</v>
      </c>
      <c r="AM348" s="54">
        <v>1.391243562278734</v>
      </c>
      <c r="AN348" s="54">
        <v>2.318739270464556</v>
      </c>
      <c r="AO348" s="54">
        <v>1.391243562278734</v>
      </c>
      <c r="AP348" s="54">
        <v>13.91243562278734</v>
      </c>
      <c r="AQ348" s="54">
        <v>7.4199656654865818</v>
      </c>
      <c r="AR348" s="39"/>
    </row>
    <row r="349" spans="1:44" ht="19.5" customHeight="1">
      <c r="A349" s="62"/>
      <c r="B349" s="76" t="s">
        <v>3041</v>
      </c>
      <c r="C349" s="51" t="s">
        <v>2324</v>
      </c>
      <c r="D349" s="63" t="s">
        <v>4517</v>
      </c>
      <c r="E349" s="51">
        <v>5</v>
      </c>
      <c r="F349" s="52">
        <v>391993.86094824481</v>
      </c>
      <c r="G349" s="52">
        <v>124322.4036100033</v>
      </c>
      <c r="H349" s="52">
        <v>516316.26455824811</v>
      </c>
      <c r="I349" s="69">
        <v>136.33973387425769</v>
      </c>
      <c r="J349" s="69">
        <v>136.33973387425769</v>
      </c>
      <c r="K349" s="70">
        <v>45.446577958085904</v>
      </c>
      <c r="L349" s="69">
        <v>72.714524732937434</v>
      </c>
      <c r="M349" s="70">
        <v>90.893155916171793</v>
      </c>
      <c r="N349" s="70">
        <v>54.535893549703083</v>
      </c>
      <c r="O349" s="69">
        <v>54.535893549703083</v>
      </c>
      <c r="P349" s="70">
        <v>109.07178709940619</v>
      </c>
      <c r="Q349" s="69">
        <v>90.893155916171793</v>
      </c>
      <c r="R349" s="69">
        <v>109.07178709940619</v>
      </c>
      <c r="S349" s="69">
        <v>63.625209141320262</v>
      </c>
      <c r="T349" s="70">
        <v>63.625209141320262</v>
      </c>
      <c r="U349" s="70">
        <v>27.267946774851541</v>
      </c>
      <c r="V349" s="70">
        <v>45.446577958085904</v>
      </c>
      <c r="W349" s="70">
        <v>27.267946774851541</v>
      </c>
      <c r="X349" s="70">
        <v>272.67946774851538</v>
      </c>
      <c r="Y349" s="70">
        <v>145.4290494658749</v>
      </c>
      <c r="Z349" s="70"/>
      <c r="AA349" s="69">
        <v>43.240685917358903</v>
      </c>
      <c r="AB349" s="69">
        <v>43.240685917358903</v>
      </c>
      <c r="AC349" s="70">
        <v>14.41356197245296</v>
      </c>
      <c r="AD349" s="69">
        <v>23.06169915592475</v>
      </c>
      <c r="AE349" s="70">
        <v>28.827123944905932</v>
      </c>
      <c r="AF349" s="70">
        <v>17.29627436694356</v>
      </c>
      <c r="AG349" s="69">
        <v>17.29627436694356</v>
      </c>
      <c r="AH349" s="70">
        <v>34.592548733887121</v>
      </c>
      <c r="AI349" s="69">
        <v>28.827123944905932</v>
      </c>
      <c r="AJ349" s="69">
        <v>34.592548733887121</v>
      </c>
      <c r="AK349" s="69">
        <v>20.17898676143415</v>
      </c>
      <c r="AL349" s="70">
        <v>20.17898676143415</v>
      </c>
      <c r="AM349" s="70">
        <v>8.6481371834717802</v>
      </c>
      <c r="AN349" s="70">
        <v>14.41356197245296</v>
      </c>
      <c r="AO349" s="70">
        <v>8.6481371834717802</v>
      </c>
      <c r="AP349" s="70">
        <v>86.481371834717791</v>
      </c>
      <c r="AQ349" s="70">
        <v>46.123398311849492</v>
      </c>
      <c r="AR349" s="37"/>
    </row>
    <row r="350" spans="1:44" ht="19.5" customHeight="1">
      <c r="A350" s="117"/>
      <c r="B350" s="118" t="s">
        <v>3041</v>
      </c>
      <c r="C350" s="67" t="s">
        <v>2324</v>
      </c>
      <c r="D350" s="93" t="s">
        <v>4529</v>
      </c>
      <c r="E350" s="67">
        <f>E343+E337+E332+E327+E322+E316+E349</f>
        <v>32</v>
      </c>
      <c r="F350" s="68">
        <v>2622077.6162152272</v>
      </c>
      <c r="G350" s="68">
        <v>791283.4598644675</v>
      </c>
      <c r="H350" s="68">
        <v>3413361.076079695</v>
      </c>
      <c r="I350" s="33">
        <v>911.98715083865102</v>
      </c>
      <c r="J350" s="33">
        <v>911.98715083865102</v>
      </c>
      <c r="K350" s="34">
        <v>303.99571694621699</v>
      </c>
      <c r="L350" s="33">
        <v>486.39314711394718</v>
      </c>
      <c r="M350" s="34">
        <v>607.99143389243397</v>
      </c>
      <c r="N350" s="34">
        <v>364.79486033546038</v>
      </c>
      <c r="O350" s="33">
        <v>364.79486033546038</v>
      </c>
      <c r="P350" s="34">
        <v>729.58972067092088</v>
      </c>
      <c r="Q350" s="33">
        <v>607.99143389243397</v>
      </c>
      <c r="R350" s="33">
        <v>729.58972067092088</v>
      </c>
      <c r="S350" s="33">
        <v>425.59400372470378</v>
      </c>
      <c r="T350" s="34">
        <v>425.59400372470378</v>
      </c>
      <c r="U350" s="34">
        <v>182.39743016773019</v>
      </c>
      <c r="V350" s="34">
        <v>303.99571694621699</v>
      </c>
      <c r="W350" s="34">
        <v>182.39743016773019</v>
      </c>
      <c r="X350" s="34">
        <v>1823.974301677302</v>
      </c>
      <c r="Y350" s="34">
        <v>972.78629422789436</v>
      </c>
      <c r="Z350" s="34"/>
      <c r="AA350" s="33">
        <v>275.21700486852092</v>
      </c>
      <c r="AB350" s="33">
        <v>275.21700486852092</v>
      </c>
      <c r="AC350" s="34">
        <v>91.739001622840291</v>
      </c>
      <c r="AD350" s="33">
        <v>146.7824025965445</v>
      </c>
      <c r="AE350" s="34">
        <v>183.47800324568061</v>
      </c>
      <c r="AF350" s="34">
        <v>110.0868019474084</v>
      </c>
      <c r="AG350" s="33">
        <v>110.0868019474084</v>
      </c>
      <c r="AH350" s="34">
        <v>220.17360389481669</v>
      </c>
      <c r="AI350" s="33">
        <v>183.47800324568061</v>
      </c>
      <c r="AJ350" s="33">
        <v>220.17360389481669</v>
      </c>
      <c r="AK350" s="33">
        <v>128.43460227197639</v>
      </c>
      <c r="AL350" s="34">
        <v>128.43460227197639</v>
      </c>
      <c r="AM350" s="34">
        <v>55.043400973704181</v>
      </c>
      <c r="AN350" s="34">
        <v>91.739001622840291</v>
      </c>
      <c r="AO350" s="34">
        <v>55.043400973704181</v>
      </c>
      <c r="AP350" s="34">
        <v>550.43400973704183</v>
      </c>
      <c r="AQ350" s="34">
        <v>293.56480519308889</v>
      </c>
      <c r="AR350" s="121"/>
    </row>
    <row r="351" spans="1:44" ht="19.5" customHeight="1">
      <c r="A351" s="62"/>
      <c r="B351" s="76"/>
      <c r="C351" s="51"/>
      <c r="D351" s="63"/>
      <c r="E351" s="51"/>
      <c r="F351" s="190"/>
      <c r="G351" s="190"/>
      <c r="H351" s="190"/>
      <c r="I351" s="33"/>
      <c r="J351" s="33"/>
      <c r="K351" s="34"/>
      <c r="L351" s="33"/>
      <c r="M351" s="34"/>
      <c r="N351" s="34"/>
      <c r="O351" s="33"/>
      <c r="P351" s="34"/>
      <c r="Q351" s="33"/>
      <c r="R351" s="33"/>
      <c r="S351" s="33"/>
      <c r="T351" s="34"/>
      <c r="U351" s="34"/>
      <c r="V351" s="34"/>
      <c r="W351" s="34"/>
      <c r="X351" s="34"/>
      <c r="Y351" s="34"/>
      <c r="Z351" s="54"/>
      <c r="AA351" s="53"/>
      <c r="AB351" s="53"/>
      <c r="AC351" s="54"/>
      <c r="AD351" s="53"/>
      <c r="AE351" s="54"/>
      <c r="AF351" s="54"/>
      <c r="AG351" s="53"/>
      <c r="AH351" s="54"/>
      <c r="AI351" s="53"/>
      <c r="AJ351" s="53"/>
      <c r="AK351" s="53"/>
      <c r="AL351" s="54"/>
      <c r="AM351" s="54"/>
      <c r="AN351" s="54"/>
      <c r="AO351" s="54"/>
      <c r="AP351" s="54"/>
      <c r="AQ351" s="54"/>
      <c r="AR351" s="39"/>
    </row>
    <row r="352" spans="1:44" ht="19.5" customHeight="1">
      <c r="A352" s="14" t="s">
        <v>4555</v>
      </c>
      <c r="B352" s="14"/>
      <c r="C352" s="49"/>
      <c r="D352" s="191"/>
      <c r="E352" s="51"/>
      <c r="F352" s="32"/>
      <c r="G352" s="32"/>
      <c r="H352" s="32">
        <v>0</v>
      </c>
      <c r="I352" s="33">
        <v>0</v>
      </c>
      <c r="J352" s="33">
        <v>0</v>
      </c>
      <c r="K352" s="34">
        <v>0</v>
      </c>
      <c r="L352" s="33">
        <v>0</v>
      </c>
      <c r="M352" s="34">
        <v>0</v>
      </c>
      <c r="N352" s="34">
        <v>0</v>
      </c>
      <c r="O352" s="33">
        <v>0</v>
      </c>
      <c r="P352" s="34">
        <v>0</v>
      </c>
      <c r="Q352" s="33">
        <v>0</v>
      </c>
      <c r="R352" s="33">
        <v>0</v>
      </c>
      <c r="S352" s="33">
        <v>0</v>
      </c>
      <c r="T352" s="34">
        <v>0</v>
      </c>
      <c r="U352" s="34">
        <v>0</v>
      </c>
      <c r="V352" s="34">
        <v>0</v>
      </c>
      <c r="W352" s="34">
        <v>0</v>
      </c>
      <c r="X352" s="34">
        <v>0</v>
      </c>
      <c r="Y352" s="34">
        <v>0</v>
      </c>
      <c r="Z352" s="54"/>
      <c r="AA352" s="33">
        <v>0</v>
      </c>
      <c r="AB352" s="33">
        <v>0</v>
      </c>
      <c r="AC352" s="34">
        <v>0</v>
      </c>
      <c r="AD352" s="33">
        <v>0</v>
      </c>
      <c r="AE352" s="34">
        <v>0</v>
      </c>
      <c r="AF352" s="34">
        <v>0</v>
      </c>
      <c r="AG352" s="33">
        <v>0</v>
      </c>
      <c r="AH352" s="34">
        <v>0</v>
      </c>
      <c r="AI352" s="33">
        <v>0</v>
      </c>
      <c r="AJ352" s="33">
        <v>0</v>
      </c>
      <c r="AK352" s="33">
        <v>0</v>
      </c>
      <c r="AL352" s="34">
        <v>0</v>
      </c>
      <c r="AM352" s="34">
        <v>0</v>
      </c>
      <c r="AN352" s="34">
        <v>0</v>
      </c>
      <c r="AO352" s="34">
        <v>0</v>
      </c>
      <c r="AP352" s="34">
        <v>0</v>
      </c>
      <c r="AQ352" s="34">
        <v>0</v>
      </c>
      <c r="AR352" s="37"/>
    </row>
    <row r="353" spans="1:44" ht="19.5" customHeight="1">
      <c r="A353" s="55">
        <v>1</v>
      </c>
      <c r="B353" s="56" t="s">
        <v>727</v>
      </c>
      <c r="C353" s="30" t="s">
        <v>230</v>
      </c>
      <c r="D353" s="56" t="s">
        <v>3880</v>
      </c>
      <c r="E353" s="30"/>
      <c r="F353" s="32">
        <v>123523</v>
      </c>
      <c r="G353" s="32">
        <v>16233.062016270531</v>
      </c>
      <c r="H353" s="32">
        <v>139756.0620162705</v>
      </c>
      <c r="I353" s="33">
        <v>42.96264463583902</v>
      </c>
      <c r="J353" s="33">
        <v>42.96264463583902</v>
      </c>
      <c r="K353" s="34">
        <v>14.32088154527967</v>
      </c>
      <c r="L353" s="33">
        <v>22.913410472447481</v>
      </c>
      <c r="M353" s="34">
        <v>28.641763090559341</v>
      </c>
      <c r="N353" s="34">
        <v>17.185057854335611</v>
      </c>
      <c r="O353" s="33">
        <v>17.185057854335611</v>
      </c>
      <c r="P353" s="34">
        <v>34.370115708671207</v>
      </c>
      <c r="Q353" s="33">
        <v>28.641763090559341</v>
      </c>
      <c r="R353" s="33">
        <v>34.370115708671207</v>
      </c>
      <c r="S353" s="33">
        <v>20.049234163391539</v>
      </c>
      <c r="T353" s="34">
        <v>20.049234163391539</v>
      </c>
      <c r="U353" s="34">
        <v>8.5925289271678036</v>
      </c>
      <c r="V353" s="34">
        <v>14.32088154527967</v>
      </c>
      <c r="W353" s="34">
        <v>8.5925289271678036</v>
      </c>
      <c r="X353" s="34">
        <v>85.925289271678039</v>
      </c>
      <c r="Y353" s="34">
        <v>45.826820944894948</v>
      </c>
      <c r="Z353" s="34"/>
      <c r="AA353" s="33">
        <v>5.6460357565519539</v>
      </c>
      <c r="AB353" s="33">
        <v>5.6460357565519539</v>
      </c>
      <c r="AC353" s="34">
        <v>1.882011918850651</v>
      </c>
      <c r="AD353" s="33">
        <v>3.011219070161042</v>
      </c>
      <c r="AE353" s="34">
        <v>3.764023837701302</v>
      </c>
      <c r="AF353" s="34">
        <v>2.258414302620781</v>
      </c>
      <c r="AG353" s="33">
        <v>2.258414302620781</v>
      </c>
      <c r="AH353" s="34">
        <v>4.5168286052415629</v>
      </c>
      <c r="AI353" s="33">
        <v>3.764023837701302</v>
      </c>
      <c r="AJ353" s="33">
        <v>4.5168286052415629</v>
      </c>
      <c r="AK353" s="33">
        <v>2.6348166863909119</v>
      </c>
      <c r="AL353" s="34">
        <v>2.6348166863909119</v>
      </c>
      <c r="AM353" s="34">
        <v>1.129207151310391</v>
      </c>
      <c r="AN353" s="34">
        <v>1.882011918850651</v>
      </c>
      <c r="AO353" s="34">
        <v>1.129207151310391</v>
      </c>
      <c r="AP353" s="34">
        <v>11.29207151310391</v>
      </c>
      <c r="AQ353" s="34">
        <v>6.0224381403220839</v>
      </c>
      <c r="AR353" s="37"/>
    </row>
    <row r="354" spans="1:44" ht="19.5" customHeight="1">
      <c r="A354" s="55">
        <f t="shared" ref="A354:A356" si="35">A353+1</f>
        <v>2</v>
      </c>
      <c r="B354" s="56" t="s">
        <v>4574</v>
      </c>
      <c r="C354" s="30" t="s">
        <v>159</v>
      </c>
      <c r="D354" s="56" t="s">
        <v>3899</v>
      </c>
      <c r="E354" s="30"/>
      <c r="F354" s="32">
        <v>120723.20884092709</v>
      </c>
      <c r="G354" s="32">
        <v>32466.124032541051</v>
      </c>
      <c r="H354" s="32">
        <v>153189.3328734682</v>
      </c>
      <c r="I354" s="33">
        <v>41.988846779392759</v>
      </c>
      <c r="J354" s="33">
        <v>41.988846779392759</v>
      </c>
      <c r="K354" s="34">
        <v>13.99628225979759</v>
      </c>
      <c r="L354" s="33">
        <v>22.39405161567614</v>
      </c>
      <c r="M354" s="34">
        <v>27.99256451959517</v>
      </c>
      <c r="N354" s="34">
        <v>16.7955387117571</v>
      </c>
      <c r="O354" s="33">
        <v>16.7955387117571</v>
      </c>
      <c r="P354" s="34">
        <v>33.591077423514207</v>
      </c>
      <c r="Q354" s="33">
        <v>27.99256451959517</v>
      </c>
      <c r="R354" s="33">
        <v>33.591077423514207</v>
      </c>
      <c r="S354" s="33">
        <v>19.594795163716618</v>
      </c>
      <c r="T354" s="34">
        <v>19.594795163716618</v>
      </c>
      <c r="U354" s="34">
        <v>8.3977693558785518</v>
      </c>
      <c r="V354" s="34">
        <v>13.99628225979759</v>
      </c>
      <c r="W354" s="34">
        <v>8.3977693558785518</v>
      </c>
      <c r="X354" s="34">
        <v>83.977693558785518</v>
      </c>
      <c r="Y354" s="34">
        <v>44.788103231352281</v>
      </c>
      <c r="Z354" s="34"/>
      <c r="AA354" s="33">
        <v>11.29207151310391</v>
      </c>
      <c r="AB354" s="33">
        <v>11.29207151310391</v>
      </c>
      <c r="AC354" s="34">
        <v>3.764023837701302</v>
      </c>
      <c r="AD354" s="33">
        <v>6.0224381403220839</v>
      </c>
      <c r="AE354" s="34">
        <v>7.528047675402604</v>
      </c>
      <c r="AF354" s="34">
        <v>4.5168286052415629</v>
      </c>
      <c r="AG354" s="33">
        <v>4.5168286052415629</v>
      </c>
      <c r="AH354" s="34">
        <v>9.0336572104831259</v>
      </c>
      <c r="AI354" s="33">
        <v>7.528047675402604</v>
      </c>
      <c r="AJ354" s="33">
        <v>9.0336572104831259</v>
      </c>
      <c r="AK354" s="33">
        <v>5.2696333727818239</v>
      </c>
      <c r="AL354" s="34">
        <v>5.2696333727818239</v>
      </c>
      <c r="AM354" s="34">
        <v>2.258414302620781</v>
      </c>
      <c r="AN354" s="34">
        <v>3.764023837701302</v>
      </c>
      <c r="AO354" s="34">
        <v>2.258414302620781</v>
      </c>
      <c r="AP354" s="34">
        <v>22.584143026207819</v>
      </c>
      <c r="AQ354" s="34">
        <v>12.04487628064417</v>
      </c>
      <c r="AR354" s="39"/>
    </row>
    <row r="355" spans="1:44" ht="19.5" customHeight="1">
      <c r="A355" s="55">
        <f t="shared" si="35"/>
        <v>3</v>
      </c>
      <c r="B355" s="81" t="s">
        <v>133</v>
      </c>
      <c r="C355" s="110" t="s">
        <v>94</v>
      </c>
      <c r="D355" s="56" t="s">
        <v>4586</v>
      </c>
      <c r="E355" s="30"/>
      <c r="F355" s="32">
        <v>29863.502496209559</v>
      </c>
      <c r="G355" s="32">
        <v>10822.04134418035</v>
      </c>
      <c r="H355" s="32">
        <v>40685.543840389902</v>
      </c>
      <c r="I355" s="33">
        <v>10.38685139873661</v>
      </c>
      <c r="J355" s="33">
        <v>10.38685139873661</v>
      </c>
      <c r="K355" s="34">
        <v>3.46228379957887</v>
      </c>
      <c r="L355" s="33">
        <v>5.5396540793261932</v>
      </c>
      <c r="M355" s="34">
        <v>6.9245675991577409</v>
      </c>
      <c r="N355" s="34">
        <v>4.1547405594946456</v>
      </c>
      <c r="O355" s="33">
        <v>4.1547405594946456</v>
      </c>
      <c r="P355" s="34">
        <v>8.3094811189892912</v>
      </c>
      <c r="Q355" s="33">
        <v>6.9245675991577409</v>
      </c>
      <c r="R355" s="33">
        <v>8.3094811189892912</v>
      </c>
      <c r="S355" s="33">
        <v>4.8471973194104194</v>
      </c>
      <c r="T355" s="34">
        <v>4.8471973194104194</v>
      </c>
      <c r="U355" s="34">
        <v>2.0773702797473228</v>
      </c>
      <c r="V355" s="34">
        <v>3.46228379957887</v>
      </c>
      <c r="W355" s="34">
        <v>2.0773702797473228</v>
      </c>
      <c r="X355" s="34">
        <v>20.773702797473231</v>
      </c>
      <c r="Y355" s="34">
        <v>11.07930815865239</v>
      </c>
      <c r="Z355" s="54"/>
      <c r="AA355" s="33">
        <v>3.7640238377013029</v>
      </c>
      <c r="AB355" s="33">
        <v>3.7640238377013029</v>
      </c>
      <c r="AC355" s="34">
        <v>1.2546746125671011</v>
      </c>
      <c r="AD355" s="33">
        <v>2.007479380107362</v>
      </c>
      <c r="AE355" s="34">
        <v>2.5093492251342022</v>
      </c>
      <c r="AF355" s="34">
        <v>1.505609535080521</v>
      </c>
      <c r="AG355" s="33">
        <v>1.505609535080521</v>
      </c>
      <c r="AH355" s="34">
        <v>3.011219070161042</v>
      </c>
      <c r="AI355" s="33">
        <v>2.5093492251342022</v>
      </c>
      <c r="AJ355" s="33">
        <v>3.011219070161042</v>
      </c>
      <c r="AK355" s="33">
        <v>1.756544457593942</v>
      </c>
      <c r="AL355" s="34">
        <v>1.756544457593942</v>
      </c>
      <c r="AM355" s="34">
        <v>0.7528047675402606</v>
      </c>
      <c r="AN355" s="34">
        <v>1.2546746125671011</v>
      </c>
      <c r="AO355" s="34">
        <v>0.7528047675402606</v>
      </c>
      <c r="AP355" s="34">
        <v>7.5280476754026058</v>
      </c>
      <c r="AQ355" s="34">
        <v>4.0149587602147232</v>
      </c>
      <c r="AR355" s="39"/>
    </row>
    <row r="356" spans="1:44" ht="19.5" customHeight="1">
      <c r="A356" s="55">
        <f t="shared" si="35"/>
        <v>4</v>
      </c>
      <c r="B356" s="56" t="s">
        <v>1691</v>
      </c>
      <c r="C356" s="110" t="s">
        <v>94</v>
      </c>
      <c r="D356" s="56" t="s">
        <v>4594</v>
      </c>
      <c r="E356" s="30"/>
      <c r="F356" s="32">
        <v>105000</v>
      </c>
      <c r="G356" s="32">
        <v>20454.842686869189</v>
      </c>
      <c r="H356" s="32">
        <v>125454.8426868692</v>
      </c>
      <c r="I356" s="33">
        <v>36.520143509816769</v>
      </c>
      <c r="J356" s="33">
        <v>36.520143509816769</v>
      </c>
      <c r="K356" s="34">
        <v>12.173381169938921</v>
      </c>
      <c r="L356" s="33">
        <v>19.477409871902282</v>
      </c>
      <c r="M356" s="34">
        <v>24.346762339877841</v>
      </c>
      <c r="N356" s="34">
        <v>14.608057403926709</v>
      </c>
      <c r="O356" s="33">
        <v>14.608057403926709</v>
      </c>
      <c r="P356" s="34">
        <v>29.216114807853419</v>
      </c>
      <c r="Q356" s="33">
        <v>24.346762339877841</v>
      </c>
      <c r="R356" s="33">
        <v>29.216114807853419</v>
      </c>
      <c r="S356" s="33">
        <v>17.042733637914491</v>
      </c>
      <c r="T356" s="34">
        <v>17.042733637914491</v>
      </c>
      <c r="U356" s="34">
        <v>7.3040287019633539</v>
      </c>
      <c r="V356" s="34">
        <v>12.173381169938921</v>
      </c>
      <c r="W356" s="34">
        <v>7.3040287019633539</v>
      </c>
      <c r="X356" s="34">
        <v>73.040287019633539</v>
      </c>
      <c r="Y356" s="34">
        <v>38.954819743804563</v>
      </c>
      <c r="Z356" s="34"/>
      <c r="AA356" s="33">
        <v>7.11441705138275</v>
      </c>
      <c r="AB356" s="33">
        <v>7.11441705138275</v>
      </c>
      <c r="AC356" s="34">
        <v>2.371472350460917</v>
      </c>
      <c r="AD356" s="33">
        <v>3.7943557607374672</v>
      </c>
      <c r="AE356" s="34">
        <v>4.7429447009218331</v>
      </c>
      <c r="AF356" s="34">
        <v>2.8457668205530999</v>
      </c>
      <c r="AG356" s="33">
        <v>2.8457668205530999</v>
      </c>
      <c r="AH356" s="34">
        <v>5.6915336411061999</v>
      </c>
      <c r="AI356" s="33">
        <v>4.7429447009218331</v>
      </c>
      <c r="AJ356" s="33">
        <v>5.6915336411061999</v>
      </c>
      <c r="AK356" s="33">
        <v>3.3200612906452829</v>
      </c>
      <c r="AL356" s="34">
        <v>3.3200612906452829</v>
      </c>
      <c r="AM356" s="34">
        <v>1.42288341027655</v>
      </c>
      <c r="AN356" s="34">
        <v>2.371472350460917</v>
      </c>
      <c r="AO356" s="34">
        <v>1.42288341027655</v>
      </c>
      <c r="AP356" s="34">
        <v>14.2288341027655</v>
      </c>
      <c r="AQ356" s="34">
        <v>7.5887115214749334</v>
      </c>
      <c r="AR356" s="39"/>
    </row>
    <row r="357" spans="1:44" ht="19.5" customHeight="1">
      <c r="A357" s="49"/>
      <c r="B357" s="63" t="s">
        <v>4601</v>
      </c>
      <c r="C357" s="51" t="s">
        <v>835</v>
      </c>
      <c r="D357" s="63" t="s">
        <v>4602</v>
      </c>
      <c r="E357" s="51">
        <v>4</v>
      </c>
      <c r="F357" s="52">
        <v>379109.71133713669</v>
      </c>
      <c r="G357" s="52">
        <v>79976.070079861121</v>
      </c>
      <c r="H357" s="52">
        <v>459085.78141699778</v>
      </c>
      <c r="I357" s="53">
        <v>131.8584863237852</v>
      </c>
      <c r="J357" s="53">
        <v>131.8584863237852</v>
      </c>
      <c r="K357" s="54">
        <v>43.952828774595048</v>
      </c>
      <c r="L357" s="53">
        <v>70.324526039352094</v>
      </c>
      <c r="M357" s="54">
        <v>87.90565754919011</v>
      </c>
      <c r="N357" s="54">
        <v>52.74339452951407</v>
      </c>
      <c r="O357" s="53">
        <v>52.74339452951407</v>
      </c>
      <c r="P357" s="54">
        <v>105.4867890590281</v>
      </c>
      <c r="Q357" s="53">
        <v>87.90565754919011</v>
      </c>
      <c r="R357" s="53">
        <v>105.4867890590281</v>
      </c>
      <c r="S357" s="53">
        <v>61.533960284433078</v>
      </c>
      <c r="T357" s="54">
        <v>61.533960284433078</v>
      </c>
      <c r="U357" s="54">
        <v>26.371697264757039</v>
      </c>
      <c r="V357" s="54">
        <v>43.952828774595048</v>
      </c>
      <c r="W357" s="54">
        <v>26.371697264757039</v>
      </c>
      <c r="X357" s="54">
        <v>263.71697264757029</v>
      </c>
      <c r="Y357" s="54">
        <v>140.64905207870419</v>
      </c>
      <c r="Z357" s="54"/>
      <c r="AA357" s="53">
        <v>27.81654815873992</v>
      </c>
      <c r="AB357" s="53">
        <v>27.81654815873992</v>
      </c>
      <c r="AC357" s="54">
        <v>9.2721827195799715</v>
      </c>
      <c r="AD357" s="53">
        <v>14.835492351327961</v>
      </c>
      <c r="AE357" s="54">
        <v>18.54436543915994</v>
      </c>
      <c r="AF357" s="54">
        <v>11.12661926349597</v>
      </c>
      <c r="AG357" s="53">
        <v>11.12661926349597</v>
      </c>
      <c r="AH357" s="54">
        <v>22.253238526991939</v>
      </c>
      <c r="AI357" s="53">
        <v>18.54436543915994</v>
      </c>
      <c r="AJ357" s="53">
        <v>22.253238526991939</v>
      </c>
      <c r="AK357" s="53">
        <v>12.981055807411961</v>
      </c>
      <c r="AL357" s="54">
        <v>12.981055807411961</v>
      </c>
      <c r="AM357" s="54">
        <v>5.563309631747984</v>
      </c>
      <c r="AN357" s="54">
        <v>9.2721827195799715</v>
      </c>
      <c r="AO357" s="54">
        <v>5.563309631747984</v>
      </c>
      <c r="AP357" s="54">
        <v>55.63309631747984</v>
      </c>
      <c r="AQ357" s="54">
        <v>29.670984702655911</v>
      </c>
      <c r="AR357" s="37"/>
    </row>
    <row r="358" spans="1:44" ht="19.5" customHeight="1">
      <c r="A358" s="55">
        <f>A356+1</f>
        <v>5</v>
      </c>
      <c r="B358" s="56" t="s">
        <v>4614</v>
      </c>
      <c r="C358" s="30" t="s">
        <v>159</v>
      </c>
      <c r="D358" s="56" t="s">
        <v>4617</v>
      </c>
      <c r="E358" s="30"/>
      <c r="F358" s="32">
        <v>112448</v>
      </c>
      <c r="G358" s="32">
        <v>21644.082688360701</v>
      </c>
      <c r="H358" s="32">
        <v>134092.08268836071</v>
      </c>
      <c r="I358" s="33">
        <v>39.110639022779779</v>
      </c>
      <c r="J358" s="33">
        <v>39.110639022779779</v>
      </c>
      <c r="K358" s="34">
        <v>13.03687967425992</v>
      </c>
      <c r="L358" s="33">
        <v>20.859007478815879</v>
      </c>
      <c r="M358" s="34">
        <v>26.07375934851985</v>
      </c>
      <c r="N358" s="34">
        <v>15.64425560911191</v>
      </c>
      <c r="O358" s="33">
        <v>15.64425560911191</v>
      </c>
      <c r="P358" s="34">
        <v>31.288511218223821</v>
      </c>
      <c r="Q358" s="33">
        <v>26.07375934851985</v>
      </c>
      <c r="R358" s="33">
        <v>31.288511218223821</v>
      </c>
      <c r="S358" s="33">
        <v>18.251631543963899</v>
      </c>
      <c r="T358" s="34">
        <v>18.251631543963899</v>
      </c>
      <c r="U358" s="34">
        <v>7.8221278045559552</v>
      </c>
      <c r="V358" s="34">
        <v>13.03687967425992</v>
      </c>
      <c r="W358" s="34">
        <v>7.8221278045559552</v>
      </c>
      <c r="X358" s="34">
        <v>78.221278045559558</v>
      </c>
      <c r="Y358" s="34">
        <v>41.718014957631759</v>
      </c>
      <c r="Z358" s="34"/>
      <c r="AA358" s="33">
        <v>7.5280476754026058</v>
      </c>
      <c r="AB358" s="33">
        <v>7.5280476754026058</v>
      </c>
      <c r="AC358" s="34">
        <v>2.5093492251342022</v>
      </c>
      <c r="AD358" s="33">
        <v>4.0149587602147232</v>
      </c>
      <c r="AE358" s="34">
        <v>5.0186984502684044</v>
      </c>
      <c r="AF358" s="34">
        <v>3.011219070161042</v>
      </c>
      <c r="AG358" s="33">
        <v>3.011219070161042</v>
      </c>
      <c r="AH358" s="34">
        <v>6.0224381403220848</v>
      </c>
      <c r="AI358" s="33">
        <v>5.0186984502684044</v>
      </c>
      <c r="AJ358" s="33">
        <v>6.0224381403220848</v>
      </c>
      <c r="AK358" s="33">
        <v>3.513088915187883</v>
      </c>
      <c r="AL358" s="34">
        <v>3.513088915187883</v>
      </c>
      <c r="AM358" s="34">
        <v>1.505609535080521</v>
      </c>
      <c r="AN358" s="34">
        <v>2.5093492251342022</v>
      </c>
      <c r="AO358" s="34">
        <v>1.505609535080521</v>
      </c>
      <c r="AP358" s="34">
        <v>15.05609535080521</v>
      </c>
      <c r="AQ358" s="34">
        <v>8.0299175204294464</v>
      </c>
      <c r="AR358" s="39"/>
    </row>
    <row r="359" spans="1:44" ht="19.5" customHeight="1">
      <c r="A359" s="55">
        <f t="shared" ref="A359:A362" si="36">A358+1</f>
        <v>6</v>
      </c>
      <c r="B359" s="56" t="s">
        <v>4628</v>
      </c>
      <c r="C359" s="30" t="s">
        <v>94</v>
      </c>
      <c r="D359" s="56" t="s">
        <v>4631</v>
      </c>
      <c r="E359" s="30"/>
      <c r="F359" s="32">
        <v>120723.20884092709</v>
      </c>
      <c r="G359" s="32">
        <v>16233.062016270531</v>
      </c>
      <c r="H359" s="32">
        <v>136956.2708571977</v>
      </c>
      <c r="I359" s="33">
        <v>41.988846779392759</v>
      </c>
      <c r="J359" s="33">
        <v>41.988846779392759</v>
      </c>
      <c r="K359" s="34">
        <v>13.99628225979759</v>
      </c>
      <c r="L359" s="33">
        <v>22.39405161567614</v>
      </c>
      <c r="M359" s="34">
        <v>27.99256451959517</v>
      </c>
      <c r="N359" s="34">
        <v>16.7955387117571</v>
      </c>
      <c r="O359" s="33">
        <v>16.7955387117571</v>
      </c>
      <c r="P359" s="34">
        <v>33.591077423514207</v>
      </c>
      <c r="Q359" s="33">
        <v>27.99256451959517</v>
      </c>
      <c r="R359" s="33">
        <v>33.591077423514207</v>
      </c>
      <c r="S359" s="33">
        <v>19.594795163716618</v>
      </c>
      <c r="T359" s="34">
        <v>19.594795163716618</v>
      </c>
      <c r="U359" s="34">
        <v>8.3977693558785518</v>
      </c>
      <c r="V359" s="34">
        <v>13.99628225979759</v>
      </c>
      <c r="W359" s="34">
        <v>8.3977693558785518</v>
      </c>
      <c r="X359" s="34">
        <v>83.977693558785518</v>
      </c>
      <c r="Y359" s="34">
        <v>44.788103231352281</v>
      </c>
      <c r="Z359" s="34"/>
      <c r="AA359" s="33">
        <v>5.6460357565519539</v>
      </c>
      <c r="AB359" s="33">
        <v>5.6460357565519539</v>
      </c>
      <c r="AC359" s="34">
        <v>1.882011918850651</v>
      </c>
      <c r="AD359" s="33">
        <v>3.011219070161042</v>
      </c>
      <c r="AE359" s="34">
        <v>3.764023837701302</v>
      </c>
      <c r="AF359" s="34">
        <v>2.258414302620781</v>
      </c>
      <c r="AG359" s="33">
        <v>2.258414302620781</v>
      </c>
      <c r="AH359" s="34">
        <v>4.5168286052415629</v>
      </c>
      <c r="AI359" s="33">
        <v>3.764023837701302</v>
      </c>
      <c r="AJ359" s="33">
        <v>4.5168286052415629</v>
      </c>
      <c r="AK359" s="33">
        <v>2.6348166863909119</v>
      </c>
      <c r="AL359" s="34">
        <v>2.6348166863909119</v>
      </c>
      <c r="AM359" s="34">
        <v>1.129207151310391</v>
      </c>
      <c r="AN359" s="34">
        <v>1.882011918850651</v>
      </c>
      <c r="AO359" s="34">
        <v>1.129207151310391</v>
      </c>
      <c r="AP359" s="34">
        <v>11.29207151310391</v>
      </c>
      <c r="AQ359" s="34">
        <v>6.0224381403220839</v>
      </c>
      <c r="AR359" s="39"/>
    </row>
    <row r="360" spans="1:44" ht="19.5" customHeight="1">
      <c r="A360" s="55">
        <f t="shared" si="36"/>
        <v>7</v>
      </c>
      <c r="B360" s="81" t="s">
        <v>133</v>
      </c>
      <c r="C360" s="26" t="s">
        <v>94</v>
      </c>
      <c r="D360" s="56" t="s">
        <v>4640</v>
      </c>
      <c r="E360" s="30"/>
      <c r="F360" s="32">
        <v>40000</v>
      </c>
      <c r="G360" s="32">
        <v>32466.124032541051</v>
      </c>
      <c r="H360" s="32">
        <v>72466.124032541047</v>
      </c>
      <c r="I360" s="33">
        <v>13.91243562278734</v>
      </c>
      <c r="J360" s="33">
        <v>13.91243562278734</v>
      </c>
      <c r="K360" s="34">
        <v>4.6374785409291128</v>
      </c>
      <c r="L360" s="33">
        <v>7.4199656654865818</v>
      </c>
      <c r="M360" s="34">
        <v>9.2749570818582256</v>
      </c>
      <c r="N360" s="34">
        <v>5.564974249114937</v>
      </c>
      <c r="O360" s="33">
        <v>5.564974249114937</v>
      </c>
      <c r="P360" s="34">
        <v>11.12994849822987</v>
      </c>
      <c r="Q360" s="33">
        <v>9.2749570818582256</v>
      </c>
      <c r="R360" s="33">
        <v>11.12994849822987</v>
      </c>
      <c r="S360" s="33">
        <v>6.4924699573007594</v>
      </c>
      <c r="T360" s="34">
        <v>6.4924699573007594</v>
      </c>
      <c r="U360" s="34">
        <v>2.7824871245574681</v>
      </c>
      <c r="V360" s="34">
        <v>4.6374785409291128</v>
      </c>
      <c r="W360" s="34">
        <v>2.7824871245574681</v>
      </c>
      <c r="X360" s="34">
        <v>27.824871245574681</v>
      </c>
      <c r="Y360" s="34">
        <v>14.83993133097316</v>
      </c>
      <c r="Z360" s="34"/>
      <c r="AA360" s="33">
        <v>11.29207151310391</v>
      </c>
      <c r="AB360" s="33">
        <v>11.29207151310391</v>
      </c>
      <c r="AC360" s="34">
        <v>3.764023837701302</v>
      </c>
      <c r="AD360" s="33">
        <v>6.0224381403220839</v>
      </c>
      <c r="AE360" s="34">
        <v>7.528047675402604</v>
      </c>
      <c r="AF360" s="34">
        <v>4.5168286052415629</v>
      </c>
      <c r="AG360" s="33">
        <v>4.5168286052415629</v>
      </c>
      <c r="AH360" s="34">
        <v>9.0336572104831259</v>
      </c>
      <c r="AI360" s="33">
        <v>7.528047675402604</v>
      </c>
      <c r="AJ360" s="33">
        <v>9.0336572104831259</v>
      </c>
      <c r="AK360" s="33">
        <v>5.2696333727818239</v>
      </c>
      <c r="AL360" s="34">
        <v>5.2696333727818239</v>
      </c>
      <c r="AM360" s="34">
        <v>2.258414302620781</v>
      </c>
      <c r="AN360" s="34">
        <v>3.764023837701302</v>
      </c>
      <c r="AO360" s="34">
        <v>2.258414302620781</v>
      </c>
      <c r="AP360" s="34">
        <v>22.584143026207819</v>
      </c>
      <c r="AQ360" s="34">
        <v>12.04487628064417</v>
      </c>
      <c r="AR360" s="39"/>
    </row>
    <row r="361" spans="1:44" ht="19.5" customHeight="1">
      <c r="A361" s="55">
        <f t="shared" si="36"/>
        <v>8</v>
      </c>
      <c r="B361" s="56" t="s">
        <v>3229</v>
      </c>
      <c r="C361" s="30" t="s">
        <v>94</v>
      </c>
      <c r="D361" s="56" t="s">
        <v>4647</v>
      </c>
      <c r="E361" s="30"/>
      <c r="F361" s="32">
        <v>105000</v>
      </c>
      <c r="G361" s="32">
        <v>26524.611137696938</v>
      </c>
      <c r="H361" s="32">
        <v>131524.61113769689</v>
      </c>
      <c r="I361" s="33">
        <v>36.520143509816769</v>
      </c>
      <c r="J361" s="33">
        <v>36.520143509816769</v>
      </c>
      <c r="K361" s="34">
        <v>12.173381169938921</v>
      </c>
      <c r="L361" s="33">
        <v>19.477409871902282</v>
      </c>
      <c r="M361" s="34">
        <v>24.346762339877841</v>
      </c>
      <c r="N361" s="34">
        <v>14.608057403926709</v>
      </c>
      <c r="O361" s="33">
        <v>14.608057403926709</v>
      </c>
      <c r="P361" s="34">
        <v>29.216114807853419</v>
      </c>
      <c r="Q361" s="33">
        <v>24.346762339877841</v>
      </c>
      <c r="R361" s="33">
        <v>29.216114807853419</v>
      </c>
      <c r="S361" s="33">
        <v>17.042733637914491</v>
      </c>
      <c r="T361" s="34">
        <v>17.042733637914491</v>
      </c>
      <c r="U361" s="34">
        <v>7.3040287019633539</v>
      </c>
      <c r="V361" s="34">
        <v>12.173381169938921</v>
      </c>
      <c r="W361" s="34">
        <v>7.3040287019633539</v>
      </c>
      <c r="X361" s="34">
        <v>73.040287019633539</v>
      </c>
      <c r="Y361" s="34">
        <v>38.954819743804563</v>
      </c>
      <c r="Z361" s="34"/>
      <c r="AA361" s="33">
        <v>9.2255486218169196</v>
      </c>
      <c r="AB361" s="33">
        <v>9.2255486218169196</v>
      </c>
      <c r="AC361" s="34">
        <v>3.075182873938973</v>
      </c>
      <c r="AD361" s="33">
        <v>4.9202925983023569</v>
      </c>
      <c r="AE361" s="34">
        <v>6.1503657478779452</v>
      </c>
      <c r="AF361" s="34">
        <v>3.6902194487267681</v>
      </c>
      <c r="AG361" s="33">
        <v>3.6902194487267681</v>
      </c>
      <c r="AH361" s="34">
        <v>7.3804388974535362</v>
      </c>
      <c r="AI361" s="33">
        <v>6.1503657478779452</v>
      </c>
      <c r="AJ361" s="33">
        <v>7.3804388974535362</v>
      </c>
      <c r="AK361" s="33">
        <v>4.3052560235145627</v>
      </c>
      <c r="AL361" s="34">
        <v>4.3052560235145627</v>
      </c>
      <c r="AM361" s="34">
        <v>1.8451097243633841</v>
      </c>
      <c r="AN361" s="34">
        <v>3.075182873938973</v>
      </c>
      <c r="AO361" s="34">
        <v>1.8451097243633841</v>
      </c>
      <c r="AP361" s="34">
        <v>18.451097243633839</v>
      </c>
      <c r="AQ361" s="34">
        <v>9.8405851966047138</v>
      </c>
      <c r="AR361" s="39"/>
    </row>
    <row r="362" spans="1:44" ht="19.5" customHeight="1">
      <c r="A362" s="64">
        <f t="shared" si="36"/>
        <v>9</v>
      </c>
      <c r="B362" s="81" t="s">
        <v>133</v>
      </c>
      <c r="C362" s="110" t="s">
        <v>94</v>
      </c>
      <c r="D362" s="56" t="s">
        <v>4660</v>
      </c>
      <c r="E362" s="30"/>
      <c r="F362" s="32">
        <v>33151.647914783003</v>
      </c>
      <c r="G362" s="32">
        <v>64932.248065082102</v>
      </c>
      <c r="H362" s="32">
        <v>98083.895979865105</v>
      </c>
      <c r="I362" s="33">
        <v>11.530504185093269</v>
      </c>
      <c r="J362" s="33">
        <v>11.530504185093269</v>
      </c>
      <c r="K362" s="34">
        <v>3.843501395031089</v>
      </c>
      <c r="L362" s="33">
        <v>6.1496022320497437</v>
      </c>
      <c r="M362" s="34">
        <v>7.6870027900621789</v>
      </c>
      <c r="N362" s="34">
        <v>4.6122016740373084</v>
      </c>
      <c r="O362" s="33">
        <v>4.6122016740373084</v>
      </c>
      <c r="P362" s="34">
        <v>9.224403348074615</v>
      </c>
      <c r="Q362" s="33">
        <v>7.6870027900621789</v>
      </c>
      <c r="R362" s="33">
        <v>9.224403348074615</v>
      </c>
      <c r="S362" s="33">
        <v>5.3809019530435256</v>
      </c>
      <c r="T362" s="34">
        <v>5.3809019530435256</v>
      </c>
      <c r="U362" s="34">
        <v>2.3061008370186542</v>
      </c>
      <c r="V362" s="34">
        <v>3.843501395031089</v>
      </c>
      <c r="W362" s="34">
        <v>2.3061008370186542</v>
      </c>
      <c r="X362" s="34">
        <v>23.061008370186538</v>
      </c>
      <c r="Y362" s="34">
        <v>12.299204464099491</v>
      </c>
      <c r="Z362" s="34"/>
      <c r="AA362" s="33">
        <v>22.584143026207819</v>
      </c>
      <c r="AB362" s="33">
        <v>22.584143026207819</v>
      </c>
      <c r="AC362" s="34">
        <v>7.528047675402604</v>
      </c>
      <c r="AD362" s="33">
        <v>12.04487628064417</v>
      </c>
      <c r="AE362" s="34">
        <v>15.05609535080521</v>
      </c>
      <c r="AF362" s="34">
        <v>9.0336572104831259</v>
      </c>
      <c r="AG362" s="33">
        <v>9.0336572104831259</v>
      </c>
      <c r="AH362" s="34">
        <v>18.067314420966252</v>
      </c>
      <c r="AI362" s="33">
        <v>15.05609535080521</v>
      </c>
      <c r="AJ362" s="33">
        <v>18.067314420966252</v>
      </c>
      <c r="AK362" s="33">
        <v>10.53926674556365</v>
      </c>
      <c r="AL362" s="34">
        <v>10.53926674556365</v>
      </c>
      <c r="AM362" s="34">
        <v>4.5168286052415629</v>
      </c>
      <c r="AN362" s="34">
        <v>7.528047675402604</v>
      </c>
      <c r="AO362" s="34">
        <v>4.5168286052415629</v>
      </c>
      <c r="AP362" s="34">
        <v>45.168286052415631</v>
      </c>
      <c r="AQ362" s="34">
        <v>24.089752561288339</v>
      </c>
      <c r="AR362" s="39"/>
    </row>
    <row r="363" spans="1:44" ht="19.5" customHeight="1">
      <c r="A363" s="49"/>
      <c r="B363" s="63" t="s">
        <v>4667</v>
      </c>
      <c r="C363" s="51" t="s">
        <v>389</v>
      </c>
      <c r="D363" s="63" t="s">
        <v>4668</v>
      </c>
      <c r="E363" s="51">
        <v>5</v>
      </c>
      <c r="F363" s="52">
        <v>411322.85675571009</v>
      </c>
      <c r="G363" s="52">
        <v>161800.12793995129</v>
      </c>
      <c r="H363" s="52">
        <v>573122.98469566135</v>
      </c>
      <c r="I363" s="53">
        <v>143.06256911986989</v>
      </c>
      <c r="J363" s="53">
        <v>143.06256911986989</v>
      </c>
      <c r="K363" s="54">
        <v>47.687523039956631</v>
      </c>
      <c r="L363" s="53">
        <v>76.300036863930615</v>
      </c>
      <c r="M363" s="54">
        <v>95.375046079913261</v>
      </c>
      <c r="N363" s="54">
        <v>57.225027647947961</v>
      </c>
      <c r="O363" s="53">
        <v>57.225027647947961</v>
      </c>
      <c r="P363" s="54">
        <v>114.45005529589589</v>
      </c>
      <c r="Q363" s="53">
        <v>95.375046079913261</v>
      </c>
      <c r="R363" s="53">
        <v>114.45005529589589</v>
      </c>
      <c r="S363" s="53">
        <v>66.762532255939291</v>
      </c>
      <c r="T363" s="54">
        <v>66.762532255939291</v>
      </c>
      <c r="U363" s="54">
        <v>28.61251382397398</v>
      </c>
      <c r="V363" s="54">
        <v>47.687523039956631</v>
      </c>
      <c r="W363" s="54">
        <v>28.61251382397398</v>
      </c>
      <c r="X363" s="54">
        <v>286.12513823973978</v>
      </c>
      <c r="Y363" s="54">
        <v>152.6000737278612</v>
      </c>
      <c r="Z363" s="54"/>
      <c r="AA363" s="53">
        <v>56.275846593083202</v>
      </c>
      <c r="AB363" s="53">
        <v>56.275846593083202</v>
      </c>
      <c r="AC363" s="54">
        <v>18.758615531027729</v>
      </c>
      <c r="AD363" s="53">
        <v>30.013784849644381</v>
      </c>
      <c r="AE363" s="54">
        <v>37.517231062055473</v>
      </c>
      <c r="AF363" s="54">
        <v>22.510338637233279</v>
      </c>
      <c r="AG363" s="53">
        <v>22.510338637233279</v>
      </c>
      <c r="AH363" s="54">
        <v>45.020677274466557</v>
      </c>
      <c r="AI363" s="53">
        <v>37.517231062055473</v>
      </c>
      <c r="AJ363" s="53">
        <v>45.020677274466557</v>
      </c>
      <c r="AK363" s="53">
        <v>26.262061743438831</v>
      </c>
      <c r="AL363" s="54">
        <v>26.262061743438831</v>
      </c>
      <c r="AM363" s="54">
        <v>11.255169318616639</v>
      </c>
      <c r="AN363" s="54">
        <v>18.758615531027729</v>
      </c>
      <c r="AO363" s="54">
        <v>11.255169318616639</v>
      </c>
      <c r="AP363" s="54">
        <v>112.5516931861664</v>
      </c>
      <c r="AQ363" s="54">
        <v>60.027569699288748</v>
      </c>
      <c r="AR363" s="37"/>
    </row>
    <row r="364" spans="1:44" ht="19.5" customHeight="1">
      <c r="A364" s="55">
        <f>A362+1</f>
        <v>10</v>
      </c>
      <c r="B364" s="81" t="s">
        <v>133</v>
      </c>
      <c r="C364" s="110" t="s">
        <v>94</v>
      </c>
      <c r="D364" s="56" t="s">
        <v>4679</v>
      </c>
      <c r="E364" s="30"/>
      <c r="F364" s="32">
        <v>33151.647914783003</v>
      </c>
      <c r="G364" s="32">
        <v>32466.124032541051</v>
      </c>
      <c r="H364" s="32">
        <v>65617.771947324058</v>
      </c>
      <c r="I364" s="33">
        <v>11.530504185093269</v>
      </c>
      <c r="J364" s="33">
        <v>11.530504185093269</v>
      </c>
      <c r="K364" s="34">
        <v>3.843501395031089</v>
      </c>
      <c r="L364" s="33">
        <v>6.1496022320497437</v>
      </c>
      <c r="M364" s="34">
        <v>7.6870027900621789</v>
      </c>
      <c r="N364" s="34">
        <v>4.6122016740373084</v>
      </c>
      <c r="O364" s="33">
        <v>4.6122016740373084</v>
      </c>
      <c r="P364" s="34">
        <v>9.224403348074615</v>
      </c>
      <c r="Q364" s="33">
        <v>7.6870027900621789</v>
      </c>
      <c r="R364" s="33">
        <v>9.224403348074615</v>
      </c>
      <c r="S364" s="33">
        <v>5.3809019530435256</v>
      </c>
      <c r="T364" s="34">
        <v>5.3809019530435256</v>
      </c>
      <c r="U364" s="34">
        <v>2.3061008370186542</v>
      </c>
      <c r="V364" s="34">
        <v>3.843501395031089</v>
      </c>
      <c r="W364" s="34">
        <v>2.3061008370186542</v>
      </c>
      <c r="X364" s="34">
        <v>23.061008370186538</v>
      </c>
      <c r="Y364" s="34">
        <v>12.299204464099491</v>
      </c>
      <c r="Z364" s="34"/>
      <c r="AA364" s="33">
        <v>11.29207151310391</v>
      </c>
      <c r="AB364" s="33">
        <v>11.29207151310391</v>
      </c>
      <c r="AC364" s="34">
        <v>3.764023837701302</v>
      </c>
      <c r="AD364" s="33">
        <v>6.0224381403220839</v>
      </c>
      <c r="AE364" s="34">
        <v>7.528047675402604</v>
      </c>
      <c r="AF364" s="34">
        <v>4.5168286052415629</v>
      </c>
      <c r="AG364" s="33">
        <v>4.5168286052415629</v>
      </c>
      <c r="AH364" s="34">
        <v>9.0336572104831259</v>
      </c>
      <c r="AI364" s="33">
        <v>7.528047675402604</v>
      </c>
      <c r="AJ364" s="33">
        <v>9.0336572104831259</v>
      </c>
      <c r="AK364" s="33">
        <v>5.2696333727818239</v>
      </c>
      <c r="AL364" s="34">
        <v>5.2696333727818239</v>
      </c>
      <c r="AM364" s="34">
        <v>2.258414302620781</v>
      </c>
      <c r="AN364" s="34">
        <v>3.764023837701302</v>
      </c>
      <c r="AO364" s="34">
        <v>2.258414302620781</v>
      </c>
      <c r="AP364" s="34">
        <v>22.584143026207819</v>
      </c>
      <c r="AQ364" s="34">
        <v>12.04487628064417</v>
      </c>
      <c r="AR364" s="39"/>
    </row>
    <row r="365" spans="1:44" ht="19.5" customHeight="1">
      <c r="A365" s="55">
        <f t="shared" ref="A365:A367" si="37">A364+1</f>
        <v>11</v>
      </c>
      <c r="B365" s="56" t="s">
        <v>4682</v>
      </c>
      <c r="C365" s="30" t="s">
        <v>94</v>
      </c>
      <c r="D365" s="56" t="s">
        <v>4683</v>
      </c>
      <c r="E365" s="30"/>
      <c r="F365" s="32">
        <v>122523</v>
      </c>
      <c r="G365" s="32">
        <v>43288.165376721401</v>
      </c>
      <c r="H365" s="32">
        <v>165811.16537672139</v>
      </c>
      <c r="I365" s="33">
        <v>42.614833745269337</v>
      </c>
      <c r="J365" s="33">
        <v>42.614833745269337</v>
      </c>
      <c r="K365" s="34">
        <v>14.20494458175644</v>
      </c>
      <c r="L365" s="33">
        <v>22.727911330810311</v>
      </c>
      <c r="M365" s="34">
        <v>28.40988916351289</v>
      </c>
      <c r="N365" s="34">
        <v>17.045933498107729</v>
      </c>
      <c r="O365" s="33">
        <v>17.045933498107729</v>
      </c>
      <c r="P365" s="34">
        <v>34.091866996215472</v>
      </c>
      <c r="Q365" s="33">
        <v>28.40988916351289</v>
      </c>
      <c r="R365" s="33">
        <v>34.091866996215472</v>
      </c>
      <c r="S365" s="33">
        <v>19.886922414459018</v>
      </c>
      <c r="T365" s="34">
        <v>19.886922414459018</v>
      </c>
      <c r="U365" s="34">
        <v>8.5229667490538663</v>
      </c>
      <c r="V365" s="34">
        <v>14.20494458175644</v>
      </c>
      <c r="W365" s="34">
        <v>8.5229667490538663</v>
      </c>
      <c r="X365" s="34">
        <v>85.229667490538674</v>
      </c>
      <c r="Y365" s="34">
        <v>45.455822661620623</v>
      </c>
      <c r="Z365" s="34"/>
      <c r="AA365" s="33">
        <v>15.05609535080521</v>
      </c>
      <c r="AB365" s="33">
        <v>15.05609535080521</v>
      </c>
      <c r="AC365" s="34">
        <v>5.0186984502684044</v>
      </c>
      <c r="AD365" s="33">
        <v>8.0299175204294464</v>
      </c>
      <c r="AE365" s="34">
        <v>10.037396900536811</v>
      </c>
      <c r="AF365" s="34">
        <v>6.0224381403220848</v>
      </c>
      <c r="AG365" s="33">
        <v>6.0224381403220848</v>
      </c>
      <c r="AH365" s="34">
        <v>12.04487628064417</v>
      </c>
      <c r="AI365" s="33">
        <v>10.037396900536811</v>
      </c>
      <c r="AJ365" s="33">
        <v>12.04487628064417</v>
      </c>
      <c r="AK365" s="33">
        <v>7.026177830375766</v>
      </c>
      <c r="AL365" s="34">
        <v>7.026177830375766</v>
      </c>
      <c r="AM365" s="34">
        <v>3.011219070161042</v>
      </c>
      <c r="AN365" s="34">
        <v>5.0186984502684044</v>
      </c>
      <c r="AO365" s="34">
        <v>3.011219070161042</v>
      </c>
      <c r="AP365" s="34">
        <v>30.11219070161042</v>
      </c>
      <c r="AQ365" s="34">
        <v>16.059835040858889</v>
      </c>
      <c r="AR365" s="39"/>
    </row>
    <row r="366" spans="1:44" ht="19.5" customHeight="1">
      <c r="A366" s="55">
        <f t="shared" si="37"/>
        <v>12</v>
      </c>
      <c r="B366" s="16" t="s">
        <v>4688</v>
      </c>
      <c r="C366" s="99" t="s">
        <v>94</v>
      </c>
      <c r="D366" s="56" t="s">
        <v>4689</v>
      </c>
      <c r="E366" s="30"/>
      <c r="F366" s="32">
        <v>129733</v>
      </c>
      <c r="G366" s="32">
        <v>37877.144704631231</v>
      </c>
      <c r="H366" s="32">
        <v>167610.14470463121</v>
      </c>
      <c r="I366" s="33">
        <v>45.122550266276747</v>
      </c>
      <c r="J366" s="33">
        <v>45.122550266276747</v>
      </c>
      <c r="K366" s="34">
        <v>15.040850088758919</v>
      </c>
      <c r="L366" s="33">
        <v>24.065360142014271</v>
      </c>
      <c r="M366" s="34">
        <v>30.081700177517831</v>
      </c>
      <c r="N366" s="34">
        <v>18.049020106510699</v>
      </c>
      <c r="O366" s="33">
        <v>18.049020106510699</v>
      </c>
      <c r="P366" s="34">
        <v>36.098040213021413</v>
      </c>
      <c r="Q366" s="33">
        <v>30.081700177517831</v>
      </c>
      <c r="R366" s="33">
        <v>36.098040213021413</v>
      </c>
      <c r="S366" s="33">
        <v>21.05719012426249</v>
      </c>
      <c r="T366" s="34">
        <v>21.05719012426249</v>
      </c>
      <c r="U366" s="34">
        <v>9.0245100532553515</v>
      </c>
      <c r="V366" s="34">
        <v>15.040850088758919</v>
      </c>
      <c r="W366" s="34">
        <v>9.0245100532553515</v>
      </c>
      <c r="X366" s="34">
        <v>90.245100532553508</v>
      </c>
      <c r="Y366" s="34">
        <v>48.130720284028541</v>
      </c>
      <c r="Z366" s="54"/>
      <c r="AA366" s="33">
        <v>13.174083431954561</v>
      </c>
      <c r="AB366" s="33">
        <v>13.174083431954561</v>
      </c>
      <c r="AC366" s="34">
        <v>4.3913611439848532</v>
      </c>
      <c r="AD366" s="33">
        <v>7.026177830375766</v>
      </c>
      <c r="AE366" s="34">
        <v>8.7827222879697064</v>
      </c>
      <c r="AF366" s="34">
        <v>5.2696333727818248</v>
      </c>
      <c r="AG366" s="33">
        <v>5.2696333727818248</v>
      </c>
      <c r="AH366" s="34">
        <v>10.53926674556365</v>
      </c>
      <c r="AI366" s="33">
        <v>8.7827222879697064</v>
      </c>
      <c r="AJ366" s="33">
        <v>10.53926674556365</v>
      </c>
      <c r="AK366" s="33">
        <v>6.1479056015787954</v>
      </c>
      <c r="AL366" s="34">
        <v>6.1479056015787954</v>
      </c>
      <c r="AM366" s="34">
        <v>2.6348166863909119</v>
      </c>
      <c r="AN366" s="34">
        <v>4.3913611439848532</v>
      </c>
      <c r="AO366" s="34">
        <v>2.6348166863909119</v>
      </c>
      <c r="AP366" s="34">
        <v>26.348166863909121</v>
      </c>
      <c r="AQ366" s="34">
        <v>14.05235566075153</v>
      </c>
      <c r="AR366" s="39"/>
    </row>
    <row r="367" spans="1:44" ht="19.5" customHeight="1">
      <c r="A367" s="55">
        <f t="shared" si="37"/>
        <v>13</v>
      </c>
      <c r="B367" s="16" t="s">
        <v>4690</v>
      </c>
      <c r="C367" s="30" t="s">
        <v>159</v>
      </c>
      <c r="D367" s="56" t="s">
        <v>4691</v>
      </c>
      <c r="E367" s="30"/>
      <c r="F367" s="32">
        <v>122637.1133713321</v>
      </c>
      <c r="G367" s="32">
        <v>27055.103360450881</v>
      </c>
      <c r="H367" s="32">
        <v>149692.21673178289</v>
      </c>
      <c r="I367" s="33">
        <v>42.654523618578253</v>
      </c>
      <c r="J367" s="33">
        <v>42.654523618578253</v>
      </c>
      <c r="K367" s="34">
        <v>14.21817453952608</v>
      </c>
      <c r="L367" s="33">
        <v>22.74907926324174</v>
      </c>
      <c r="M367" s="34">
        <v>28.43634907905216</v>
      </c>
      <c r="N367" s="34">
        <v>17.061809447431301</v>
      </c>
      <c r="O367" s="33">
        <v>17.061809447431301</v>
      </c>
      <c r="P367" s="34">
        <v>34.123618894862602</v>
      </c>
      <c r="Q367" s="33">
        <v>28.43634907905216</v>
      </c>
      <c r="R367" s="33">
        <v>34.123618894862602</v>
      </c>
      <c r="S367" s="33">
        <v>19.90544435533652</v>
      </c>
      <c r="T367" s="34">
        <v>19.90544435533652</v>
      </c>
      <c r="U367" s="34">
        <v>8.5309047237156506</v>
      </c>
      <c r="V367" s="34">
        <v>14.21817453952608</v>
      </c>
      <c r="W367" s="34">
        <v>8.5309047237156506</v>
      </c>
      <c r="X367" s="34">
        <v>85.309047237156506</v>
      </c>
      <c r="Y367" s="34">
        <v>45.498158526483472</v>
      </c>
      <c r="Z367" s="34"/>
      <c r="AA367" s="33">
        <v>9.4100595942532586</v>
      </c>
      <c r="AB367" s="33">
        <v>9.4100595942532586</v>
      </c>
      <c r="AC367" s="34">
        <v>3.136686531417753</v>
      </c>
      <c r="AD367" s="33">
        <v>5.0186984502684053</v>
      </c>
      <c r="AE367" s="34">
        <v>6.2733730628355051</v>
      </c>
      <c r="AF367" s="34">
        <v>3.7640238377013042</v>
      </c>
      <c r="AG367" s="33">
        <v>3.7640238377013042</v>
      </c>
      <c r="AH367" s="34">
        <v>7.5280476754026084</v>
      </c>
      <c r="AI367" s="33">
        <v>6.2733730628355051</v>
      </c>
      <c r="AJ367" s="33">
        <v>7.5280476754026084</v>
      </c>
      <c r="AK367" s="33">
        <v>4.3913611439848541</v>
      </c>
      <c r="AL367" s="34">
        <v>4.3913611439848541</v>
      </c>
      <c r="AM367" s="34">
        <v>1.8820119188506521</v>
      </c>
      <c r="AN367" s="34">
        <v>3.136686531417753</v>
      </c>
      <c r="AO367" s="34">
        <v>1.8820119188506521</v>
      </c>
      <c r="AP367" s="34">
        <v>18.820119188506521</v>
      </c>
      <c r="AQ367" s="34">
        <v>10.037396900536811</v>
      </c>
      <c r="AR367" s="39"/>
    </row>
    <row r="368" spans="1:44" ht="19.5" customHeight="1">
      <c r="A368" s="62"/>
      <c r="B368" s="63" t="s">
        <v>4692</v>
      </c>
      <c r="C368" s="51" t="s">
        <v>389</v>
      </c>
      <c r="D368" s="63" t="s">
        <v>4693</v>
      </c>
      <c r="E368" s="51">
        <v>4</v>
      </c>
      <c r="F368" s="52">
        <v>408044.76128611498</v>
      </c>
      <c r="G368" s="52">
        <v>140686.5374743446</v>
      </c>
      <c r="H368" s="52">
        <v>548731.29876045964</v>
      </c>
      <c r="I368" s="53">
        <v>141.9224118152176</v>
      </c>
      <c r="J368" s="53">
        <v>141.9224118152176</v>
      </c>
      <c r="K368" s="54">
        <v>47.307470605072531</v>
      </c>
      <c r="L368" s="53">
        <v>75.691952968116055</v>
      </c>
      <c r="M368" s="54">
        <v>94.614941210145062</v>
      </c>
      <c r="N368" s="54">
        <v>56.768964726087049</v>
      </c>
      <c r="O368" s="53">
        <v>56.768964726087049</v>
      </c>
      <c r="P368" s="54">
        <v>113.5379294521741</v>
      </c>
      <c r="Q368" s="53">
        <v>94.614941210145062</v>
      </c>
      <c r="R368" s="53">
        <v>113.5379294521741</v>
      </c>
      <c r="S368" s="53">
        <v>66.230458847101559</v>
      </c>
      <c r="T368" s="54">
        <v>66.230458847101559</v>
      </c>
      <c r="U368" s="54">
        <v>28.384482363043521</v>
      </c>
      <c r="V368" s="54">
        <v>47.307470605072531</v>
      </c>
      <c r="W368" s="54">
        <v>28.384482363043521</v>
      </c>
      <c r="X368" s="54">
        <v>283.8448236304352</v>
      </c>
      <c r="Y368" s="54">
        <v>151.38390593623211</v>
      </c>
      <c r="Z368" s="54"/>
      <c r="AA368" s="53">
        <v>48.93230989011694</v>
      </c>
      <c r="AB368" s="53">
        <v>48.93230989011694</v>
      </c>
      <c r="AC368" s="54">
        <v>16.310769963372309</v>
      </c>
      <c r="AD368" s="53">
        <v>26.097231941395702</v>
      </c>
      <c r="AE368" s="54">
        <v>32.621539926744617</v>
      </c>
      <c r="AF368" s="54">
        <v>19.572923956046779</v>
      </c>
      <c r="AG368" s="53">
        <v>19.572923956046779</v>
      </c>
      <c r="AH368" s="54">
        <v>39.145847912093551</v>
      </c>
      <c r="AI368" s="53">
        <v>32.621539926744617</v>
      </c>
      <c r="AJ368" s="53">
        <v>39.145847912093551</v>
      </c>
      <c r="AK368" s="53">
        <v>22.835077948721239</v>
      </c>
      <c r="AL368" s="54">
        <v>22.835077948721239</v>
      </c>
      <c r="AM368" s="54">
        <v>9.7864619780233877</v>
      </c>
      <c r="AN368" s="54">
        <v>16.310769963372309</v>
      </c>
      <c r="AO368" s="54">
        <v>9.7864619780233877</v>
      </c>
      <c r="AP368" s="54">
        <v>97.86461978023388</v>
      </c>
      <c r="AQ368" s="54">
        <v>52.194463882791403</v>
      </c>
      <c r="AR368" s="37"/>
    </row>
    <row r="369" spans="1:44" ht="19.5" customHeight="1">
      <c r="A369" s="108">
        <f>A367+1</f>
        <v>14</v>
      </c>
      <c r="B369" s="41" t="s">
        <v>133</v>
      </c>
      <c r="C369" s="30" t="s">
        <v>94</v>
      </c>
      <c r="D369" s="114" t="s">
        <v>4694</v>
      </c>
      <c r="E369" s="113"/>
      <c r="F369" s="32">
        <v>30000</v>
      </c>
      <c r="G369" s="32">
        <v>32466.124032541051</v>
      </c>
      <c r="H369" s="32">
        <v>62466.124032541047</v>
      </c>
      <c r="I369" s="33">
        <v>10.43432671709051</v>
      </c>
      <c r="J369" s="33">
        <v>10.43432671709051</v>
      </c>
      <c r="K369" s="34">
        <v>3.4781089056968351</v>
      </c>
      <c r="L369" s="33">
        <v>5.564974249114937</v>
      </c>
      <c r="M369" s="34">
        <v>6.9562178113936701</v>
      </c>
      <c r="N369" s="34">
        <v>4.173730686836203</v>
      </c>
      <c r="O369" s="33">
        <v>4.173730686836203</v>
      </c>
      <c r="P369" s="34">
        <v>8.3474613736724059</v>
      </c>
      <c r="Q369" s="33">
        <v>6.9562178113936701</v>
      </c>
      <c r="R369" s="33">
        <v>8.3474613736724059</v>
      </c>
      <c r="S369" s="33">
        <v>4.8693524679755704</v>
      </c>
      <c r="T369" s="34">
        <v>4.8693524679755704</v>
      </c>
      <c r="U369" s="34">
        <v>2.086865343418101</v>
      </c>
      <c r="V369" s="34">
        <v>3.4781089056968351</v>
      </c>
      <c r="W369" s="34">
        <v>2.086865343418101</v>
      </c>
      <c r="X369" s="34">
        <v>20.868653434181009</v>
      </c>
      <c r="Y369" s="34">
        <v>11.12994849822987</v>
      </c>
      <c r="Z369" s="34"/>
      <c r="AA369" s="33">
        <v>11.29207151310391</v>
      </c>
      <c r="AB369" s="33">
        <v>11.29207151310391</v>
      </c>
      <c r="AC369" s="34">
        <v>3.764023837701302</v>
      </c>
      <c r="AD369" s="33">
        <v>6.0224381403220839</v>
      </c>
      <c r="AE369" s="34">
        <v>7.528047675402604</v>
      </c>
      <c r="AF369" s="34">
        <v>4.5168286052415629</v>
      </c>
      <c r="AG369" s="33">
        <v>4.5168286052415629</v>
      </c>
      <c r="AH369" s="34">
        <v>9.0336572104831259</v>
      </c>
      <c r="AI369" s="33">
        <v>7.528047675402604</v>
      </c>
      <c r="AJ369" s="33">
        <v>9.0336572104831259</v>
      </c>
      <c r="AK369" s="33">
        <v>5.2696333727818239</v>
      </c>
      <c r="AL369" s="34">
        <v>5.2696333727818239</v>
      </c>
      <c r="AM369" s="34">
        <v>2.258414302620781</v>
      </c>
      <c r="AN369" s="34">
        <v>3.764023837701302</v>
      </c>
      <c r="AO369" s="34">
        <v>2.258414302620781</v>
      </c>
      <c r="AP369" s="34">
        <v>22.584143026207819</v>
      </c>
      <c r="AQ369" s="34">
        <v>12.04487628064417</v>
      </c>
      <c r="AR369" s="48"/>
    </row>
    <row r="370" spans="1:44" ht="19.5" customHeight="1">
      <c r="A370" s="108">
        <f t="shared" ref="A370:A372" si="38">A369+1</f>
        <v>15</v>
      </c>
      <c r="B370" s="113" t="s">
        <v>4695</v>
      </c>
      <c r="C370" s="30" t="s">
        <v>94</v>
      </c>
      <c r="D370" s="114" t="s">
        <v>4696</v>
      </c>
      <c r="E370" s="113"/>
      <c r="F370" s="32">
        <v>110505.4930492767</v>
      </c>
      <c r="G370" s="32">
        <v>32466.124032541051</v>
      </c>
      <c r="H370" s="32">
        <v>142971.61708181771</v>
      </c>
      <c r="I370" s="33">
        <v>38.435013950310889</v>
      </c>
      <c r="J370" s="33">
        <v>38.435013950310889</v>
      </c>
      <c r="K370" s="34">
        <v>12.811671316770299</v>
      </c>
      <c r="L370" s="33">
        <v>20.498674106832471</v>
      </c>
      <c r="M370" s="34">
        <v>25.623342633540592</v>
      </c>
      <c r="N370" s="34">
        <v>15.37400558012436</v>
      </c>
      <c r="O370" s="33">
        <v>15.37400558012436</v>
      </c>
      <c r="P370" s="34">
        <v>30.748011160248719</v>
      </c>
      <c r="Q370" s="33">
        <v>25.623342633540592</v>
      </c>
      <c r="R370" s="33">
        <v>30.748011160248719</v>
      </c>
      <c r="S370" s="33">
        <v>17.936339843478411</v>
      </c>
      <c r="T370" s="34">
        <v>17.936339843478411</v>
      </c>
      <c r="U370" s="34">
        <v>7.6870027900621789</v>
      </c>
      <c r="V370" s="34">
        <v>12.811671316770299</v>
      </c>
      <c r="W370" s="34">
        <v>7.6870027900621789</v>
      </c>
      <c r="X370" s="34">
        <v>76.870027900621778</v>
      </c>
      <c r="Y370" s="34">
        <v>40.997348213664949</v>
      </c>
      <c r="Z370" s="34"/>
      <c r="AA370" s="33">
        <v>11.29207151310391</v>
      </c>
      <c r="AB370" s="33">
        <v>11.29207151310391</v>
      </c>
      <c r="AC370" s="34">
        <v>3.764023837701302</v>
      </c>
      <c r="AD370" s="33">
        <v>6.0224381403220839</v>
      </c>
      <c r="AE370" s="34">
        <v>7.528047675402604</v>
      </c>
      <c r="AF370" s="34">
        <v>4.5168286052415629</v>
      </c>
      <c r="AG370" s="33">
        <v>4.5168286052415629</v>
      </c>
      <c r="AH370" s="34">
        <v>9.0336572104831259</v>
      </c>
      <c r="AI370" s="33">
        <v>7.528047675402604</v>
      </c>
      <c r="AJ370" s="33">
        <v>9.0336572104831259</v>
      </c>
      <c r="AK370" s="33">
        <v>5.2696333727818239</v>
      </c>
      <c r="AL370" s="34">
        <v>5.2696333727818239</v>
      </c>
      <c r="AM370" s="34">
        <v>2.258414302620781</v>
      </c>
      <c r="AN370" s="34">
        <v>3.764023837701302</v>
      </c>
      <c r="AO370" s="34">
        <v>2.258414302620781</v>
      </c>
      <c r="AP370" s="34">
        <v>22.584143026207819</v>
      </c>
      <c r="AQ370" s="34">
        <v>12.04487628064417</v>
      </c>
      <c r="AR370" s="39"/>
    </row>
    <row r="371" spans="1:44" ht="19.5" customHeight="1">
      <c r="A371" s="108">
        <f t="shared" si="38"/>
        <v>16</v>
      </c>
      <c r="B371" s="113" t="s">
        <v>4697</v>
      </c>
      <c r="C371" s="110" t="s">
        <v>94</v>
      </c>
      <c r="D371" s="114" t="s">
        <v>4698</v>
      </c>
      <c r="E371" s="113"/>
      <c r="F371" s="32">
        <v>120723.20884092709</v>
      </c>
      <c r="G371" s="32">
        <v>27055.103360450881</v>
      </c>
      <c r="H371" s="32">
        <v>147778.31220137799</v>
      </c>
      <c r="I371" s="33">
        <v>41.988846779392759</v>
      </c>
      <c r="J371" s="33">
        <v>41.988846779392759</v>
      </c>
      <c r="K371" s="34">
        <v>13.99628225979759</v>
      </c>
      <c r="L371" s="33">
        <v>22.39405161567614</v>
      </c>
      <c r="M371" s="34">
        <v>27.99256451959517</v>
      </c>
      <c r="N371" s="34">
        <v>16.7955387117571</v>
      </c>
      <c r="O371" s="33">
        <v>16.7955387117571</v>
      </c>
      <c r="P371" s="34">
        <v>33.591077423514207</v>
      </c>
      <c r="Q371" s="33">
        <v>27.99256451959517</v>
      </c>
      <c r="R371" s="33">
        <v>33.591077423514207</v>
      </c>
      <c r="S371" s="33">
        <v>19.594795163716618</v>
      </c>
      <c r="T371" s="34">
        <v>19.594795163716618</v>
      </c>
      <c r="U371" s="34">
        <v>8.3977693558785518</v>
      </c>
      <c r="V371" s="34">
        <v>13.99628225979759</v>
      </c>
      <c r="W371" s="34">
        <v>8.3977693558785518</v>
      </c>
      <c r="X371" s="34">
        <v>83.977693558785518</v>
      </c>
      <c r="Y371" s="34">
        <v>44.788103231352281</v>
      </c>
      <c r="Z371" s="34"/>
      <c r="AA371" s="33">
        <v>9.4100595942532586</v>
      </c>
      <c r="AB371" s="33">
        <v>9.4100595942532586</v>
      </c>
      <c r="AC371" s="34">
        <v>3.136686531417753</v>
      </c>
      <c r="AD371" s="33">
        <v>5.0186984502684053</v>
      </c>
      <c r="AE371" s="34">
        <v>6.2733730628355051</v>
      </c>
      <c r="AF371" s="34">
        <v>3.7640238377013042</v>
      </c>
      <c r="AG371" s="33">
        <v>3.7640238377013042</v>
      </c>
      <c r="AH371" s="34">
        <v>7.5280476754026084</v>
      </c>
      <c r="AI371" s="33">
        <v>6.2733730628355051</v>
      </c>
      <c r="AJ371" s="33">
        <v>7.5280476754026084</v>
      </c>
      <c r="AK371" s="33">
        <v>4.3913611439848541</v>
      </c>
      <c r="AL371" s="34">
        <v>4.3913611439848541</v>
      </c>
      <c r="AM371" s="34">
        <v>1.8820119188506521</v>
      </c>
      <c r="AN371" s="34">
        <v>3.136686531417753</v>
      </c>
      <c r="AO371" s="34">
        <v>1.8820119188506521</v>
      </c>
      <c r="AP371" s="34">
        <v>18.820119188506521</v>
      </c>
      <c r="AQ371" s="34">
        <v>10.037396900536811</v>
      </c>
      <c r="AR371" s="39"/>
    </row>
    <row r="372" spans="1:44" ht="19.5" customHeight="1">
      <c r="A372" s="108">
        <f t="shared" si="38"/>
        <v>17</v>
      </c>
      <c r="B372" s="113" t="s">
        <v>4699</v>
      </c>
      <c r="C372" s="110" t="s">
        <v>159</v>
      </c>
      <c r="D372" s="114" t="s">
        <v>4700</v>
      </c>
      <c r="E372" s="113"/>
      <c r="F372" s="32">
        <v>120723.20884092709</v>
      </c>
      <c r="G372" s="32">
        <v>32466.124032541051</v>
      </c>
      <c r="H372" s="32">
        <v>153189.3328734682</v>
      </c>
      <c r="I372" s="33">
        <v>41.988846779392759</v>
      </c>
      <c r="J372" s="33">
        <v>41.988846779392759</v>
      </c>
      <c r="K372" s="34">
        <v>13.99628225979759</v>
      </c>
      <c r="L372" s="33">
        <v>22.39405161567614</v>
      </c>
      <c r="M372" s="34">
        <v>27.99256451959517</v>
      </c>
      <c r="N372" s="34">
        <v>16.7955387117571</v>
      </c>
      <c r="O372" s="33">
        <v>16.7955387117571</v>
      </c>
      <c r="P372" s="34">
        <v>33.591077423514207</v>
      </c>
      <c r="Q372" s="33">
        <v>27.99256451959517</v>
      </c>
      <c r="R372" s="33">
        <v>33.591077423514207</v>
      </c>
      <c r="S372" s="33">
        <v>19.594795163716618</v>
      </c>
      <c r="T372" s="34">
        <v>19.594795163716618</v>
      </c>
      <c r="U372" s="34">
        <v>8.3977693558785518</v>
      </c>
      <c r="V372" s="34">
        <v>13.99628225979759</v>
      </c>
      <c r="W372" s="34">
        <v>8.3977693558785518</v>
      </c>
      <c r="X372" s="34">
        <v>83.977693558785518</v>
      </c>
      <c r="Y372" s="34">
        <v>44.788103231352281</v>
      </c>
      <c r="Z372" s="34"/>
      <c r="AA372" s="33">
        <v>11.29207151310391</v>
      </c>
      <c r="AB372" s="33">
        <v>11.29207151310391</v>
      </c>
      <c r="AC372" s="34">
        <v>3.764023837701302</v>
      </c>
      <c r="AD372" s="33">
        <v>6.0224381403220839</v>
      </c>
      <c r="AE372" s="34">
        <v>7.528047675402604</v>
      </c>
      <c r="AF372" s="34">
        <v>4.5168286052415629</v>
      </c>
      <c r="AG372" s="33">
        <v>4.5168286052415629</v>
      </c>
      <c r="AH372" s="34">
        <v>9.0336572104831259</v>
      </c>
      <c r="AI372" s="33">
        <v>7.528047675402604</v>
      </c>
      <c r="AJ372" s="33">
        <v>9.0336572104831259</v>
      </c>
      <c r="AK372" s="33">
        <v>5.2696333727818239</v>
      </c>
      <c r="AL372" s="34">
        <v>5.2696333727818239</v>
      </c>
      <c r="AM372" s="34">
        <v>2.258414302620781</v>
      </c>
      <c r="AN372" s="34">
        <v>3.764023837701302</v>
      </c>
      <c r="AO372" s="34">
        <v>2.258414302620781</v>
      </c>
      <c r="AP372" s="34">
        <v>22.584143026207819</v>
      </c>
      <c r="AQ372" s="34">
        <v>12.04487628064417</v>
      </c>
      <c r="AR372" s="39"/>
    </row>
    <row r="373" spans="1:44" ht="19.5" customHeight="1">
      <c r="A373" s="115"/>
      <c r="B373" s="200" t="s">
        <v>4701</v>
      </c>
      <c r="C373" s="111" t="s">
        <v>997</v>
      </c>
      <c r="D373" s="116" t="s">
        <v>4702</v>
      </c>
      <c r="E373" s="111">
        <v>4</v>
      </c>
      <c r="F373" s="9">
        <v>381951.91073113098</v>
      </c>
      <c r="G373" s="9">
        <v>124453.475458074</v>
      </c>
      <c r="H373" s="9">
        <v>506405.38618920499</v>
      </c>
      <c r="I373" s="53">
        <v>132.84703422618691</v>
      </c>
      <c r="J373" s="53">
        <v>132.84703422618691</v>
      </c>
      <c r="K373" s="54">
        <v>44.2823447420623</v>
      </c>
      <c r="L373" s="53">
        <v>70.851751587299688</v>
      </c>
      <c r="M373" s="54">
        <v>88.5646894841246</v>
      </c>
      <c r="N373" s="54">
        <v>53.13881369047477</v>
      </c>
      <c r="O373" s="53">
        <v>53.13881369047477</v>
      </c>
      <c r="P373" s="54">
        <v>106.2776273809495</v>
      </c>
      <c r="Q373" s="53">
        <v>88.5646894841246</v>
      </c>
      <c r="R373" s="53">
        <v>106.2776273809495</v>
      </c>
      <c r="S373" s="53">
        <v>61.995282638887232</v>
      </c>
      <c r="T373" s="54">
        <v>61.995282638887232</v>
      </c>
      <c r="U373" s="54">
        <v>26.569406845237381</v>
      </c>
      <c r="V373" s="54">
        <v>44.2823447420623</v>
      </c>
      <c r="W373" s="54">
        <v>26.569406845237381</v>
      </c>
      <c r="X373" s="54">
        <v>265.69406845237381</v>
      </c>
      <c r="Y373" s="54">
        <v>141.7035031745994</v>
      </c>
      <c r="Z373" s="54"/>
      <c r="AA373" s="53">
        <v>43.28627413356498</v>
      </c>
      <c r="AB373" s="53">
        <v>43.28627413356498</v>
      </c>
      <c r="AC373" s="54">
        <v>14.428758044521659</v>
      </c>
      <c r="AD373" s="53">
        <v>23.086012871234662</v>
      </c>
      <c r="AE373" s="54">
        <v>28.857516089043319</v>
      </c>
      <c r="AF373" s="54">
        <v>17.31450965342599</v>
      </c>
      <c r="AG373" s="53">
        <v>17.31450965342599</v>
      </c>
      <c r="AH373" s="54">
        <v>34.629019306851987</v>
      </c>
      <c r="AI373" s="53">
        <v>28.857516089043319</v>
      </c>
      <c r="AJ373" s="53">
        <v>34.629019306851987</v>
      </c>
      <c r="AK373" s="53">
        <v>20.200261262330329</v>
      </c>
      <c r="AL373" s="54">
        <v>20.200261262330329</v>
      </c>
      <c r="AM373" s="54">
        <v>8.6572548267129967</v>
      </c>
      <c r="AN373" s="54">
        <v>14.428758044521659</v>
      </c>
      <c r="AO373" s="54">
        <v>8.6572548267129967</v>
      </c>
      <c r="AP373" s="54">
        <v>86.57254826712996</v>
      </c>
      <c r="AQ373" s="54">
        <v>46.172025742469323</v>
      </c>
      <c r="AR373" s="37"/>
    </row>
    <row r="374" spans="1:44" ht="19.5" customHeight="1">
      <c r="A374" s="201"/>
      <c r="B374" s="86" t="s">
        <v>4601</v>
      </c>
      <c r="C374" s="85" t="s">
        <v>835</v>
      </c>
      <c r="D374" s="87" t="s">
        <v>4703</v>
      </c>
      <c r="E374" s="85">
        <f>E373+E368+E363+E357</f>
        <v>17</v>
      </c>
      <c r="F374" s="144">
        <v>1580429.240110093</v>
      </c>
      <c r="G374" s="144">
        <v>506916.21095223108</v>
      </c>
      <c r="H374" s="144">
        <v>2087345.451062324</v>
      </c>
      <c r="I374" s="53">
        <v>549.6905014850596</v>
      </c>
      <c r="J374" s="53">
        <v>549.6905014850596</v>
      </c>
      <c r="K374" s="54">
        <v>183.2301671616865</v>
      </c>
      <c r="L374" s="53">
        <v>293.16826745869838</v>
      </c>
      <c r="M374" s="54">
        <v>366.46033432337299</v>
      </c>
      <c r="N374" s="54">
        <v>219.8762005940238</v>
      </c>
      <c r="O374" s="53">
        <v>219.8762005940238</v>
      </c>
      <c r="P374" s="54">
        <v>439.75240118804771</v>
      </c>
      <c r="Q374" s="53">
        <v>366.46033432337299</v>
      </c>
      <c r="R374" s="53">
        <v>439.75240118804771</v>
      </c>
      <c r="S374" s="53">
        <v>256.5222340263611</v>
      </c>
      <c r="T374" s="54">
        <v>256.5222340263611</v>
      </c>
      <c r="U374" s="54">
        <v>109.9381002970119</v>
      </c>
      <c r="V374" s="54">
        <v>183.2301671616865</v>
      </c>
      <c r="W374" s="54">
        <v>109.9381002970119</v>
      </c>
      <c r="X374" s="54">
        <v>1099.381002970119</v>
      </c>
      <c r="Y374" s="54">
        <v>586.33653491739688</v>
      </c>
      <c r="Z374" s="54"/>
      <c r="AA374" s="53">
        <v>176.31097877550499</v>
      </c>
      <c r="AB374" s="53">
        <v>176.31097877550499</v>
      </c>
      <c r="AC374" s="54">
        <v>58.770326258501683</v>
      </c>
      <c r="AD374" s="53">
        <v>94.032522013602687</v>
      </c>
      <c r="AE374" s="54">
        <v>117.54065251700339</v>
      </c>
      <c r="AF374" s="54">
        <v>70.524391510202022</v>
      </c>
      <c r="AG374" s="53">
        <v>70.524391510202022</v>
      </c>
      <c r="AH374" s="54">
        <v>141.04878302040399</v>
      </c>
      <c r="AI374" s="53">
        <v>117.54065251700339</v>
      </c>
      <c r="AJ374" s="53">
        <v>141.04878302040399</v>
      </c>
      <c r="AK374" s="53">
        <v>82.278456761902362</v>
      </c>
      <c r="AL374" s="54">
        <v>82.278456761902362</v>
      </c>
      <c r="AM374" s="54">
        <v>35.262195755101011</v>
      </c>
      <c r="AN374" s="54">
        <v>58.770326258501683</v>
      </c>
      <c r="AO374" s="54">
        <v>35.262195755101011</v>
      </c>
      <c r="AP374" s="54">
        <v>352.6219575510101</v>
      </c>
      <c r="AQ374" s="54">
        <v>188.0650440272054</v>
      </c>
      <c r="AR374" s="37"/>
    </row>
    <row r="375" spans="1:44" ht="19.5" customHeight="1">
      <c r="A375" s="108">
        <f>A372+1</f>
        <v>18</v>
      </c>
      <c r="B375" s="41" t="s">
        <v>133</v>
      </c>
      <c r="C375" s="30" t="s">
        <v>94</v>
      </c>
      <c r="D375" s="114" t="s">
        <v>4704</v>
      </c>
      <c r="E375" s="110"/>
      <c r="F375" s="32">
        <v>31356.677621020041</v>
      </c>
      <c r="G375" s="32">
        <v>21644.082688360701</v>
      </c>
      <c r="H375" s="32">
        <v>53000.760309380741</v>
      </c>
      <c r="I375" s="33">
        <v>10.90619396867344</v>
      </c>
      <c r="J375" s="33">
        <v>10.90619396867344</v>
      </c>
      <c r="K375" s="34">
        <v>3.6353979895578141</v>
      </c>
      <c r="L375" s="33">
        <v>5.8166367832925037</v>
      </c>
      <c r="M375" s="34">
        <v>7.2707959791156282</v>
      </c>
      <c r="N375" s="34">
        <v>4.3624775874693782</v>
      </c>
      <c r="O375" s="33">
        <v>4.3624775874693782</v>
      </c>
      <c r="P375" s="34">
        <v>8.7249551749387564</v>
      </c>
      <c r="Q375" s="33">
        <v>7.2707959791156282</v>
      </c>
      <c r="R375" s="33">
        <v>8.7249551749387564</v>
      </c>
      <c r="S375" s="33">
        <v>5.0895571853809409</v>
      </c>
      <c r="T375" s="34">
        <v>5.0895571853809409</v>
      </c>
      <c r="U375" s="34">
        <v>2.1812387937346891</v>
      </c>
      <c r="V375" s="34">
        <v>3.6353979895578141</v>
      </c>
      <c r="W375" s="34">
        <v>2.1812387937346891</v>
      </c>
      <c r="X375" s="34">
        <v>21.812387937346891</v>
      </c>
      <c r="Y375" s="34">
        <v>11.633273566585011</v>
      </c>
      <c r="Z375" s="54"/>
      <c r="AA375" s="33">
        <v>7.5280476754026058</v>
      </c>
      <c r="AB375" s="33">
        <v>7.5280476754026058</v>
      </c>
      <c r="AC375" s="34">
        <v>2.5093492251342022</v>
      </c>
      <c r="AD375" s="33">
        <v>4.0149587602147232</v>
      </c>
      <c r="AE375" s="34">
        <v>5.0186984502684044</v>
      </c>
      <c r="AF375" s="34">
        <v>3.011219070161042</v>
      </c>
      <c r="AG375" s="33">
        <v>3.011219070161042</v>
      </c>
      <c r="AH375" s="34">
        <v>6.0224381403220848</v>
      </c>
      <c r="AI375" s="33">
        <v>5.0186984502684044</v>
      </c>
      <c r="AJ375" s="33">
        <v>6.0224381403220848</v>
      </c>
      <c r="AK375" s="33">
        <v>3.513088915187883</v>
      </c>
      <c r="AL375" s="34">
        <v>3.513088915187883</v>
      </c>
      <c r="AM375" s="34">
        <v>1.505609535080521</v>
      </c>
      <c r="AN375" s="34">
        <v>2.5093492251342022</v>
      </c>
      <c r="AO375" s="34">
        <v>1.505609535080521</v>
      </c>
      <c r="AP375" s="34">
        <v>15.05609535080521</v>
      </c>
      <c r="AQ375" s="34">
        <v>8.0299175204294464</v>
      </c>
      <c r="AR375" s="37"/>
    </row>
    <row r="376" spans="1:44" ht="19.5" customHeight="1">
      <c r="A376" s="108">
        <f>A375+1</f>
        <v>19</v>
      </c>
      <c r="B376" s="113" t="s">
        <v>4705</v>
      </c>
      <c r="C376" s="103" t="s">
        <v>290</v>
      </c>
      <c r="D376" s="114" t="s">
        <v>4706</v>
      </c>
      <c r="E376" s="113"/>
      <c r="F376" s="32">
        <v>112105</v>
      </c>
      <c r="G376" s="32">
        <v>84878.755640630203</v>
      </c>
      <c r="H376" s="32">
        <v>196983.7556406302</v>
      </c>
      <c r="I376" s="33">
        <v>38.991339887314368</v>
      </c>
      <c r="J376" s="33">
        <v>38.991339887314368</v>
      </c>
      <c r="K376" s="34">
        <v>12.997113295771459</v>
      </c>
      <c r="L376" s="33">
        <v>20.79538127323433</v>
      </c>
      <c r="M376" s="34">
        <v>25.994226591542919</v>
      </c>
      <c r="N376" s="34">
        <v>15.59653595492575</v>
      </c>
      <c r="O376" s="33">
        <v>15.59653595492575</v>
      </c>
      <c r="P376" s="34">
        <v>31.193071909851501</v>
      </c>
      <c r="Q376" s="33">
        <v>25.994226591542919</v>
      </c>
      <c r="R376" s="33">
        <v>31.193071909851501</v>
      </c>
      <c r="S376" s="33">
        <v>18.195958614080041</v>
      </c>
      <c r="T376" s="34">
        <v>18.195958614080041</v>
      </c>
      <c r="U376" s="34">
        <v>7.7982679774628751</v>
      </c>
      <c r="V376" s="34">
        <v>12.997113295771459</v>
      </c>
      <c r="W376" s="34">
        <v>7.7982679774628751</v>
      </c>
      <c r="X376" s="34">
        <v>77.98267977462875</v>
      </c>
      <c r="Y376" s="34">
        <v>41.590762546468667</v>
      </c>
      <c r="Z376" s="34"/>
      <c r="AA376" s="33">
        <v>29.521755589814141</v>
      </c>
      <c r="AB376" s="33">
        <v>29.521755589814141</v>
      </c>
      <c r="AC376" s="34">
        <v>9.840585196604712</v>
      </c>
      <c r="AD376" s="33">
        <v>15.744936314567539</v>
      </c>
      <c r="AE376" s="34">
        <v>19.68117039320942</v>
      </c>
      <c r="AF376" s="34">
        <v>11.80870223592566</v>
      </c>
      <c r="AG376" s="33">
        <v>11.80870223592566</v>
      </c>
      <c r="AH376" s="34">
        <v>23.617404471851309</v>
      </c>
      <c r="AI376" s="33">
        <v>19.68117039320942</v>
      </c>
      <c r="AJ376" s="33">
        <v>23.617404471851309</v>
      </c>
      <c r="AK376" s="33">
        <v>13.7768192752466</v>
      </c>
      <c r="AL376" s="34">
        <v>13.7768192752466</v>
      </c>
      <c r="AM376" s="34">
        <v>5.9043511179628281</v>
      </c>
      <c r="AN376" s="34">
        <v>9.840585196604712</v>
      </c>
      <c r="AO376" s="34">
        <v>5.9043511179628281</v>
      </c>
      <c r="AP376" s="34">
        <v>59.043511179628283</v>
      </c>
      <c r="AQ376" s="34">
        <v>31.489872629135078</v>
      </c>
      <c r="AR376" s="39"/>
    </row>
    <row r="377" spans="1:44" ht="19.5" customHeight="1">
      <c r="A377" s="115"/>
      <c r="B377" s="115" t="s">
        <v>2127</v>
      </c>
      <c r="C377" s="111" t="s">
        <v>997</v>
      </c>
      <c r="D377" s="116" t="s">
        <v>4707</v>
      </c>
      <c r="E377" s="111">
        <v>2</v>
      </c>
      <c r="F377" s="9">
        <v>143461.67762102</v>
      </c>
      <c r="G377" s="9">
        <v>106522.8383289909</v>
      </c>
      <c r="H377" s="9">
        <v>249984.51595001089</v>
      </c>
      <c r="I377" s="53">
        <v>49.897533855987817</v>
      </c>
      <c r="J377" s="53">
        <v>49.897533855987817</v>
      </c>
      <c r="K377" s="54">
        <v>16.632511285329269</v>
      </c>
      <c r="L377" s="53">
        <v>26.612018056526829</v>
      </c>
      <c r="M377" s="54">
        <v>33.265022570658537</v>
      </c>
      <c r="N377" s="54">
        <v>19.95901354239513</v>
      </c>
      <c r="O377" s="53">
        <v>19.95901354239513</v>
      </c>
      <c r="P377" s="54">
        <v>39.918027084790253</v>
      </c>
      <c r="Q377" s="53">
        <v>33.265022570658537</v>
      </c>
      <c r="R377" s="53">
        <v>39.918027084790253</v>
      </c>
      <c r="S377" s="53">
        <v>23.285515799460981</v>
      </c>
      <c r="T377" s="54">
        <v>23.285515799460981</v>
      </c>
      <c r="U377" s="54">
        <v>9.9795067711975634</v>
      </c>
      <c r="V377" s="54">
        <v>16.632511285329269</v>
      </c>
      <c r="W377" s="54">
        <v>9.9795067711975634</v>
      </c>
      <c r="X377" s="54">
        <v>99.795067711975634</v>
      </c>
      <c r="Y377" s="54">
        <v>53.224036113053657</v>
      </c>
      <c r="Z377" s="139"/>
      <c r="AA377" s="53">
        <v>37.049803265216752</v>
      </c>
      <c r="AB377" s="53">
        <v>37.049803265216752</v>
      </c>
      <c r="AC377" s="54">
        <v>12.34993442173891</v>
      </c>
      <c r="AD377" s="53">
        <v>19.759895074782261</v>
      </c>
      <c r="AE377" s="54">
        <v>24.69986884347783</v>
      </c>
      <c r="AF377" s="54">
        <v>14.8199213060867</v>
      </c>
      <c r="AG377" s="53">
        <v>14.8199213060867</v>
      </c>
      <c r="AH377" s="54">
        <v>29.6398426121734</v>
      </c>
      <c r="AI377" s="53">
        <v>24.69986884347783</v>
      </c>
      <c r="AJ377" s="53">
        <v>29.6398426121734</v>
      </c>
      <c r="AK377" s="53">
        <v>17.289908190434481</v>
      </c>
      <c r="AL377" s="54">
        <v>17.289908190434481</v>
      </c>
      <c r="AM377" s="54">
        <v>7.4099606530433491</v>
      </c>
      <c r="AN377" s="54">
        <v>12.34993442173891</v>
      </c>
      <c r="AO377" s="54">
        <v>7.4099606530433491</v>
      </c>
      <c r="AP377" s="54">
        <v>74.099606530433491</v>
      </c>
      <c r="AQ377" s="54">
        <v>39.519790149564528</v>
      </c>
      <c r="AR377" s="37"/>
    </row>
    <row r="378" spans="1:44" ht="19.5" customHeight="1">
      <c r="A378" s="108">
        <f>A376+1</f>
        <v>20</v>
      </c>
      <c r="B378" s="56" t="s">
        <v>4708</v>
      </c>
      <c r="C378" s="30" t="s">
        <v>230</v>
      </c>
      <c r="D378" s="114" t="s">
        <v>4709</v>
      </c>
      <c r="E378" s="113"/>
      <c r="F378" s="32">
        <v>124723</v>
      </c>
      <c r="G378" s="32">
        <v>21644.082688360701</v>
      </c>
      <c r="H378" s="32">
        <v>146367.08268836071</v>
      </c>
      <c r="I378" s="33">
        <v>43.380017704522643</v>
      </c>
      <c r="J378" s="33">
        <v>43.380017704522643</v>
      </c>
      <c r="K378" s="34">
        <v>14.46000590150754</v>
      </c>
      <c r="L378" s="33">
        <v>23.136009442412071</v>
      </c>
      <c r="M378" s="34">
        <v>28.92001180301509</v>
      </c>
      <c r="N378" s="34">
        <v>17.352007081809059</v>
      </c>
      <c r="O378" s="33">
        <v>17.352007081809059</v>
      </c>
      <c r="P378" s="34">
        <v>34.704014163618112</v>
      </c>
      <c r="Q378" s="33">
        <v>28.92001180301509</v>
      </c>
      <c r="R378" s="33">
        <v>34.704014163618112</v>
      </c>
      <c r="S378" s="33">
        <v>20.244008262110569</v>
      </c>
      <c r="T378" s="34">
        <v>20.244008262110569</v>
      </c>
      <c r="U378" s="34">
        <v>8.676003540904528</v>
      </c>
      <c r="V378" s="34">
        <v>14.46000590150754</v>
      </c>
      <c r="W378" s="34">
        <v>8.676003540904528</v>
      </c>
      <c r="X378" s="34">
        <v>86.760035409045273</v>
      </c>
      <c r="Y378" s="34">
        <v>46.272018884824149</v>
      </c>
      <c r="Z378" s="34"/>
      <c r="AA378" s="33">
        <v>7.5280476754026058</v>
      </c>
      <c r="AB378" s="33">
        <v>7.5280476754026058</v>
      </c>
      <c r="AC378" s="34">
        <v>2.5093492251342022</v>
      </c>
      <c r="AD378" s="33">
        <v>4.0149587602147232</v>
      </c>
      <c r="AE378" s="34">
        <v>5.0186984502684044</v>
      </c>
      <c r="AF378" s="34">
        <v>3.011219070161042</v>
      </c>
      <c r="AG378" s="33">
        <v>3.011219070161042</v>
      </c>
      <c r="AH378" s="34">
        <v>6.0224381403220848</v>
      </c>
      <c r="AI378" s="33">
        <v>5.0186984502684044</v>
      </c>
      <c r="AJ378" s="33">
        <v>6.0224381403220848</v>
      </c>
      <c r="AK378" s="33">
        <v>3.513088915187883</v>
      </c>
      <c r="AL378" s="34">
        <v>3.513088915187883</v>
      </c>
      <c r="AM378" s="34">
        <v>1.505609535080521</v>
      </c>
      <c r="AN378" s="34">
        <v>2.5093492251342022</v>
      </c>
      <c r="AO378" s="34">
        <v>1.505609535080521</v>
      </c>
      <c r="AP378" s="34">
        <v>15.05609535080521</v>
      </c>
      <c r="AQ378" s="34">
        <v>8.0299175204294464</v>
      </c>
      <c r="AR378" s="37"/>
    </row>
    <row r="379" spans="1:44" ht="19.5" customHeight="1">
      <c r="A379" s="108">
        <f t="shared" ref="A379:A380" si="39">A378+1</f>
        <v>21</v>
      </c>
      <c r="B379" s="56" t="s">
        <v>4710</v>
      </c>
      <c r="C379" s="30" t="s">
        <v>94</v>
      </c>
      <c r="D379" s="114" t="s">
        <v>4711</v>
      </c>
      <c r="E379" s="113"/>
      <c r="F379" s="32">
        <v>120723.20884092709</v>
      </c>
      <c r="G379" s="32">
        <v>21644.082688360701</v>
      </c>
      <c r="H379" s="32">
        <v>142367.29152928779</v>
      </c>
      <c r="I379" s="33">
        <v>41.988846779392759</v>
      </c>
      <c r="J379" s="33">
        <v>41.988846779392759</v>
      </c>
      <c r="K379" s="34">
        <v>13.99628225979759</v>
      </c>
      <c r="L379" s="33">
        <v>22.39405161567614</v>
      </c>
      <c r="M379" s="34">
        <v>27.99256451959517</v>
      </c>
      <c r="N379" s="34">
        <v>16.7955387117571</v>
      </c>
      <c r="O379" s="33">
        <v>16.7955387117571</v>
      </c>
      <c r="P379" s="34">
        <v>33.591077423514207</v>
      </c>
      <c r="Q379" s="33">
        <v>27.99256451959517</v>
      </c>
      <c r="R379" s="33">
        <v>33.591077423514207</v>
      </c>
      <c r="S379" s="33">
        <v>19.594795163716618</v>
      </c>
      <c r="T379" s="34">
        <v>19.594795163716618</v>
      </c>
      <c r="U379" s="34">
        <v>8.3977693558785518</v>
      </c>
      <c r="V379" s="34">
        <v>13.99628225979759</v>
      </c>
      <c r="W379" s="34">
        <v>8.3977693558785518</v>
      </c>
      <c r="X379" s="34">
        <v>83.977693558785518</v>
      </c>
      <c r="Y379" s="34">
        <v>44.788103231352281</v>
      </c>
      <c r="Z379" s="34"/>
      <c r="AA379" s="33">
        <v>7.5280476754026058</v>
      </c>
      <c r="AB379" s="33">
        <v>7.5280476754026058</v>
      </c>
      <c r="AC379" s="34">
        <v>2.5093492251342022</v>
      </c>
      <c r="AD379" s="33">
        <v>4.0149587602147232</v>
      </c>
      <c r="AE379" s="34">
        <v>5.0186984502684044</v>
      </c>
      <c r="AF379" s="34">
        <v>3.011219070161042</v>
      </c>
      <c r="AG379" s="33">
        <v>3.011219070161042</v>
      </c>
      <c r="AH379" s="34">
        <v>6.0224381403220848</v>
      </c>
      <c r="AI379" s="33">
        <v>5.0186984502684044</v>
      </c>
      <c r="AJ379" s="33">
        <v>6.0224381403220848</v>
      </c>
      <c r="AK379" s="33">
        <v>3.513088915187883</v>
      </c>
      <c r="AL379" s="34">
        <v>3.513088915187883</v>
      </c>
      <c r="AM379" s="34">
        <v>1.505609535080521</v>
      </c>
      <c r="AN379" s="34">
        <v>2.5093492251342022</v>
      </c>
      <c r="AO379" s="34">
        <v>1.505609535080521</v>
      </c>
      <c r="AP379" s="34">
        <v>15.05609535080521</v>
      </c>
      <c r="AQ379" s="34">
        <v>8.0299175204294464</v>
      </c>
      <c r="AR379" s="39"/>
    </row>
    <row r="380" spans="1:44" ht="19.5" customHeight="1">
      <c r="A380" s="108">
        <f t="shared" si="39"/>
        <v>22</v>
      </c>
      <c r="B380" s="41" t="s">
        <v>133</v>
      </c>
      <c r="C380" s="30" t="s">
        <v>94</v>
      </c>
      <c r="D380" s="114" t="s">
        <v>4712</v>
      </c>
      <c r="E380" s="113"/>
      <c r="F380" s="32">
        <v>20904.451747346691</v>
      </c>
      <c r="G380" s="32">
        <v>21219.688910157551</v>
      </c>
      <c r="H380" s="32">
        <v>42124.140657504242</v>
      </c>
      <c r="I380" s="33">
        <v>7.27079597911563</v>
      </c>
      <c r="J380" s="33">
        <v>7.27079597911563</v>
      </c>
      <c r="K380" s="34">
        <v>2.4235986597052102</v>
      </c>
      <c r="L380" s="33">
        <v>3.8777578555283361</v>
      </c>
      <c r="M380" s="34">
        <v>4.8471973194104194</v>
      </c>
      <c r="N380" s="34">
        <v>2.9083183916462518</v>
      </c>
      <c r="O380" s="33">
        <v>2.9083183916462518</v>
      </c>
      <c r="P380" s="34">
        <v>5.8166367832925054</v>
      </c>
      <c r="Q380" s="33">
        <v>4.8471973194104194</v>
      </c>
      <c r="R380" s="33">
        <v>5.8166367832925054</v>
      </c>
      <c r="S380" s="33">
        <v>3.393038123587294</v>
      </c>
      <c r="T380" s="34">
        <v>3.393038123587294</v>
      </c>
      <c r="U380" s="34">
        <v>1.4541591958231259</v>
      </c>
      <c r="V380" s="34">
        <v>2.4235986597052102</v>
      </c>
      <c r="W380" s="34">
        <v>1.4541591958231259</v>
      </c>
      <c r="X380" s="34">
        <v>14.54159195823126</v>
      </c>
      <c r="Y380" s="34">
        <v>7.7555157110566721</v>
      </c>
      <c r="Z380" s="34"/>
      <c r="AA380" s="33">
        <v>7.3804388974535353</v>
      </c>
      <c r="AB380" s="33">
        <v>7.3804388974535353</v>
      </c>
      <c r="AC380" s="34">
        <v>2.460146299151178</v>
      </c>
      <c r="AD380" s="33">
        <v>3.9362340786418848</v>
      </c>
      <c r="AE380" s="34">
        <v>4.920292598302356</v>
      </c>
      <c r="AF380" s="34">
        <v>2.952175558981414</v>
      </c>
      <c r="AG380" s="33">
        <v>2.952175558981414</v>
      </c>
      <c r="AH380" s="34">
        <v>5.9043511179628281</v>
      </c>
      <c r="AI380" s="33">
        <v>4.920292598302356</v>
      </c>
      <c r="AJ380" s="33">
        <v>5.9043511179628281</v>
      </c>
      <c r="AK380" s="33">
        <v>3.4442048188116501</v>
      </c>
      <c r="AL380" s="34">
        <v>3.4442048188116501</v>
      </c>
      <c r="AM380" s="34">
        <v>1.476087779490707</v>
      </c>
      <c r="AN380" s="34">
        <v>2.460146299151178</v>
      </c>
      <c r="AO380" s="34">
        <v>1.476087779490707</v>
      </c>
      <c r="AP380" s="34">
        <v>14.760877794907071</v>
      </c>
      <c r="AQ380" s="34">
        <v>7.8724681572837696</v>
      </c>
      <c r="AR380" s="39"/>
    </row>
    <row r="381" spans="1:44" ht="19.5" customHeight="1">
      <c r="A381" s="115"/>
      <c r="B381" s="115" t="s">
        <v>1288</v>
      </c>
      <c r="C381" s="111" t="s">
        <v>4713</v>
      </c>
      <c r="D381" s="116" t="s">
        <v>4714</v>
      </c>
      <c r="E381" s="111">
        <v>3</v>
      </c>
      <c r="F381" s="9">
        <v>266350.66058827378</v>
      </c>
      <c r="G381" s="9">
        <v>64507.854286878952</v>
      </c>
      <c r="H381" s="9">
        <v>330858.51487515279</v>
      </c>
      <c r="I381" s="53">
        <v>92.639660463031021</v>
      </c>
      <c r="J381" s="53">
        <v>92.639660463031021</v>
      </c>
      <c r="K381" s="54">
        <v>30.879886821010341</v>
      </c>
      <c r="L381" s="53">
        <v>49.407818913616538</v>
      </c>
      <c r="M381" s="54">
        <v>61.759773642020683</v>
      </c>
      <c r="N381" s="54">
        <v>37.055864185212407</v>
      </c>
      <c r="O381" s="53">
        <v>37.055864185212407</v>
      </c>
      <c r="P381" s="54">
        <v>74.111728370424828</v>
      </c>
      <c r="Q381" s="53">
        <v>61.759773642020683</v>
      </c>
      <c r="R381" s="53">
        <v>74.111728370424828</v>
      </c>
      <c r="S381" s="53">
        <v>43.231841549414483</v>
      </c>
      <c r="T381" s="54">
        <v>43.231841549414483</v>
      </c>
      <c r="U381" s="54">
        <v>18.527932092606211</v>
      </c>
      <c r="V381" s="54">
        <v>30.879886821010341</v>
      </c>
      <c r="W381" s="54">
        <v>18.527932092606211</v>
      </c>
      <c r="X381" s="54">
        <v>185.27932092606201</v>
      </c>
      <c r="Y381" s="54">
        <v>98.81563782723309</v>
      </c>
      <c r="Z381" s="54"/>
      <c r="AA381" s="53">
        <v>22.436534248258749</v>
      </c>
      <c r="AB381" s="53">
        <v>22.436534248258749</v>
      </c>
      <c r="AC381" s="54">
        <v>7.4788447494195811</v>
      </c>
      <c r="AD381" s="53">
        <v>11.966151599071329</v>
      </c>
      <c r="AE381" s="54">
        <v>14.95768949883916</v>
      </c>
      <c r="AF381" s="54">
        <v>8.9746136993034984</v>
      </c>
      <c r="AG381" s="53">
        <v>8.9746136993034984</v>
      </c>
      <c r="AH381" s="54">
        <v>17.949227398607</v>
      </c>
      <c r="AI381" s="53">
        <v>14.95768949883916</v>
      </c>
      <c r="AJ381" s="53">
        <v>17.949227398607</v>
      </c>
      <c r="AK381" s="53">
        <v>10.470382649187419</v>
      </c>
      <c r="AL381" s="54">
        <v>10.470382649187419</v>
      </c>
      <c r="AM381" s="54">
        <v>4.4873068496517492</v>
      </c>
      <c r="AN381" s="54">
        <v>7.4788447494195811</v>
      </c>
      <c r="AO381" s="54">
        <v>4.4873068496517492</v>
      </c>
      <c r="AP381" s="54">
        <v>44.873068496517497</v>
      </c>
      <c r="AQ381" s="54">
        <v>23.932303198142659</v>
      </c>
      <c r="AR381" s="37"/>
    </row>
    <row r="382" spans="1:44" ht="19.5" customHeight="1">
      <c r="A382" s="64">
        <f>A380+1</f>
        <v>23</v>
      </c>
      <c r="B382" s="56" t="s">
        <v>4715</v>
      </c>
      <c r="C382" s="30" t="s">
        <v>230</v>
      </c>
      <c r="D382" s="56" t="s">
        <v>4716</v>
      </c>
      <c r="E382" s="34"/>
      <c r="F382" s="32">
        <v>122637.1133713321</v>
      </c>
      <c r="G382" s="32">
        <v>32466.124032541051</v>
      </c>
      <c r="H382" s="32">
        <v>155103.23740387309</v>
      </c>
      <c r="I382" s="33">
        <v>42.654523618578253</v>
      </c>
      <c r="J382" s="33">
        <v>42.654523618578253</v>
      </c>
      <c r="K382" s="34">
        <v>14.21817453952608</v>
      </c>
      <c r="L382" s="33">
        <v>22.74907926324174</v>
      </c>
      <c r="M382" s="34">
        <v>28.43634907905216</v>
      </c>
      <c r="N382" s="34">
        <v>17.061809447431301</v>
      </c>
      <c r="O382" s="33">
        <v>17.061809447431301</v>
      </c>
      <c r="P382" s="34">
        <v>34.123618894862602</v>
      </c>
      <c r="Q382" s="33">
        <v>28.43634907905216</v>
      </c>
      <c r="R382" s="33">
        <v>34.123618894862602</v>
      </c>
      <c r="S382" s="33">
        <v>19.90544435533652</v>
      </c>
      <c r="T382" s="34">
        <v>19.90544435533652</v>
      </c>
      <c r="U382" s="34">
        <v>8.5309047237156506</v>
      </c>
      <c r="V382" s="34">
        <v>14.21817453952608</v>
      </c>
      <c r="W382" s="34">
        <v>8.5309047237156506</v>
      </c>
      <c r="X382" s="34">
        <v>85.309047237156506</v>
      </c>
      <c r="Y382" s="34">
        <v>45.498158526483472</v>
      </c>
      <c r="Z382" s="34"/>
      <c r="AA382" s="33">
        <v>11.29207151310391</v>
      </c>
      <c r="AB382" s="33">
        <v>11.29207151310391</v>
      </c>
      <c r="AC382" s="34">
        <v>3.764023837701302</v>
      </c>
      <c r="AD382" s="33">
        <v>6.0224381403220839</v>
      </c>
      <c r="AE382" s="34">
        <v>7.528047675402604</v>
      </c>
      <c r="AF382" s="34">
        <v>4.5168286052415629</v>
      </c>
      <c r="AG382" s="33">
        <v>4.5168286052415629</v>
      </c>
      <c r="AH382" s="34">
        <v>9.0336572104831259</v>
      </c>
      <c r="AI382" s="33">
        <v>7.528047675402604</v>
      </c>
      <c r="AJ382" s="33">
        <v>9.0336572104831259</v>
      </c>
      <c r="AK382" s="33">
        <v>5.2696333727818239</v>
      </c>
      <c r="AL382" s="34">
        <v>5.2696333727818239</v>
      </c>
      <c r="AM382" s="34">
        <v>2.258414302620781</v>
      </c>
      <c r="AN382" s="34">
        <v>3.764023837701302</v>
      </c>
      <c r="AO382" s="34">
        <v>2.258414302620781</v>
      </c>
      <c r="AP382" s="34">
        <v>22.584143026207819</v>
      </c>
      <c r="AQ382" s="34">
        <v>12.04487628064417</v>
      </c>
      <c r="AR382" s="37"/>
    </row>
    <row r="383" spans="1:44" ht="19.5" customHeight="1">
      <c r="A383" s="64">
        <f t="shared" ref="A383:A388" si="40">A382+1</f>
        <v>24</v>
      </c>
      <c r="B383" s="41" t="s">
        <v>133</v>
      </c>
      <c r="C383" s="30" t="s">
        <v>94</v>
      </c>
      <c r="D383" s="56" t="s">
        <v>4717</v>
      </c>
      <c r="E383" s="30"/>
      <c r="F383" s="32">
        <v>20000</v>
      </c>
      <c r="G383" s="32">
        <v>15914.766682618159</v>
      </c>
      <c r="H383" s="32">
        <v>35914.766682618167</v>
      </c>
      <c r="I383" s="33">
        <v>6.956217811393671</v>
      </c>
      <c r="J383" s="33">
        <v>6.956217811393671</v>
      </c>
      <c r="K383" s="34">
        <v>2.318739270464556</v>
      </c>
      <c r="L383" s="33">
        <v>3.7099828327432909</v>
      </c>
      <c r="M383" s="34">
        <v>4.6374785409291128</v>
      </c>
      <c r="N383" s="34">
        <v>2.7824871245574681</v>
      </c>
      <c r="O383" s="33">
        <v>2.7824871245574681</v>
      </c>
      <c r="P383" s="34">
        <v>5.564974249114937</v>
      </c>
      <c r="Q383" s="33">
        <v>4.6374785409291128</v>
      </c>
      <c r="R383" s="33">
        <v>5.564974249114937</v>
      </c>
      <c r="S383" s="33">
        <v>3.2462349786503801</v>
      </c>
      <c r="T383" s="34">
        <v>3.2462349786503801</v>
      </c>
      <c r="U383" s="34">
        <v>1.391243562278734</v>
      </c>
      <c r="V383" s="34">
        <v>2.318739270464556</v>
      </c>
      <c r="W383" s="34">
        <v>1.391243562278734</v>
      </c>
      <c r="X383" s="34">
        <v>13.91243562278734</v>
      </c>
      <c r="Y383" s="34">
        <v>7.4199656654865818</v>
      </c>
      <c r="Z383" s="34"/>
      <c r="AA383" s="33">
        <v>5.535329173090151</v>
      </c>
      <c r="AB383" s="33">
        <v>5.535329173090151</v>
      </c>
      <c r="AC383" s="34">
        <v>1.8451097243633841</v>
      </c>
      <c r="AD383" s="33">
        <v>2.952175558981414</v>
      </c>
      <c r="AE383" s="34">
        <v>3.6902194487267672</v>
      </c>
      <c r="AF383" s="34">
        <v>2.21413166923606</v>
      </c>
      <c r="AG383" s="33">
        <v>2.21413166923606</v>
      </c>
      <c r="AH383" s="34">
        <v>4.4282633384721208</v>
      </c>
      <c r="AI383" s="33">
        <v>3.6902194487267672</v>
      </c>
      <c r="AJ383" s="33">
        <v>4.4282633384721208</v>
      </c>
      <c r="AK383" s="33">
        <v>2.583153614108737</v>
      </c>
      <c r="AL383" s="34">
        <v>2.583153614108737</v>
      </c>
      <c r="AM383" s="34">
        <v>1.10706583461803</v>
      </c>
      <c r="AN383" s="34">
        <v>1.8451097243633841</v>
      </c>
      <c r="AO383" s="34">
        <v>1.10706583461803</v>
      </c>
      <c r="AP383" s="34">
        <v>11.0706583461803</v>
      </c>
      <c r="AQ383" s="34">
        <v>5.9043511179628281</v>
      </c>
      <c r="AR383" s="39"/>
    </row>
    <row r="384" spans="1:44" ht="19.5" customHeight="1">
      <c r="A384" s="64">
        <f t="shared" si="40"/>
        <v>25</v>
      </c>
      <c r="B384" s="41" t="s">
        <v>133</v>
      </c>
      <c r="C384" s="30" t="s">
        <v>94</v>
      </c>
      <c r="D384" s="56" t="s">
        <v>4718</v>
      </c>
      <c r="E384" s="30"/>
      <c r="F384" s="32">
        <v>33151.647914783003</v>
      </c>
      <c r="G384" s="32">
        <v>27055.103360450881</v>
      </c>
      <c r="H384" s="32">
        <v>60206.751275233881</v>
      </c>
      <c r="I384" s="33">
        <v>11.530504185093269</v>
      </c>
      <c r="J384" s="33">
        <v>11.530504185093269</v>
      </c>
      <c r="K384" s="34">
        <v>3.843501395031089</v>
      </c>
      <c r="L384" s="33">
        <v>6.1496022320497437</v>
      </c>
      <c r="M384" s="34">
        <v>7.6870027900621789</v>
      </c>
      <c r="N384" s="34">
        <v>4.6122016740373084</v>
      </c>
      <c r="O384" s="33">
        <v>4.6122016740373084</v>
      </c>
      <c r="P384" s="34">
        <v>9.224403348074615</v>
      </c>
      <c r="Q384" s="33">
        <v>7.6870027900621789</v>
      </c>
      <c r="R384" s="33">
        <v>9.224403348074615</v>
      </c>
      <c r="S384" s="33">
        <v>5.3809019530435256</v>
      </c>
      <c r="T384" s="34">
        <v>5.3809019530435256</v>
      </c>
      <c r="U384" s="34">
        <v>2.3061008370186542</v>
      </c>
      <c r="V384" s="34">
        <v>3.843501395031089</v>
      </c>
      <c r="W384" s="34">
        <v>2.3061008370186542</v>
      </c>
      <c r="X384" s="34">
        <v>23.061008370186538</v>
      </c>
      <c r="Y384" s="34">
        <v>12.299204464099491</v>
      </c>
      <c r="Z384" s="34"/>
      <c r="AA384" s="33">
        <v>9.4100595942532586</v>
      </c>
      <c r="AB384" s="33">
        <v>9.4100595942532586</v>
      </c>
      <c r="AC384" s="34">
        <v>3.136686531417753</v>
      </c>
      <c r="AD384" s="33">
        <v>5.0186984502684053</v>
      </c>
      <c r="AE384" s="34">
        <v>6.2733730628355051</v>
      </c>
      <c r="AF384" s="34">
        <v>3.7640238377013042</v>
      </c>
      <c r="AG384" s="33">
        <v>3.7640238377013042</v>
      </c>
      <c r="AH384" s="34">
        <v>7.5280476754026084</v>
      </c>
      <c r="AI384" s="33">
        <v>6.2733730628355051</v>
      </c>
      <c r="AJ384" s="33">
        <v>7.5280476754026084</v>
      </c>
      <c r="AK384" s="33">
        <v>4.3913611439848541</v>
      </c>
      <c r="AL384" s="34">
        <v>4.3913611439848541</v>
      </c>
      <c r="AM384" s="34">
        <v>1.8820119188506521</v>
      </c>
      <c r="AN384" s="34">
        <v>3.136686531417753</v>
      </c>
      <c r="AO384" s="34">
        <v>1.8820119188506521</v>
      </c>
      <c r="AP384" s="34">
        <v>18.820119188506521</v>
      </c>
      <c r="AQ384" s="34">
        <v>10.037396900536811</v>
      </c>
      <c r="AR384" s="39"/>
    </row>
    <row r="385" spans="1:44" ht="19.5" customHeight="1">
      <c r="A385" s="64">
        <f t="shared" si="40"/>
        <v>26</v>
      </c>
      <c r="B385" s="41" t="s">
        <v>133</v>
      </c>
      <c r="C385" s="30" t="s">
        <v>94</v>
      </c>
      <c r="D385" s="56" t="s">
        <v>4719</v>
      </c>
      <c r="E385" s="30"/>
      <c r="F385" s="32">
        <v>20000</v>
      </c>
      <c r="G385" s="32">
        <v>21219.688910157551</v>
      </c>
      <c r="H385" s="32">
        <v>41219.688910157551</v>
      </c>
      <c r="I385" s="33">
        <v>6.956217811393671</v>
      </c>
      <c r="J385" s="33">
        <v>6.956217811393671</v>
      </c>
      <c r="K385" s="34">
        <v>2.318739270464556</v>
      </c>
      <c r="L385" s="33">
        <v>3.7099828327432909</v>
      </c>
      <c r="M385" s="34">
        <v>4.6374785409291128</v>
      </c>
      <c r="N385" s="34">
        <v>2.7824871245574681</v>
      </c>
      <c r="O385" s="33">
        <v>2.7824871245574681</v>
      </c>
      <c r="P385" s="34">
        <v>5.564974249114937</v>
      </c>
      <c r="Q385" s="33">
        <v>4.6374785409291128</v>
      </c>
      <c r="R385" s="33">
        <v>5.564974249114937</v>
      </c>
      <c r="S385" s="33">
        <v>3.2462349786503801</v>
      </c>
      <c r="T385" s="34">
        <v>3.2462349786503801</v>
      </c>
      <c r="U385" s="34">
        <v>1.391243562278734</v>
      </c>
      <c r="V385" s="34">
        <v>2.318739270464556</v>
      </c>
      <c r="W385" s="34">
        <v>1.391243562278734</v>
      </c>
      <c r="X385" s="34">
        <v>13.91243562278734</v>
      </c>
      <c r="Y385" s="34">
        <v>7.4199656654865818</v>
      </c>
      <c r="Z385" s="54"/>
      <c r="AA385" s="33">
        <v>7.3804388974535353</v>
      </c>
      <c r="AB385" s="33">
        <v>7.3804388974535353</v>
      </c>
      <c r="AC385" s="34">
        <v>2.460146299151178</v>
      </c>
      <c r="AD385" s="33">
        <v>3.9362340786418848</v>
      </c>
      <c r="AE385" s="34">
        <v>4.920292598302356</v>
      </c>
      <c r="AF385" s="34">
        <v>2.952175558981414</v>
      </c>
      <c r="AG385" s="33">
        <v>2.952175558981414</v>
      </c>
      <c r="AH385" s="34">
        <v>5.9043511179628281</v>
      </c>
      <c r="AI385" s="33">
        <v>4.920292598302356</v>
      </c>
      <c r="AJ385" s="33">
        <v>5.9043511179628281</v>
      </c>
      <c r="AK385" s="33">
        <v>3.4442048188116501</v>
      </c>
      <c r="AL385" s="34">
        <v>3.4442048188116501</v>
      </c>
      <c r="AM385" s="34">
        <v>1.476087779490707</v>
      </c>
      <c r="AN385" s="34">
        <v>2.460146299151178</v>
      </c>
      <c r="AO385" s="34">
        <v>1.476087779490707</v>
      </c>
      <c r="AP385" s="34">
        <v>14.760877794907071</v>
      </c>
      <c r="AQ385" s="34">
        <v>7.8724681572837696</v>
      </c>
      <c r="AR385" s="39"/>
    </row>
    <row r="386" spans="1:44" ht="19.5" customHeight="1">
      <c r="A386" s="64">
        <f t="shared" si="40"/>
        <v>27</v>
      </c>
      <c r="B386" s="56" t="s">
        <v>2730</v>
      </c>
      <c r="C386" s="30" t="s">
        <v>159</v>
      </c>
      <c r="D386" s="56" t="s">
        <v>4720</v>
      </c>
      <c r="E386" s="30"/>
      <c r="F386" s="32">
        <v>120723.20884092709</v>
      </c>
      <c r="G386" s="32">
        <v>32466.124032541051</v>
      </c>
      <c r="H386" s="32">
        <v>153189.3328734682</v>
      </c>
      <c r="I386" s="33">
        <v>41.988846779392759</v>
      </c>
      <c r="J386" s="33">
        <v>41.988846779392759</v>
      </c>
      <c r="K386" s="34">
        <v>13.99628225979759</v>
      </c>
      <c r="L386" s="33">
        <v>22.39405161567614</v>
      </c>
      <c r="M386" s="34">
        <v>27.99256451959517</v>
      </c>
      <c r="N386" s="34">
        <v>16.7955387117571</v>
      </c>
      <c r="O386" s="33">
        <v>16.7955387117571</v>
      </c>
      <c r="P386" s="34">
        <v>33.591077423514207</v>
      </c>
      <c r="Q386" s="33">
        <v>27.99256451959517</v>
      </c>
      <c r="R386" s="33">
        <v>33.591077423514207</v>
      </c>
      <c r="S386" s="33">
        <v>19.594795163716618</v>
      </c>
      <c r="T386" s="34">
        <v>19.594795163716618</v>
      </c>
      <c r="U386" s="34">
        <v>8.3977693558785518</v>
      </c>
      <c r="V386" s="34">
        <v>13.99628225979759</v>
      </c>
      <c r="W386" s="34">
        <v>8.3977693558785518</v>
      </c>
      <c r="X386" s="34">
        <v>83.977693558785518</v>
      </c>
      <c r="Y386" s="34">
        <v>44.788103231352281</v>
      </c>
      <c r="Z386" s="34"/>
      <c r="AA386" s="33">
        <v>11.29207151310391</v>
      </c>
      <c r="AB386" s="33">
        <v>11.29207151310391</v>
      </c>
      <c r="AC386" s="34">
        <v>3.764023837701302</v>
      </c>
      <c r="AD386" s="33">
        <v>6.0224381403220839</v>
      </c>
      <c r="AE386" s="34">
        <v>7.528047675402604</v>
      </c>
      <c r="AF386" s="34">
        <v>4.5168286052415629</v>
      </c>
      <c r="AG386" s="33">
        <v>4.5168286052415629</v>
      </c>
      <c r="AH386" s="34">
        <v>9.0336572104831259</v>
      </c>
      <c r="AI386" s="33">
        <v>7.528047675402604</v>
      </c>
      <c r="AJ386" s="33">
        <v>9.0336572104831259</v>
      </c>
      <c r="AK386" s="33">
        <v>5.2696333727818239</v>
      </c>
      <c r="AL386" s="34">
        <v>5.2696333727818239</v>
      </c>
      <c r="AM386" s="34">
        <v>2.258414302620781</v>
      </c>
      <c r="AN386" s="34">
        <v>3.764023837701302</v>
      </c>
      <c r="AO386" s="34">
        <v>2.258414302620781</v>
      </c>
      <c r="AP386" s="34">
        <v>22.584143026207819</v>
      </c>
      <c r="AQ386" s="34">
        <v>12.04487628064417</v>
      </c>
      <c r="AR386" s="37"/>
    </row>
    <row r="387" spans="1:44" ht="19.5" customHeight="1">
      <c r="A387" s="64">
        <f t="shared" si="40"/>
        <v>28</v>
      </c>
      <c r="B387" s="56" t="s">
        <v>4721</v>
      </c>
      <c r="C387" s="30" t="s">
        <v>230</v>
      </c>
      <c r="D387" s="56" t="s">
        <v>4722</v>
      </c>
      <c r="E387" s="30"/>
      <c r="F387" s="32">
        <v>110978.2961799425</v>
      </c>
      <c r="G387" s="32">
        <v>16233.062016270531</v>
      </c>
      <c r="H387" s="32">
        <v>127211.3581962131</v>
      </c>
      <c r="I387" s="33">
        <v>38.599460028251933</v>
      </c>
      <c r="J387" s="33">
        <v>38.599460028251933</v>
      </c>
      <c r="K387" s="34">
        <v>12.866486676083969</v>
      </c>
      <c r="L387" s="33">
        <v>20.586378681734359</v>
      </c>
      <c r="M387" s="34">
        <v>25.732973352167949</v>
      </c>
      <c r="N387" s="34">
        <v>15.43978401130077</v>
      </c>
      <c r="O387" s="33">
        <v>15.43978401130077</v>
      </c>
      <c r="P387" s="34">
        <v>30.879568022601539</v>
      </c>
      <c r="Q387" s="33">
        <v>25.732973352167949</v>
      </c>
      <c r="R387" s="33">
        <v>30.879568022601539</v>
      </c>
      <c r="S387" s="33">
        <v>18.013081346517559</v>
      </c>
      <c r="T387" s="34">
        <v>18.013081346517559</v>
      </c>
      <c r="U387" s="34">
        <v>7.7198920056503848</v>
      </c>
      <c r="V387" s="34">
        <v>12.866486676083969</v>
      </c>
      <c r="W387" s="34">
        <v>7.7198920056503848</v>
      </c>
      <c r="X387" s="34">
        <v>77.198920056503852</v>
      </c>
      <c r="Y387" s="34">
        <v>41.172757363468719</v>
      </c>
      <c r="Z387" s="34"/>
      <c r="AA387" s="33">
        <v>5.6460357565519539</v>
      </c>
      <c r="AB387" s="33">
        <v>5.6460357565519539</v>
      </c>
      <c r="AC387" s="34">
        <v>1.882011918850651</v>
      </c>
      <c r="AD387" s="33">
        <v>3.011219070161042</v>
      </c>
      <c r="AE387" s="34">
        <v>3.764023837701302</v>
      </c>
      <c r="AF387" s="34">
        <v>2.258414302620781</v>
      </c>
      <c r="AG387" s="33">
        <v>2.258414302620781</v>
      </c>
      <c r="AH387" s="34">
        <v>4.5168286052415629</v>
      </c>
      <c r="AI387" s="33">
        <v>3.764023837701302</v>
      </c>
      <c r="AJ387" s="33">
        <v>4.5168286052415629</v>
      </c>
      <c r="AK387" s="33">
        <v>2.6348166863909119</v>
      </c>
      <c r="AL387" s="34">
        <v>2.6348166863909119</v>
      </c>
      <c r="AM387" s="34">
        <v>1.129207151310391</v>
      </c>
      <c r="AN387" s="34">
        <v>1.882011918850651</v>
      </c>
      <c r="AO387" s="34">
        <v>1.129207151310391</v>
      </c>
      <c r="AP387" s="34">
        <v>11.29207151310391</v>
      </c>
      <c r="AQ387" s="34">
        <v>6.0224381403220839</v>
      </c>
      <c r="AR387" s="39"/>
    </row>
    <row r="388" spans="1:44" ht="19.5" customHeight="1">
      <c r="A388" s="64">
        <f t="shared" si="40"/>
        <v>29</v>
      </c>
      <c r="B388" s="41" t="s">
        <v>133</v>
      </c>
      <c r="C388" s="30" t="s">
        <v>94</v>
      </c>
      <c r="D388" s="56" t="s">
        <v>4723</v>
      </c>
      <c r="E388" s="30"/>
      <c r="F388" s="32">
        <v>30000</v>
      </c>
      <c r="G388" s="32">
        <v>20000</v>
      </c>
      <c r="H388" s="32">
        <v>50000</v>
      </c>
      <c r="I388" s="33">
        <v>10.43432671709051</v>
      </c>
      <c r="J388" s="33">
        <v>10.43432671709051</v>
      </c>
      <c r="K388" s="34">
        <v>3.4781089056968351</v>
      </c>
      <c r="L388" s="33">
        <v>5.564974249114937</v>
      </c>
      <c r="M388" s="34">
        <v>6.9562178113936701</v>
      </c>
      <c r="N388" s="34">
        <v>4.173730686836203</v>
      </c>
      <c r="O388" s="33">
        <v>4.173730686836203</v>
      </c>
      <c r="P388" s="34">
        <v>8.3474613736724059</v>
      </c>
      <c r="Q388" s="33">
        <v>6.9562178113936701</v>
      </c>
      <c r="R388" s="33">
        <v>8.3474613736724059</v>
      </c>
      <c r="S388" s="33">
        <v>4.8693524679755704</v>
      </c>
      <c r="T388" s="34">
        <v>4.8693524679755704</v>
      </c>
      <c r="U388" s="34">
        <v>2.086865343418101</v>
      </c>
      <c r="V388" s="34">
        <v>3.4781089056968351</v>
      </c>
      <c r="W388" s="34">
        <v>2.086865343418101</v>
      </c>
      <c r="X388" s="34">
        <v>20.868653434181009</v>
      </c>
      <c r="Y388" s="34">
        <v>11.12994849822987</v>
      </c>
      <c r="Z388" s="34"/>
      <c r="AA388" s="33">
        <v>6.956217811393671</v>
      </c>
      <c r="AB388" s="33">
        <v>6.956217811393671</v>
      </c>
      <c r="AC388" s="34">
        <v>2.318739270464556</v>
      </c>
      <c r="AD388" s="33">
        <v>3.7099828327432909</v>
      </c>
      <c r="AE388" s="34">
        <v>4.6374785409291128</v>
      </c>
      <c r="AF388" s="34">
        <v>2.7824871245574681</v>
      </c>
      <c r="AG388" s="33">
        <v>2.7824871245574681</v>
      </c>
      <c r="AH388" s="34">
        <v>5.564974249114937</v>
      </c>
      <c r="AI388" s="33">
        <v>4.6374785409291128</v>
      </c>
      <c r="AJ388" s="33">
        <v>5.564974249114937</v>
      </c>
      <c r="AK388" s="33">
        <v>3.2462349786503801</v>
      </c>
      <c r="AL388" s="34">
        <v>3.2462349786503801</v>
      </c>
      <c r="AM388" s="34">
        <v>1.391243562278734</v>
      </c>
      <c r="AN388" s="34">
        <v>2.318739270464556</v>
      </c>
      <c r="AO388" s="34">
        <v>1.391243562278734</v>
      </c>
      <c r="AP388" s="34">
        <v>13.91243562278734</v>
      </c>
      <c r="AQ388" s="34">
        <v>7.4199656654865818</v>
      </c>
      <c r="AR388" s="37"/>
    </row>
    <row r="389" spans="1:44" ht="19.5" customHeight="1">
      <c r="A389" s="83"/>
      <c r="B389" s="63" t="s">
        <v>4724</v>
      </c>
      <c r="C389" s="51" t="s">
        <v>185</v>
      </c>
      <c r="D389" s="63" t="s">
        <v>4720</v>
      </c>
      <c r="E389" s="51">
        <v>7</v>
      </c>
      <c r="F389" s="52">
        <v>457490.26630698482</v>
      </c>
      <c r="G389" s="52">
        <v>165354.8690345792</v>
      </c>
      <c r="H389" s="52">
        <v>622845.13534156396</v>
      </c>
      <c r="I389" s="53">
        <v>159.12009695119411</v>
      </c>
      <c r="J389" s="53">
        <v>159.12009695119411</v>
      </c>
      <c r="K389" s="54">
        <v>53.040032317064679</v>
      </c>
      <c r="L389" s="53">
        <v>84.864051707303503</v>
      </c>
      <c r="M389" s="54">
        <v>106.0800646341294</v>
      </c>
      <c r="N389" s="54">
        <v>63.648038780477627</v>
      </c>
      <c r="O389" s="53">
        <v>63.648038780477627</v>
      </c>
      <c r="P389" s="54">
        <v>127.2960775609553</v>
      </c>
      <c r="Q389" s="53">
        <v>106.0800646341294</v>
      </c>
      <c r="R389" s="53">
        <v>127.2960775609553</v>
      </c>
      <c r="S389" s="53">
        <v>74.256045243890568</v>
      </c>
      <c r="T389" s="54">
        <v>74.256045243890568</v>
      </c>
      <c r="U389" s="54">
        <v>31.82401939023881</v>
      </c>
      <c r="V389" s="54">
        <v>53.040032317064679</v>
      </c>
      <c r="W389" s="54">
        <v>31.82401939023881</v>
      </c>
      <c r="X389" s="54">
        <v>318.24019390238811</v>
      </c>
      <c r="Y389" s="54">
        <v>169.72810341460701</v>
      </c>
      <c r="Z389" s="34"/>
      <c r="AA389" s="33">
        <v>57.51222425895039</v>
      </c>
      <c r="AB389" s="33">
        <v>57.51222425895039</v>
      </c>
      <c r="AC389" s="34">
        <v>19.170741419650131</v>
      </c>
      <c r="AD389" s="33">
        <v>30.673186271440208</v>
      </c>
      <c r="AE389" s="34">
        <v>38.341482839300262</v>
      </c>
      <c r="AF389" s="34">
        <v>23.004889703580151</v>
      </c>
      <c r="AG389" s="33">
        <v>23.004889703580151</v>
      </c>
      <c r="AH389" s="34">
        <v>46.009779407160309</v>
      </c>
      <c r="AI389" s="33">
        <v>38.341482839300262</v>
      </c>
      <c r="AJ389" s="33">
        <v>46.009779407160309</v>
      </c>
      <c r="AK389" s="33">
        <v>26.839037987510181</v>
      </c>
      <c r="AL389" s="34">
        <v>26.839037987510181</v>
      </c>
      <c r="AM389" s="34">
        <v>11.502444851790081</v>
      </c>
      <c r="AN389" s="34">
        <v>19.170741419650131</v>
      </c>
      <c r="AO389" s="34">
        <v>11.502444851790081</v>
      </c>
      <c r="AP389" s="34">
        <v>115.02444851790079</v>
      </c>
      <c r="AQ389" s="34">
        <v>61.346372542880417</v>
      </c>
      <c r="AR389" s="39"/>
    </row>
    <row r="390" spans="1:44" ht="19.5" customHeight="1">
      <c r="A390" s="64">
        <f>A388+1</f>
        <v>30</v>
      </c>
      <c r="B390" s="155" t="s">
        <v>133</v>
      </c>
      <c r="C390" s="154" t="s">
        <v>94</v>
      </c>
      <c r="D390" s="56" t="s">
        <v>4725</v>
      </c>
      <c r="E390" s="30"/>
      <c r="F390" s="32">
        <v>34904</v>
      </c>
      <c r="G390" s="32">
        <v>21219.688910157551</v>
      </c>
      <c r="H390" s="32">
        <v>56123.688910157551</v>
      </c>
      <c r="I390" s="33">
        <v>12.139991324444241</v>
      </c>
      <c r="J390" s="33">
        <v>12.139991324444241</v>
      </c>
      <c r="K390" s="34">
        <v>4.0466637748147436</v>
      </c>
      <c r="L390" s="33">
        <v>6.4746620397035919</v>
      </c>
      <c r="M390" s="34">
        <v>8.093327549629489</v>
      </c>
      <c r="N390" s="34">
        <v>4.8559965297776939</v>
      </c>
      <c r="O390" s="33">
        <v>4.8559965297776939</v>
      </c>
      <c r="P390" s="34">
        <v>9.7119930595553878</v>
      </c>
      <c r="Q390" s="33">
        <v>8.093327549629489</v>
      </c>
      <c r="R390" s="33">
        <v>9.7119930595553878</v>
      </c>
      <c r="S390" s="33">
        <v>5.6653292847406416</v>
      </c>
      <c r="T390" s="34">
        <v>5.6653292847406416</v>
      </c>
      <c r="U390" s="34">
        <v>2.427998264888847</v>
      </c>
      <c r="V390" s="34">
        <v>4.0466637748147436</v>
      </c>
      <c r="W390" s="34">
        <v>2.427998264888847</v>
      </c>
      <c r="X390" s="34">
        <v>24.27998264888847</v>
      </c>
      <c r="Y390" s="34">
        <v>12.94932407940718</v>
      </c>
      <c r="Z390" s="34"/>
      <c r="AA390" s="33">
        <v>7.3804388974535353</v>
      </c>
      <c r="AB390" s="33">
        <v>7.3804388974535353</v>
      </c>
      <c r="AC390" s="34">
        <v>2.460146299151178</v>
      </c>
      <c r="AD390" s="33">
        <v>3.9362340786418848</v>
      </c>
      <c r="AE390" s="34">
        <v>4.920292598302356</v>
      </c>
      <c r="AF390" s="34">
        <v>2.952175558981414</v>
      </c>
      <c r="AG390" s="33">
        <v>2.952175558981414</v>
      </c>
      <c r="AH390" s="34">
        <v>5.9043511179628281</v>
      </c>
      <c r="AI390" s="33">
        <v>4.920292598302356</v>
      </c>
      <c r="AJ390" s="33">
        <v>5.9043511179628281</v>
      </c>
      <c r="AK390" s="33">
        <v>3.4442048188116501</v>
      </c>
      <c r="AL390" s="34">
        <v>3.4442048188116501</v>
      </c>
      <c r="AM390" s="34">
        <v>1.476087779490707</v>
      </c>
      <c r="AN390" s="34">
        <v>2.460146299151178</v>
      </c>
      <c r="AO390" s="34">
        <v>1.476087779490707</v>
      </c>
      <c r="AP390" s="34">
        <v>14.760877794907071</v>
      </c>
      <c r="AQ390" s="34">
        <v>7.8724681572837696</v>
      </c>
      <c r="AR390" s="39"/>
    </row>
    <row r="391" spans="1:44" ht="19.5" customHeight="1">
      <c r="A391" s="64">
        <f t="shared" ref="A391:A398" si="41">A390+1</f>
        <v>31</v>
      </c>
      <c r="B391" s="129" t="s">
        <v>133</v>
      </c>
      <c r="C391" s="30" t="s">
        <v>94</v>
      </c>
      <c r="D391" s="56" t="s">
        <v>4726</v>
      </c>
      <c r="E391" s="30"/>
      <c r="F391" s="32">
        <v>44202.197219710673</v>
      </c>
      <c r="G391" s="32">
        <v>16233.062016270531</v>
      </c>
      <c r="H391" s="32">
        <v>60435.25923598119</v>
      </c>
      <c r="I391" s="33">
        <v>15.37400558012436</v>
      </c>
      <c r="J391" s="33">
        <v>15.37400558012436</v>
      </c>
      <c r="K391" s="34">
        <v>5.1246685267081187</v>
      </c>
      <c r="L391" s="33">
        <v>8.1994696427329909</v>
      </c>
      <c r="M391" s="34">
        <v>10.249337053416239</v>
      </c>
      <c r="N391" s="34">
        <v>6.1496022320497428</v>
      </c>
      <c r="O391" s="33">
        <v>6.1496022320497428</v>
      </c>
      <c r="P391" s="34">
        <v>12.299204464099491</v>
      </c>
      <c r="Q391" s="33">
        <v>10.249337053416239</v>
      </c>
      <c r="R391" s="33">
        <v>12.299204464099491</v>
      </c>
      <c r="S391" s="33">
        <v>7.1745359373913669</v>
      </c>
      <c r="T391" s="34">
        <v>7.1745359373913669</v>
      </c>
      <c r="U391" s="34">
        <v>3.0748011160248709</v>
      </c>
      <c r="V391" s="34">
        <v>5.1246685267081187</v>
      </c>
      <c r="W391" s="34">
        <v>3.0748011160248709</v>
      </c>
      <c r="X391" s="34">
        <v>30.748011160248709</v>
      </c>
      <c r="Y391" s="34">
        <v>16.398939285465978</v>
      </c>
      <c r="Z391" s="34"/>
      <c r="AA391" s="33">
        <v>5.6460357565519539</v>
      </c>
      <c r="AB391" s="33">
        <v>5.6460357565519539</v>
      </c>
      <c r="AC391" s="34">
        <v>1.882011918850651</v>
      </c>
      <c r="AD391" s="33">
        <v>3.011219070161042</v>
      </c>
      <c r="AE391" s="34">
        <v>3.764023837701302</v>
      </c>
      <c r="AF391" s="34">
        <v>2.258414302620781</v>
      </c>
      <c r="AG391" s="33">
        <v>2.258414302620781</v>
      </c>
      <c r="AH391" s="34">
        <v>4.5168286052415629</v>
      </c>
      <c r="AI391" s="33">
        <v>3.764023837701302</v>
      </c>
      <c r="AJ391" s="33">
        <v>4.5168286052415629</v>
      </c>
      <c r="AK391" s="33">
        <v>2.6348166863909119</v>
      </c>
      <c r="AL391" s="34">
        <v>2.6348166863909119</v>
      </c>
      <c r="AM391" s="34">
        <v>1.129207151310391</v>
      </c>
      <c r="AN391" s="34">
        <v>1.882011918850651</v>
      </c>
      <c r="AO391" s="34">
        <v>1.129207151310391</v>
      </c>
      <c r="AP391" s="34">
        <v>11.29207151310391</v>
      </c>
      <c r="AQ391" s="34">
        <v>6.0224381403220839</v>
      </c>
      <c r="AR391" s="39"/>
    </row>
    <row r="392" spans="1:44" ht="19.5" customHeight="1">
      <c r="A392" s="64">
        <f t="shared" si="41"/>
        <v>32</v>
      </c>
      <c r="B392" s="129" t="s">
        <v>133</v>
      </c>
      <c r="C392" s="30" t="s">
        <v>94</v>
      </c>
      <c r="D392" s="56" t="s">
        <v>4727</v>
      </c>
      <c r="E392" s="30"/>
      <c r="F392" s="32">
        <v>27704</v>
      </c>
      <c r="G392" s="32">
        <v>10928.13978873114</v>
      </c>
      <c r="H392" s="32">
        <v>38632.13978873114</v>
      </c>
      <c r="I392" s="33">
        <v>9.6357529123425127</v>
      </c>
      <c r="J392" s="33">
        <v>9.6357529123425127</v>
      </c>
      <c r="K392" s="34">
        <v>3.2119176374475038</v>
      </c>
      <c r="L392" s="33">
        <v>5.1390682199160072</v>
      </c>
      <c r="M392" s="34">
        <v>6.4238352748950076</v>
      </c>
      <c r="N392" s="34">
        <v>3.8543011649370049</v>
      </c>
      <c r="O392" s="33">
        <v>3.8543011649370049</v>
      </c>
      <c r="P392" s="34">
        <v>7.7086023298740107</v>
      </c>
      <c r="Q392" s="33">
        <v>6.4238352748950076</v>
      </c>
      <c r="R392" s="33">
        <v>7.7086023298740107</v>
      </c>
      <c r="S392" s="33">
        <v>4.4966846924265056</v>
      </c>
      <c r="T392" s="34">
        <v>4.4966846924265056</v>
      </c>
      <c r="U392" s="34">
        <v>1.9271505824685029</v>
      </c>
      <c r="V392" s="34">
        <v>3.2119176374475038</v>
      </c>
      <c r="W392" s="34">
        <v>1.9271505824685029</v>
      </c>
      <c r="X392" s="34">
        <v>19.271505824685029</v>
      </c>
      <c r="Y392" s="34">
        <v>10.278136439832011</v>
      </c>
      <c r="Z392" s="54"/>
      <c r="AA392" s="33">
        <v>3.8009260321885709</v>
      </c>
      <c r="AB392" s="33">
        <v>3.8009260321885709</v>
      </c>
      <c r="AC392" s="34">
        <v>1.2669753440628571</v>
      </c>
      <c r="AD392" s="33">
        <v>2.0271605505005712</v>
      </c>
      <c r="AE392" s="34">
        <v>2.5339506881257141</v>
      </c>
      <c r="AF392" s="34">
        <v>1.5203704128754281</v>
      </c>
      <c r="AG392" s="33">
        <v>1.5203704128754281</v>
      </c>
      <c r="AH392" s="34">
        <v>3.040740825750857</v>
      </c>
      <c r="AI392" s="33">
        <v>2.5339506881257141</v>
      </c>
      <c r="AJ392" s="33">
        <v>3.040740825750857</v>
      </c>
      <c r="AK392" s="33">
        <v>1.773765481688</v>
      </c>
      <c r="AL392" s="34">
        <v>1.773765481688</v>
      </c>
      <c r="AM392" s="34">
        <v>0.76018520643771414</v>
      </c>
      <c r="AN392" s="34">
        <v>1.2669753440628571</v>
      </c>
      <c r="AO392" s="34">
        <v>0.76018520643771414</v>
      </c>
      <c r="AP392" s="34">
        <v>7.6018520643771419</v>
      </c>
      <c r="AQ392" s="34">
        <v>4.0543211010011424</v>
      </c>
      <c r="AR392" s="39"/>
    </row>
    <row r="393" spans="1:44" ht="19.5" customHeight="1">
      <c r="A393" s="64">
        <f t="shared" si="41"/>
        <v>33</v>
      </c>
      <c r="B393" s="129" t="s">
        <v>133</v>
      </c>
      <c r="C393" s="30" t="s">
        <v>94</v>
      </c>
      <c r="D393" s="56" t="s">
        <v>4728</v>
      </c>
      <c r="E393" s="30"/>
      <c r="F393" s="32">
        <v>17052</v>
      </c>
      <c r="G393" s="32">
        <v>10928.13978873114</v>
      </c>
      <c r="H393" s="32">
        <v>27980.13978873114</v>
      </c>
      <c r="I393" s="33">
        <v>5.9308713059942439</v>
      </c>
      <c r="J393" s="33">
        <v>5.9308713059942439</v>
      </c>
      <c r="K393" s="34">
        <v>1.9769571019980809</v>
      </c>
      <c r="L393" s="33">
        <v>3.1631313631969298</v>
      </c>
      <c r="M393" s="34">
        <v>3.9539142039961619</v>
      </c>
      <c r="N393" s="34">
        <v>2.3723485223976981</v>
      </c>
      <c r="O393" s="33">
        <v>2.3723485223976981</v>
      </c>
      <c r="P393" s="34">
        <v>4.7446970447953953</v>
      </c>
      <c r="Q393" s="33">
        <v>3.9539142039961619</v>
      </c>
      <c r="R393" s="33">
        <v>4.7446970447953953</v>
      </c>
      <c r="S393" s="33">
        <v>2.7677399427973142</v>
      </c>
      <c r="T393" s="34">
        <v>2.7677399427973142</v>
      </c>
      <c r="U393" s="34">
        <v>1.1861742611988491</v>
      </c>
      <c r="V393" s="34">
        <v>1.9769571019980809</v>
      </c>
      <c r="W393" s="34">
        <v>1.1861742611988491</v>
      </c>
      <c r="X393" s="34">
        <v>11.86174261198849</v>
      </c>
      <c r="Y393" s="34">
        <v>6.3262627263938596</v>
      </c>
      <c r="Z393" s="34"/>
      <c r="AA393" s="33">
        <v>3.8009260321885709</v>
      </c>
      <c r="AB393" s="33">
        <v>3.8009260321885709</v>
      </c>
      <c r="AC393" s="34">
        <v>1.2669753440628571</v>
      </c>
      <c r="AD393" s="33">
        <v>2.0271605505005712</v>
      </c>
      <c r="AE393" s="34">
        <v>2.5339506881257141</v>
      </c>
      <c r="AF393" s="34">
        <v>1.5203704128754281</v>
      </c>
      <c r="AG393" s="33">
        <v>1.5203704128754281</v>
      </c>
      <c r="AH393" s="34">
        <v>3.040740825750857</v>
      </c>
      <c r="AI393" s="33">
        <v>2.5339506881257141</v>
      </c>
      <c r="AJ393" s="33">
        <v>3.040740825750857</v>
      </c>
      <c r="AK393" s="33">
        <v>1.773765481688</v>
      </c>
      <c r="AL393" s="34">
        <v>1.773765481688</v>
      </c>
      <c r="AM393" s="34">
        <v>0.76018520643771414</v>
      </c>
      <c r="AN393" s="34">
        <v>1.2669753440628571</v>
      </c>
      <c r="AO393" s="34">
        <v>0.76018520643771414</v>
      </c>
      <c r="AP393" s="34">
        <v>7.6018520643771419</v>
      </c>
      <c r="AQ393" s="34">
        <v>4.0543211010011424</v>
      </c>
      <c r="AR393" s="39"/>
    </row>
    <row r="394" spans="1:44" ht="19.5" customHeight="1">
      <c r="A394" s="64">
        <f t="shared" si="41"/>
        <v>34</v>
      </c>
      <c r="B394" s="155" t="s">
        <v>133</v>
      </c>
      <c r="C394" s="154" t="s">
        <v>94</v>
      </c>
      <c r="D394" s="56" t="s">
        <v>4729</v>
      </c>
      <c r="E394" s="30"/>
      <c r="F394" s="32">
        <v>20904.451747346691</v>
      </c>
      <c r="G394" s="32">
        <v>22293.405169011519</v>
      </c>
      <c r="H394" s="32">
        <v>43197.856916358207</v>
      </c>
      <c r="I394" s="33">
        <v>7.27079597911563</v>
      </c>
      <c r="J394" s="33">
        <v>7.27079597911563</v>
      </c>
      <c r="K394" s="34">
        <v>2.4235986597052102</v>
      </c>
      <c r="L394" s="33">
        <v>3.8777578555283361</v>
      </c>
      <c r="M394" s="34">
        <v>4.8471973194104194</v>
      </c>
      <c r="N394" s="34">
        <v>2.9083183916462518</v>
      </c>
      <c r="O394" s="33">
        <v>2.9083183916462518</v>
      </c>
      <c r="P394" s="34">
        <v>5.8166367832925054</v>
      </c>
      <c r="Q394" s="33">
        <v>4.8471973194104194</v>
      </c>
      <c r="R394" s="33">
        <v>5.8166367832925054</v>
      </c>
      <c r="S394" s="33">
        <v>3.393038123587294</v>
      </c>
      <c r="T394" s="34">
        <v>3.393038123587294</v>
      </c>
      <c r="U394" s="34">
        <v>1.4541591958231259</v>
      </c>
      <c r="V394" s="34">
        <v>2.4235986597052102</v>
      </c>
      <c r="W394" s="34">
        <v>1.4541591958231259</v>
      </c>
      <c r="X394" s="34">
        <v>14.54159195823126</v>
      </c>
      <c r="Y394" s="34">
        <v>7.7555157110566721</v>
      </c>
      <c r="Z394" s="139"/>
      <c r="AA394" s="33">
        <v>7.7538891056646833</v>
      </c>
      <c r="AB394" s="33">
        <v>7.7538891056646833</v>
      </c>
      <c r="AC394" s="34">
        <v>2.584629701888228</v>
      </c>
      <c r="AD394" s="33">
        <v>4.1354075230211649</v>
      </c>
      <c r="AE394" s="34">
        <v>5.1692594037764552</v>
      </c>
      <c r="AF394" s="34">
        <v>3.1015556422658741</v>
      </c>
      <c r="AG394" s="33">
        <v>3.1015556422658741</v>
      </c>
      <c r="AH394" s="34">
        <v>6.2031112845317473</v>
      </c>
      <c r="AI394" s="33">
        <v>5.1692594037764552</v>
      </c>
      <c r="AJ394" s="33">
        <v>6.2031112845317473</v>
      </c>
      <c r="AK394" s="33">
        <v>3.6184815826435188</v>
      </c>
      <c r="AL394" s="34">
        <v>3.6184815826435188</v>
      </c>
      <c r="AM394" s="34">
        <v>1.5507778211329371</v>
      </c>
      <c r="AN394" s="34">
        <v>2.584629701888228</v>
      </c>
      <c r="AO394" s="34">
        <v>1.5507778211329371</v>
      </c>
      <c r="AP394" s="34">
        <v>15.50777821132937</v>
      </c>
      <c r="AQ394" s="34">
        <v>8.2708150460423298</v>
      </c>
      <c r="AR394" s="37"/>
    </row>
    <row r="395" spans="1:44" ht="19.5" customHeight="1">
      <c r="A395" s="64">
        <f t="shared" si="41"/>
        <v>35</v>
      </c>
      <c r="B395" s="129" t="s">
        <v>133</v>
      </c>
      <c r="C395" s="30" t="s">
        <v>94</v>
      </c>
      <c r="D395" s="56" t="s">
        <v>4730</v>
      </c>
      <c r="E395" s="30"/>
      <c r="F395" s="32">
        <v>16500</v>
      </c>
      <c r="G395" s="32">
        <v>0</v>
      </c>
      <c r="H395" s="32">
        <v>16500</v>
      </c>
      <c r="I395" s="33">
        <v>5.7388796943997784</v>
      </c>
      <c r="J395" s="33">
        <v>5.7388796943997784</v>
      </c>
      <c r="K395" s="34">
        <v>1.912959898133259</v>
      </c>
      <c r="L395" s="33">
        <v>3.0607358370132149</v>
      </c>
      <c r="M395" s="34">
        <v>3.8259197962665188</v>
      </c>
      <c r="N395" s="34">
        <v>2.295551877759912</v>
      </c>
      <c r="O395" s="33">
        <v>2.295551877759912</v>
      </c>
      <c r="P395" s="34">
        <v>4.5911037555198231</v>
      </c>
      <c r="Q395" s="33">
        <v>3.8259197962665188</v>
      </c>
      <c r="R395" s="33">
        <v>4.5911037555198231</v>
      </c>
      <c r="S395" s="33">
        <v>2.678143857386563</v>
      </c>
      <c r="T395" s="34">
        <v>2.678143857386563</v>
      </c>
      <c r="U395" s="34">
        <v>1.147775938879956</v>
      </c>
      <c r="V395" s="34">
        <v>1.912959898133259</v>
      </c>
      <c r="W395" s="34">
        <v>1.147775938879956</v>
      </c>
      <c r="X395" s="34">
        <v>11.47775938879956</v>
      </c>
      <c r="Y395" s="34">
        <v>6.1214716740264308</v>
      </c>
      <c r="Z395" s="34"/>
      <c r="AA395" s="33">
        <v>0</v>
      </c>
      <c r="AB395" s="33">
        <v>0</v>
      </c>
      <c r="AC395" s="34">
        <v>0</v>
      </c>
      <c r="AD395" s="33">
        <v>0</v>
      </c>
      <c r="AE395" s="34">
        <v>0</v>
      </c>
      <c r="AF395" s="34">
        <v>0</v>
      </c>
      <c r="AG395" s="33">
        <v>0</v>
      </c>
      <c r="AH395" s="34">
        <v>0</v>
      </c>
      <c r="AI395" s="33">
        <v>0</v>
      </c>
      <c r="AJ395" s="33">
        <v>0</v>
      </c>
      <c r="AK395" s="33">
        <v>0</v>
      </c>
      <c r="AL395" s="34">
        <v>0</v>
      </c>
      <c r="AM395" s="34">
        <v>0</v>
      </c>
      <c r="AN395" s="34">
        <v>0</v>
      </c>
      <c r="AO395" s="34">
        <v>0</v>
      </c>
      <c r="AP395" s="34">
        <v>0</v>
      </c>
      <c r="AQ395" s="34">
        <v>0</v>
      </c>
      <c r="AR395" s="48"/>
    </row>
    <row r="396" spans="1:44" ht="19.5" customHeight="1">
      <c r="A396" s="64">
        <f t="shared" si="41"/>
        <v>36</v>
      </c>
      <c r="B396" s="16" t="s">
        <v>4731</v>
      </c>
      <c r="C396" s="30" t="s">
        <v>1369</v>
      </c>
      <c r="D396" s="56" t="s">
        <v>4732</v>
      </c>
      <c r="E396" s="30"/>
      <c r="F396" s="32">
        <v>66303.295829566006</v>
      </c>
      <c r="G396" s="32">
        <v>10928.13978873114</v>
      </c>
      <c r="H396" s="32">
        <v>77231.435618297139</v>
      </c>
      <c r="I396" s="33">
        <v>23.061008370186538</v>
      </c>
      <c r="J396" s="33">
        <v>23.061008370186538</v>
      </c>
      <c r="K396" s="34">
        <v>7.6870027900621789</v>
      </c>
      <c r="L396" s="33">
        <v>12.299204464099491</v>
      </c>
      <c r="M396" s="34">
        <v>15.37400558012436</v>
      </c>
      <c r="N396" s="34">
        <v>9.224403348074615</v>
      </c>
      <c r="O396" s="33">
        <v>9.224403348074615</v>
      </c>
      <c r="P396" s="34">
        <v>18.44880669614923</v>
      </c>
      <c r="Q396" s="33">
        <v>15.37400558012436</v>
      </c>
      <c r="R396" s="33">
        <v>18.44880669614923</v>
      </c>
      <c r="S396" s="33">
        <v>10.761803906087049</v>
      </c>
      <c r="T396" s="34">
        <v>10.761803906087049</v>
      </c>
      <c r="U396" s="34">
        <v>4.6122016740373084</v>
      </c>
      <c r="V396" s="34">
        <v>7.6870027900621789</v>
      </c>
      <c r="W396" s="34">
        <v>4.6122016740373084</v>
      </c>
      <c r="X396" s="34">
        <v>46.122016740373077</v>
      </c>
      <c r="Y396" s="34">
        <v>24.598408928198971</v>
      </c>
      <c r="Z396" s="34"/>
      <c r="AA396" s="33">
        <v>3.8009260321885709</v>
      </c>
      <c r="AB396" s="33">
        <v>3.8009260321885709</v>
      </c>
      <c r="AC396" s="34">
        <v>1.2669753440628571</v>
      </c>
      <c r="AD396" s="33">
        <v>2.0271605505005712</v>
      </c>
      <c r="AE396" s="34">
        <v>2.5339506881257141</v>
      </c>
      <c r="AF396" s="34">
        <v>1.5203704128754281</v>
      </c>
      <c r="AG396" s="33">
        <v>1.5203704128754281</v>
      </c>
      <c r="AH396" s="34">
        <v>3.040740825750857</v>
      </c>
      <c r="AI396" s="33">
        <v>2.5339506881257141</v>
      </c>
      <c r="AJ396" s="33">
        <v>3.040740825750857</v>
      </c>
      <c r="AK396" s="33">
        <v>1.773765481688</v>
      </c>
      <c r="AL396" s="34">
        <v>1.773765481688</v>
      </c>
      <c r="AM396" s="34">
        <v>0.76018520643771414</v>
      </c>
      <c r="AN396" s="34">
        <v>1.2669753440628571</v>
      </c>
      <c r="AO396" s="34">
        <v>0.76018520643771414</v>
      </c>
      <c r="AP396" s="34">
        <v>7.6018520643771419</v>
      </c>
      <c r="AQ396" s="34">
        <v>4.0543211010011424</v>
      </c>
      <c r="AR396" s="39"/>
    </row>
    <row r="397" spans="1:44" ht="19.5" customHeight="1">
      <c r="A397" s="64">
        <f t="shared" si="41"/>
        <v>37</v>
      </c>
      <c r="B397" s="16" t="s">
        <v>4733</v>
      </c>
      <c r="C397" s="30" t="s">
        <v>159</v>
      </c>
      <c r="D397" s="56" t="s">
        <v>4734</v>
      </c>
      <c r="E397" s="30"/>
      <c r="F397" s="32">
        <v>122637.1133713321</v>
      </c>
      <c r="G397" s="32">
        <v>16720.05387675864</v>
      </c>
      <c r="H397" s="32">
        <v>139357.1672480907</v>
      </c>
      <c r="I397" s="33">
        <v>42.654523618578253</v>
      </c>
      <c r="J397" s="33">
        <v>42.654523618578253</v>
      </c>
      <c r="K397" s="34">
        <v>14.21817453952608</v>
      </c>
      <c r="L397" s="33">
        <v>22.74907926324174</v>
      </c>
      <c r="M397" s="34">
        <v>28.43634907905216</v>
      </c>
      <c r="N397" s="34">
        <v>17.061809447431301</v>
      </c>
      <c r="O397" s="33">
        <v>17.061809447431301</v>
      </c>
      <c r="P397" s="34">
        <v>34.123618894862602</v>
      </c>
      <c r="Q397" s="33">
        <v>28.43634907905216</v>
      </c>
      <c r="R397" s="33">
        <v>34.123618894862602</v>
      </c>
      <c r="S397" s="33">
        <v>19.90544435533652</v>
      </c>
      <c r="T397" s="34">
        <v>19.90544435533652</v>
      </c>
      <c r="U397" s="34">
        <v>8.5309047237156506</v>
      </c>
      <c r="V397" s="34">
        <v>14.21817453952608</v>
      </c>
      <c r="W397" s="34">
        <v>8.5309047237156506</v>
      </c>
      <c r="X397" s="34">
        <v>85.309047237156506</v>
      </c>
      <c r="Y397" s="34">
        <v>45.498158526483472</v>
      </c>
      <c r="Z397" s="34"/>
      <c r="AA397" s="33">
        <v>5.8154168292485124</v>
      </c>
      <c r="AB397" s="33">
        <v>5.8154168292485124</v>
      </c>
      <c r="AC397" s="34">
        <v>1.938472276416171</v>
      </c>
      <c r="AD397" s="33">
        <v>3.1015556422658741</v>
      </c>
      <c r="AE397" s="34">
        <v>3.8769445528323412</v>
      </c>
      <c r="AF397" s="34">
        <v>2.3261667316994048</v>
      </c>
      <c r="AG397" s="33">
        <v>2.3261667316994048</v>
      </c>
      <c r="AH397" s="34">
        <v>4.6523334633988096</v>
      </c>
      <c r="AI397" s="33">
        <v>3.8769445528323412</v>
      </c>
      <c r="AJ397" s="33">
        <v>4.6523334633988096</v>
      </c>
      <c r="AK397" s="33">
        <v>2.7138611869826388</v>
      </c>
      <c r="AL397" s="34">
        <v>2.7138611869826388</v>
      </c>
      <c r="AM397" s="34">
        <v>1.1630833658497031</v>
      </c>
      <c r="AN397" s="34">
        <v>1.938472276416171</v>
      </c>
      <c r="AO397" s="34">
        <v>1.1630833658497031</v>
      </c>
      <c r="AP397" s="34">
        <v>11.63083365849702</v>
      </c>
      <c r="AQ397" s="34">
        <v>6.2031112845317473</v>
      </c>
      <c r="AR397" s="39"/>
    </row>
    <row r="398" spans="1:44" ht="19.5" customHeight="1">
      <c r="A398" s="64">
        <f t="shared" si="41"/>
        <v>38</v>
      </c>
      <c r="B398" s="16" t="s">
        <v>4735</v>
      </c>
      <c r="C398" s="30" t="s">
        <v>230</v>
      </c>
      <c r="D398" s="56" t="s">
        <v>4736</v>
      </c>
      <c r="E398" s="30"/>
      <c r="F398" s="32">
        <v>122637.1133713321</v>
      </c>
      <c r="G398" s="32">
        <v>32466.124032541051</v>
      </c>
      <c r="H398" s="32">
        <v>155103.23740387309</v>
      </c>
      <c r="I398" s="33">
        <v>42.654523618578253</v>
      </c>
      <c r="J398" s="33">
        <v>42.654523618578253</v>
      </c>
      <c r="K398" s="34">
        <v>14.21817453952608</v>
      </c>
      <c r="L398" s="33">
        <v>22.74907926324174</v>
      </c>
      <c r="M398" s="34">
        <v>28.43634907905216</v>
      </c>
      <c r="N398" s="34">
        <v>17.061809447431301</v>
      </c>
      <c r="O398" s="33">
        <v>17.061809447431301</v>
      </c>
      <c r="P398" s="34">
        <v>34.123618894862602</v>
      </c>
      <c r="Q398" s="33">
        <v>28.43634907905216</v>
      </c>
      <c r="R398" s="33">
        <v>34.123618894862602</v>
      </c>
      <c r="S398" s="33">
        <v>19.90544435533652</v>
      </c>
      <c r="T398" s="34">
        <v>19.90544435533652</v>
      </c>
      <c r="U398" s="34">
        <v>8.5309047237156506</v>
      </c>
      <c r="V398" s="34">
        <v>14.21817453952608</v>
      </c>
      <c r="W398" s="34">
        <v>8.5309047237156506</v>
      </c>
      <c r="X398" s="34">
        <v>85.309047237156506</v>
      </c>
      <c r="Y398" s="34">
        <v>45.498158526483472</v>
      </c>
      <c r="Z398" s="34"/>
      <c r="AA398" s="33">
        <v>11.29207151310391</v>
      </c>
      <c r="AB398" s="33">
        <v>11.29207151310391</v>
      </c>
      <c r="AC398" s="34">
        <v>3.764023837701302</v>
      </c>
      <c r="AD398" s="33">
        <v>6.0224381403220839</v>
      </c>
      <c r="AE398" s="34">
        <v>7.528047675402604</v>
      </c>
      <c r="AF398" s="34">
        <v>4.5168286052415629</v>
      </c>
      <c r="AG398" s="33">
        <v>4.5168286052415629</v>
      </c>
      <c r="AH398" s="34">
        <v>9.0336572104831259</v>
      </c>
      <c r="AI398" s="33">
        <v>7.528047675402604</v>
      </c>
      <c r="AJ398" s="33">
        <v>9.0336572104831259</v>
      </c>
      <c r="AK398" s="33">
        <v>5.2696333727818239</v>
      </c>
      <c r="AL398" s="34">
        <v>5.2696333727818239</v>
      </c>
      <c r="AM398" s="34">
        <v>2.258414302620781</v>
      </c>
      <c r="AN398" s="34">
        <v>3.764023837701302</v>
      </c>
      <c r="AO398" s="34">
        <v>2.258414302620781</v>
      </c>
      <c r="AP398" s="34">
        <v>22.584143026207819</v>
      </c>
      <c r="AQ398" s="34">
        <v>12.04487628064417</v>
      </c>
      <c r="AR398" s="39"/>
    </row>
    <row r="399" spans="1:44" ht="19.5" customHeight="1">
      <c r="A399" s="83"/>
      <c r="B399" s="76" t="s">
        <v>4737</v>
      </c>
      <c r="C399" s="51" t="s">
        <v>2324</v>
      </c>
      <c r="D399" s="63" t="s">
        <v>4738</v>
      </c>
      <c r="E399" s="51">
        <v>9</v>
      </c>
      <c r="F399" s="52">
        <v>472844.17153928749</v>
      </c>
      <c r="G399" s="52">
        <v>141716.75337093271</v>
      </c>
      <c r="H399" s="52">
        <v>614560.9249102202</v>
      </c>
      <c r="I399" s="53">
        <v>164.46035240376381</v>
      </c>
      <c r="J399" s="53">
        <v>164.46035240376381</v>
      </c>
      <c r="K399" s="54">
        <v>54.820117467921257</v>
      </c>
      <c r="L399" s="53">
        <v>87.712187948674014</v>
      </c>
      <c r="M399" s="54">
        <v>109.6402349358425</v>
      </c>
      <c r="N399" s="54">
        <v>65.784140961505514</v>
      </c>
      <c r="O399" s="53">
        <v>65.784140961505514</v>
      </c>
      <c r="P399" s="54">
        <v>131.568281923011</v>
      </c>
      <c r="Q399" s="53">
        <v>109.6402349358425</v>
      </c>
      <c r="R399" s="53">
        <v>131.568281923011</v>
      </c>
      <c r="S399" s="53">
        <v>76.748164455089764</v>
      </c>
      <c r="T399" s="54">
        <v>76.748164455089764</v>
      </c>
      <c r="U399" s="54">
        <v>32.892070480752757</v>
      </c>
      <c r="V399" s="54">
        <v>54.820117467921257</v>
      </c>
      <c r="W399" s="54">
        <v>32.892070480752757</v>
      </c>
      <c r="X399" s="54">
        <v>328.92070480752761</v>
      </c>
      <c r="Y399" s="54">
        <v>175.424375897348</v>
      </c>
      <c r="Z399" s="54"/>
      <c r="AA399" s="53">
        <v>49.29063019858831</v>
      </c>
      <c r="AB399" s="53">
        <v>49.29063019858831</v>
      </c>
      <c r="AC399" s="54">
        <v>16.4302100661961</v>
      </c>
      <c r="AD399" s="53">
        <v>26.288336105913761</v>
      </c>
      <c r="AE399" s="54">
        <v>32.8604201323922</v>
      </c>
      <c r="AF399" s="54">
        <v>19.716252079435321</v>
      </c>
      <c r="AG399" s="53">
        <v>19.716252079435321</v>
      </c>
      <c r="AH399" s="54">
        <v>39.43250415887065</v>
      </c>
      <c r="AI399" s="53">
        <v>32.8604201323922</v>
      </c>
      <c r="AJ399" s="53">
        <v>39.43250415887065</v>
      </c>
      <c r="AK399" s="53">
        <v>23.00229409267455</v>
      </c>
      <c r="AL399" s="54">
        <v>23.00229409267455</v>
      </c>
      <c r="AM399" s="54">
        <v>9.8581260397176624</v>
      </c>
      <c r="AN399" s="54">
        <v>16.4302100661961</v>
      </c>
      <c r="AO399" s="54">
        <v>9.8581260397176624</v>
      </c>
      <c r="AP399" s="54">
        <v>98.581260397176621</v>
      </c>
      <c r="AQ399" s="54">
        <v>52.576672211827528</v>
      </c>
      <c r="AR399" s="39"/>
    </row>
    <row r="400" spans="1:44" ht="19.5" customHeight="1">
      <c r="A400" s="64">
        <f>A398+1</f>
        <v>39</v>
      </c>
      <c r="B400" s="16" t="s">
        <v>4739</v>
      </c>
      <c r="C400" s="30" t="s">
        <v>159</v>
      </c>
      <c r="D400" s="56" t="s">
        <v>4740</v>
      </c>
      <c r="E400" s="30"/>
      <c r="F400" s="32">
        <v>125426.7104840801</v>
      </c>
      <c r="G400" s="32">
        <v>21644.082688360701</v>
      </c>
      <c r="H400" s="32">
        <v>147070.79317244081</v>
      </c>
      <c r="I400" s="33">
        <v>43.624775874693768</v>
      </c>
      <c r="J400" s="33">
        <v>43.624775874693768</v>
      </c>
      <c r="K400" s="34">
        <v>14.54159195823126</v>
      </c>
      <c r="L400" s="33">
        <v>23.266547133170011</v>
      </c>
      <c r="M400" s="34">
        <v>29.083183916462509</v>
      </c>
      <c r="N400" s="34">
        <v>17.449910349877509</v>
      </c>
      <c r="O400" s="33">
        <v>17.449910349877509</v>
      </c>
      <c r="P400" s="34">
        <v>34.899820699755033</v>
      </c>
      <c r="Q400" s="33">
        <v>29.083183916462509</v>
      </c>
      <c r="R400" s="33">
        <v>34.899820699755033</v>
      </c>
      <c r="S400" s="33">
        <v>20.35822874152376</v>
      </c>
      <c r="T400" s="34">
        <v>20.35822874152376</v>
      </c>
      <c r="U400" s="34">
        <v>8.7249551749387564</v>
      </c>
      <c r="V400" s="34">
        <v>14.54159195823126</v>
      </c>
      <c r="W400" s="34">
        <v>8.7249551749387564</v>
      </c>
      <c r="X400" s="34">
        <v>87.24955174938755</v>
      </c>
      <c r="Y400" s="34">
        <v>46.533094266340029</v>
      </c>
      <c r="Z400" s="34"/>
      <c r="AA400" s="33">
        <v>7.5280476754026058</v>
      </c>
      <c r="AB400" s="33">
        <v>7.5280476754026058</v>
      </c>
      <c r="AC400" s="34">
        <v>2.5093492251342022</v>
      </c>
      <c r="AD400" s="33">
        <v>4.0149587602147232</v>
      </c>
      <c r="AE400" s="34">
        <v>5.0186984502684044</v>
      </c>
      <c r="AF400" s="34">
        <v>3.011219070161042</v>
      </c>
      <c r="AG400" s="33">
        <v>3.011219070161042</v>
      </c>
      <c r="AH400" s="34">
        <v>6.0224381403220848</v>
      </c>
      <c r="AI400" s="33">
        <v>5.0186984502684044</v>
      </c>
      <c r="AJ400" s="33">
        <v>6.0224381403220848</v>
      </c>
      <c r="AK400" s="33">
        <v>3.513088915187883</v>
      </c>
      <c r="AL400" s="34">
        <v>3.513088915187883</v>
      </c>
      <c r="AM400" s="34">
        <v>1.505609535080521</v>
      </c>
      <c r="AN400" s="34">
        <v>2.5093492251342022</v>
      </c>
      <c r="AO400" s="34">
        <v>1.505609535080521</v>
      </c>
      <c r="AP400" s="34">
        <v>15.05609535080521</v>
      </c>
      <c r="AQ400" s="34">
        <v>8.0299175204294464</v>
      </c>
      <c r="AR400" s="39"/>
    </row>
    <row r="401" spans="1:44" ht="19.5" customHeight="1">
      <c r="A401" s="64">
        <f t="shared" ref="A401:A407" si="42">A400+1</f>
        <v>40</v>
      </c>
      <c r="B401" s="81" t="s">
        <v>133</v>
      </c>
      <c r="C401" s="26" t="s">
        <v>94</v>
      </c>
      <c r="D401" s="56" t="s">
        <v>4741</v>
      </c>
      <c r="E401" s="30"/>
      <c r="F401" s="32">
        <v>50000</v>
      </c>
      <c r="G401" s="32">
        <v>21644.082688360701</v>
      </c>
      <c r="H401" s="32">
        <v>71644.082688360708</v>
      </c>
      <c r="I401" s="33">
        <v>17.39054452848417</v>
      </c>
      <c r="J401" s="33">
        <v>17.39054452848417</v>
      </c>
      <c r="K401" s="34">
        <v>5.796848176161391</v>
      </c>
      <c r="L401" s="33">
        <v>9.2749570818582274</v>
      </c>
      <c r="M401" s="34">
        <v>11.59369635232278</v>
      </c>
      <c r="N401" s="34">
        <v>6.9562178113936701</v>
      </c>
      <c r="O401" s="33">
        <v>6.9562178113936701</v>
      </c>
      <c r="P401" s="34">
        <v>13.91243562278734</v>
      </c>
      <c r="Q401" s="33">
        <v>11.59369635232278</v>
      </c>
      <c r="R401" s="33">
        <v>13.91243562278734</v>
      </c>
      <c r="S401" s="33">
        <v>8.1155874466259483</v>
      </c>
      <c r="T401" s="34">
        <v>8.1155874466259483</v>
      </c>
      <c r="U401" s="34">
        <v>3.4781089056968351</v>
      </c>
      <c r="V401" s="34">
        <v>5.796848176161391</v>
      </c>
      <c r="W401" s="34">
        <v>3.4781089056968351</v>
      </c>
      <c r="X401" s="34">
        <v>34.781089056968348</v>
      </c>
      <c r="Y401" s="34">
        <v>18.549914163716451</v>
      </c>
      <c r="Z401" s="34"/>
      <c r="AA401" s="33">
        <v>7.5280476754026058</v>
      </c>
      <c r="AB401" s="33">
        <v>7.5280476754026058</v>
      </c>
      <c r="AC401" s="34">
        <v>2.5093492251342022</v>
      </c>
      <c r="AD401" s="33">
        <v>4.0149587602147232</v>
      </c>
      <c r="AE401" s="34">
        <v>5.0186984502684044</v>
      </c>
      <c r="AF401" s="34">
        <v>3.011219070161042</v>
      </c>
      <c r="AG401" s="33">
        <v>3.011219070161042</v>
      </c>
      <c r="AH401" s="34">
        <v>6.0224381403220848</v>
      </c>
      <c r="AI401" s="33">
        <v>5.0186984502684044</v>
      </c>
      <c r="AJ401" s="33">
        <v>6.0224381403220848</v>
      </c>
      <c r="AK401" s="33">
        <v>3.513088915187883</v>
      </c>
      <c r="AL401" s="34">
        <v>3.513088915187883</v>
      </c>
      <c r="AM401" s="34">
        <v>1.505609535080521</v>
      </c>
      <c r="AN401" s="34">
        <v>2.5093492251342022</v>
      </c>
      <c r="AO401" s="34">
        <v>1.505609535080521</v>
      </c>
      <c r="AP401" s="34">
        <v>15.05609535080521</v>
      </c>
      <c r="AQ401" s="34">
        <v>8.0299175204294464</v>
      </c>
      <c r="AR401" s="39"/>
    </row>
    <row r="402" spans="1:44" ht="19.5" customHeight="1">
      <c r="A402" s="64">
        <f t="shared" si="42"/>
        <v>41</v>
      </c>
      <c r="B402" s="129" t="s">
        <v>133</v>
      </c>
      <c r="C402" s="30" t="s">
        <v>94</v>
      </c>
      <c r="D402" s="56" t="s">
        <v>4742</v>
      </c>
      <c r="E402" s="30"/>
      <c r="F402" s="32">
        <v>26130.564684183359</v>
      </c>
      <c r="G402" s="32">
        <v>26524.611137696938</v>
      </c>
      <c r="H402" s="32">
        <v>52655.175821880301</v>
      </c>
      <c r="I402" s="33">
        <v>9.0884949738945355</v>
      </c>
      <c r="J402" s="33">
        <v>9.0884949738945355</v>
      </c>
      <c r="K402" s="34">
        <v>3.0294983246315108</v>
      </c>
      <c r="L402" s="33">
        <v>4.8471973194104194</v>
      </c>
      <c r="M402" s="34">
        <v>6.0589966492630234</v>
      </c>
      <c r="N402" s="34">
        <v>3.6353979895578141</v>
      </c>
      <c r="O402" s="33">
        <v>3.6353979895578141</v>
      </c>
      <c r="P402" s="34">
        <v>7.2707959791156282</v>
      </c>
      <c r="Q402" s="33">
        <v>6.0589966492630234</v>
      </c>
      <c r="R402" s="33">
        <v>7.2707959791156282</v>
      </c>
      <c r="S402" s="33">
        <v>4.2412976544841161</v>
      </c>
      <c r="T402" s="34">
        <v>4.2412976544841161</v>
      </c>
      <c r="U402" s="34">
        <v>1.8176989947789071</v>
      </c>
      <c r="V402" s="34">
        <v>3.0294983246315108</v>
      </c>
      <c r="W402" s="34">
        <v>1.8176989947789071</v>
      </c>
      <c r="X402" s="34">
        <v>18.176989947789071</v>
      </c>
      <c r="Y402" s="34">
        <v>9.6943946388208371</v>
      </c>
      <c r="Z402" s="54"/>
      <c r="AA402" s="53">
        <v>9.2255486218169196</v>
      </c>
      <c r="AB402" s="53">
        <v>9.2255486218169196</v>
      </c>
      <c r="AC402" s="54">
        <v>3.075182873938973</v>
      </c>
      <c r="AD402" s="53">
        <v>4.9202925983023569</v>
      </c>
      <c r="AE402" s="54">
        <v>6.1503657478779452</v>
      </c>
      <c r="AF402" s="54">
        <v>3.6902194487267681</v>
      </c>
      <c r="AG402" s="53">
        <v>3.6902194487267681</v>
      </c>
      <c r="AH402" s="54">
        <v>7.3804388974535362</v>
      </c>
      <c r="AI402" s="53">
        <v>6.1503657478779452</v>
      </c>
      <c r="AJ402" s="53">
        <v>7.3804388974535362</v>
      </c>
      <c r="AK402" s="53">
        <v>4.3052560235145627</v>
      </c>
      <c r="AL402" s="54">
        <v>4.3052560235145627</v>
      </c>
      <c r="AM402" s="54">
        <v>1.8451097243633841</v>
      </c>
      <c r="AN402" s="54">
        <v>3.075182873938973</v>
      </c>
      <c r="AO402" s="54">
        <v>1.8451097243633841</v>
      </c>
      <c r="AP402" s="54">
        <v>18.451097243633839</v>
      </c>
      <c r="AQ402" s="54">
        <v>9.8405851966047138</v>
      </c>
      <c r="AR402" s="37"/>
    </row>
    <row r="403" spans="1:44" ht="19.5" customHeight="1">
      <c r="A403" s="64">
        <f t="shared" si="42"/>
        <v>42</v>
      </c>
      <c r="B403" s="81" t="s">
        <v>133</v>
      </c>
      <c r="C403" s="110" t="s">
        <v>94</v>
      </c>
      <c r="D403" s="56" t="s">
        <v>4743</v>
      </c>
      <c r="E403" s="30"/>
      <c r="F403" s="32">
        <v>29863.502496209559</v>
      </c>
      <c r="G403" s="32">
        <v>33951.502256252083</v>
      </c>
      <c r="H403" s="32">
        <v>63815.004752461638</v>
      </c>
      <c r="I403" s="53">
        <v>10.38685139873661</v>
      </c>
      <c r="J403" s="53">
        <v>10.38685139873661</v>
      </c>
      <c r="K403" s="54">
        <v>3.46228379957887</v>
      </c>
      <c r="L403" s="53">
        <v>5.5396540793261932</v>
      </c>
      <c r="M403" s="54">
        <v>6.9245675991577409</v>
      </c>
      <c r="N403" s="54">
        <v>4.1547405594946456</v>
      </c>
      <c r="O403" s="53">
        <v>4.1547405594946456</v>
      </c>
      <c r="P403" s="54">
        <v>8.3094811189892912</v>
      </c>
      <c r="Q403" s="53">
        <v>6.9245675991577409</v>
      </c>
      <c r="R403" s="53">
        <v>8.3094811189892912</v>
      </c>
      <c r="S403" s="53">
        <v>4.8471973194104194</v>
      </c>
      <c r="T403" s="54">
        <v>4.8471973194104194</v>
      </c>
      <c r="U403" s="54">
        <v>2.0773702797473228</v>
      </c>
      <c r="V403" s="54">
        <v>3.46228379957887</v>
      </c>
      <c r="W403" s="54">
        <v>2.0773702797473228</v>
      </c>
      <c r="X403" s="54">
        <v>20.773702797473231</v>
      </c>
      <c r="Y403" s="54">
        <v>11.07930815865239</v>
      </c>
      <c r="Z403" s="54"/>
      <c r="AA403" s="53">
        <v>11.80870223592566</v>
      </c>
      <c r="AB403" s="53">
        <v>11.80870223592566</v>
      </c>
      <c r="AC403" s="54">
        <v>3.9362340786418848</v>
      </c>
      <c r="AD403" s="53">
        <v>6.2979745258270166</v>
      </c>
      <c r="AE403" s="54">
        <v>7.8724681572837696</v>
      </c>
      <c r="AF403" s="54">
        <v>4.7234808943702626</v>
      </c>
      <c r="AG403" s="53">
        <v>4.7234808943702626</v>
      </c>
      <c r="AH403" s="54">
        <v>9.4469617887405253</v>
      </c>
      <c r="AI403" s="53">
        <v>7.8724681572837696</v>
      </c>
      <c r="AJ403" s="53">
        <v>9.4469617887405253</v>
      </c>
      <c r="AK403" s="53">
        <v>5.5107277100986396</v>
      </c>
      <c r="AL403" s="54">
        <v>5.5107277100986396</v>
      </c>
      <c r="AM403" s="54">
        <v>2.3617404471851309</v>
      </c>
      <c r="AN403" s="54">
        <v>3.9362340786418848</v>
      </c>
      <c r="AO403" s="54">
        <v>2.3617404471851309</v>
      </c>
      <c r="AP403" s="54">
        <v>23.617404471851309</v>
      </c>
      <c r="AQ403" s="54">
        <v>12.59594905165403</v>
      </c>
      <c r="AR403" s="37"/>
    </row>
    <row r="404" spans="1:44" ht="19.5" customHeight="1">
      <c r="A404" s="64">
        <f t="shared" si="42"/>
        <v>43</v>
      </c>
      <c r="B404" s="129" t="s">
        <v>133</v>
      </c>
      <c r="C404" s="30" t="s">
        <v>94</v>
      </c>
      <c r="D404" s="56" t="s">
        <v>4744</v>
      </c>
      <c r="E404" s="30"/>
      <c r="F404" s="32">
        <v>20904.451747346691</v>
      </c>
      <c r="G404" s="32">
        <v>21856.279577462279</v>
      </c>
      <c r="H404" s="32">
        <v>42760.73132480897</v>
      </c>
      <c r="I404" s="33">
        <v>7.27079597911563</v>
      </c>
      <c r="J404" s="33">
        <v>7.27079597911563</v>
      </c>
      <c r="K404" s="34">
        <v>2.4235986597052102</v>
      </c>
      <c r="L404" s="33">
        <v>3.8777578555283361</v>
      </c>
      <c r="M404" s="34">
        <v>4.8471973194104194</v>
      </c>
      <c r="N404" s="34">
        <v>2.9083183916462518</v>
      </c>
      <c r="O404" s="33">
        <v>2.9083183916462518</v>
      </c>
      <c r="P404" s="34">
        <v>5.8166367832925054</v>
      </c>
      <c r="Q404" s="33">
        <v>4.8471973194104194</v>
      </c>
      <c r="R404" s="33">
        <v>5.8166367832925054</v>
      </c>
      <c r="S404" s="33">
        <v>3.393038123587294</v>
      </c>
      <c r="T404" s="34">
        <v>3.393038123587294</v>
      </c>
      <c r="U404" s="34">
        <v>1.4541591958231259</v>
      </c>
      <c r="V404" s="34">
        <v>2.4235986597052102</v>
      </c>
      <c r="W404" s="34">
        <v>1.4541591958231259</v>
      </c>
      <c r="X404" s="34">
        <v>14.54159195823126</v>
      </c>
      <c r="Y404" s="34">
        <v>7.7555157110566721</v>
      </c>
      <c r="Z404" s="54"/>
      <c r="AA404" s="53">
        <v>7.6018520643771419</v>
      </c>
      <c r="AB404" s="53">
        <v>7.6018520643771419</v>
      </c>
      <c r="AC404" s="54">
        <v>2.5339506881257141</v>
      </c>
      <c r="AD404" s="53">
        <v>4.0543211010011424</v>
      </c>
      <c r="AE404" s="54">
        <v>5.0679013762514273</v>
      </c>
      <c r="AF404" s="54">
        <v>3.040740825750857</v>
      </c>
      <c r="AG404" s="53">
        <v>3.040740825750857</v>
      </c>
      <c r="AH404" s="54">
        <v>6.0814816515017132</v>
      </c>
      <c r="AI404" s="53">
        <v>5.0679013762514273</v>
      </c>
      <c r="AJ404" s="53">
        <v>6.0814816515017132</v>
      </c>
      <c r="AK404" s="53">
        <v>3.547530963375999</v>
      </c>
      <c r="AL404" s="54">
        <v>3.547530963375999</v>
      </c>
      <c r="AM404" s="54">
        <v>1.5203704128754281</v>
      </c>
      <c r="AN404" s="54">
        <v>2.5339506881257141</v>
      </c>
      <c r="AO404" s="54">
        <v>1.5203704128754281</v>
      </c>
      <c r="AP404" s="54">
        <v>15.20370412875428</v>
      </c>
      <c r="AQ404" s="54">
        <v>8.1086422020022848</v>
      </c>
      <c r="AR404" s="39"/>
    </row>
    <row r="405" spans="1:44" ht="19.5" customHeight="1">
      <c r="A405" s="64">
        <f t="shared" si="42"/>
        <v>44</v>
      </c>
      <c r="B405" s="16" t="s">
        <v>3591</v>
      </c>
      <c r="C405" s="30" t="s">
        <v>159</v>
      </c>
      <c r="D405" s="56" t="s">
        <v>4745</v>
      </c>
      <c r="E405" s="30"/>
      <c r="F405" s="32">
        <v>125426.7104840801</v>
      </c>
      <c r="G405" s="32">
        <v>21644.082688360701</v>
      </c>
      <c r="H405" s="32">
        <v>147070.79317244081</v>
      </c>
      <c r="I405" s="53">
        <v>43.624775874693768</v>
      </c>
      <c r="J405" s="53">
        <v>43.624775874693768</v>
      </c>
      <c r="K405" s="54">
        <v>14.54159195823126</v>
      </c>
      <c r="L405" s="53">
        <v>23.266547133170011</v>
      </c>
      <c r="M405" s="54">
        <v>29.083183916462509</v>
      </c>
      <c r="N405" s="54">
        <v>17.449910349877509</v>
      </c>
      <c r="O405" s="53">
        <v>17.449910349877509</v>
      </c>
      <c r="P405" s="54">
        <v>34.899820699755033</v>
      </c>
      <c r="Q405" s="53">
        <v>29.083183916462509</v>
      </c>
      <c r="R405" s="53">
        <v>34.899820699755033</v>
      </c>
      <c r="S405" s="53">
        <v>20.35822874152376</v>
      </c>
      <c r="T405" s="54">
        <v>20.35822874152376</v>
      </c>
      <c r="U405" s="54">
        <v>8.7249551749387564</v>
      </c>
      <c r="V405" s="54">
        <v>14.54159195823126</v>
      </c>
      <c r="W405" s="54">
        <v>8.7249551749387564</v>
      </c>
      <c r="X405" s="54">
        <v>87.24955174938755</v>
      </c>
      <c r="Y405" s="54">
        <v>46.533094266340029</v>
      </c>
      <c r="Z405" s="54"/>
      <c r="AA405" s="202">
        <v>7.5280476754026058</v>
      </c>
      <c r="AB405" s="202">
        <v>7.5280476754026058</v>
      </c>
      <c r="AC405" s="203">
        <v>2.5093492251342022</v>
      </c>
      <c r="AD405" s="202">
        <v>4.0149587602147232</v>
      </c>
      <c r="AE405" s="203">
        <v>5.0186984502684044</v>
      </c>
      <c r="AF405" s="203">
        <v>3.011219070161042</v>
      </c>
      <c r="AG405" s="202">
        <v>3.011219070161042</v>
      </c>
      <c r="AH405" s="203">
        <v>6.0224381403220848</v>
      </c>
      <c r="AI405" s="202">
        <v>5.0186984502684044</v>
      </c>
      <c r="AJ405" s="202">
        <v>6.0224381403220848</v>
      </c>
      <c r="AK405" s="202">
        <v>3.513088915187883</v>
      </c>
      <c r="AL405" s="203">
        <v>3.513088915187883</v>
      </c>
      <c r="AM405" s="203">
        <v>1.505609535080521</v>
      </c>
      <c r="AN405" s="203">
        <v>2.5093492251342022</v>
      </c>
      <c r="AO405" s="203">
        <v>1.505609535080521</v>
      </c>
      <c r="AP405" s="203">
        <v>15.05609535080521</v>
      </c>
      <c r="AQ405" s="203">
        <v>8.0299175204294464</v>
      </c>
      <c r="AR405" s="39"/>
    </row>
    <row r="406" spans="1:44" ht="19.5" customHeight="1">
      <c r="A406" s="64">
        <f t="shared" si="42"/>
        <v>45</v>
      </c>
      <c r="B406" s="16" t="s">
        <v>4746</v>
      </c>
      <c r="C406" s="30" t="s">
        <v>159</v>
      </c>
      <c r="D406" s="56" t="s">
        <v>4691</v>
      </c>
      <c r="E406" s="30"/>
      <c r="F406" s="32">
        <v>130015.4925749611</v>
      </c>
      <c r="G406" s="32">
        <v>33440.107753517281</v>
      </c>
      <c r="H406" s="32">
        <v>163455.60032847841</v>
      </c>
      <c r="I406" s="34">
        <v>45.220804260353297</v>
      </c>
      <c r="J406" s="34">
        <v>45.220804260353297</v>
      </c>
      <c r="K406" s="34">
        <v>15.07360142011777</v>
      </c>
      <c r="L406" s="34">
        <v>24.117762272188429</v>
      </c>
      <c r="M406" s="34">
        <v>30.147202840235529</v>
      </c>
      <c r="N406" s="34">
        <v>18.088321704141318</v>
      </c>
      <c r="O406" s="34">
        <v>18.088321704141318</v>
      </c>
      <c r="P406" s="34">
        <v>36.176643408282636</v>
      </c>
      <c r="Q406" s="34">
        <v>30.147202840235529</v>
      </c>
      <c r="R406" s="34">
        <v>36.176643408282636</v>
      </c>
      <c r="S406" s="34">
        <v>21.103041988164879</v>
      </c>
      <c r="T406" s="34">
        <v>21.103041988164879</v>
      </c>
      <c r="U406" s="34">
        <v>9.0441608520706609</v>
      </c>
      <c r="V406" s="34">
        <v>15.07360142011777</v>
      </c>
      <c r="W406" s="34">
        <v>9.0441608520706609</v>
      </c>
      <c r="X406" s="34">
        <v>90.441608520706609</v>
      </c>
      <c r="Y406" s="34">
        <v>48.235524544376858</v>
      </c>
      <c r="Z406" s="34"/>
      <c r="AA406" s="34">
        <v>11.63083365849702</v>
      </c>
      <c r="AB406" s="34">
        <v>11.63083365849702</v>
      </c>
      <c r="AC406" s="34">
        <v>3.8769445528323412</v>
      </c>
      <c r="AD406" s="34">
        <v>6.2031112845317473</v>
      </c>
      <c r="AE406" s="34">
        <v>7.7538891056646824</v>
      </c>
      <c r="AF406" s="34">
        <v>4.6523334633988096</v>
      </c>
      <c r="AG406" s="34">
        <v>4.6523334633988096</v>
      </c>
      <c r="AH406" s="34">
        <v>9.304666926797621</v>
      </c>
      <c r="AI406" s="34">
        <v>7.7538891056646824</v>
      </c>
      <c r="AJ406" s="34">
        <v>9.304666926797621</v>
      </c>
      <c r="AK406" s="34">
        <v>5.4277223739652776</v>
      </c>
      <c r="AL406" s="34">
        <v>5.4277223739652776</v>
      </c>
      <c r="AM406" s="34">
        <v>2.3261667316994048</v>
      </c>
      <c r="AN406" s="34">
        <v>3.8769445528323412</v>
      </c>
      <c r="AO406" s="34">
        <v>2.3261667316994048</v>
      </c>
      <c r="AP406" s="34">
        <v>23.26166731699405</v>
      </c>
      <c r="AQ406" s="34">
        <v>12.406222569063489</v>
      </c>
      <c r="AR406" s="39"/>
    </row>
    <row r="407" spans="1:44" ht="19.5" customHeight="1">
      <c r="A407" s="64">
        <f t="shared" si="42"/>
        <v>46</v>
      </c>
      <c r="B407" s="16" t="s">
        <v>4747</v>
      </c>
      <c r="C407" s="30" t="s">
        <v>1369</v>
      </c>
      <c r="D407" s="56" t="s">
        <v>4748</v>
      </c>
      <c r="E407" s="30"/>
      <c r="F407" s="32">
        <v>66303.295829566006</v>
      </c>
      <c r="G407" s="32">
        <v>23156</v>
      </c>
      <c r="H407" s="32">
        <v>89459.295829566006</v>
      </c>
      <c r="I407" s="34">
        <v>23.061008370186538</v>
      </c>
      <c r="J407" s="34">
        <v>23.061008370186538</v>
      </c>
      <c r="K407" s="34">
        <v>7.6870027900621789</v>
      </c>
      <c r="L407" s="34">
        <v>12.299204464099491</v>
      </c>
      <c r="M407" s="34">
        <v>15.37400558012436</v>
      </c>
      <c r="N407" s="34">
        <v>9.224403348074615</v>
      </c>
      <c r="O407" s="34">
        <v>9.224403348074615</v>
      </c>
      <c r="P407" s="34">
        <v>18.44880669614923</v>
      </c>
      <c r="Q407" s="34">
        <v>15.37400558012436</v>
      </c>
      <c r="R407" s="34">
        <v>18.44880669614923</v>
      </c>
      <c r="S407" s="34">
        <v>10.761803906087049</v>
      </c>
      <c r="T407" s="34">
        <v>10.761803906087049</v>
      </c>
      <c r="U407" s="34">
        <v>4.6122016740373084</v>
      </c>
      <c r="V407" s="34">
        <v>7.6870027900621789</v>
      </c>
      <c r="W407" s="34">
        <v>4.6122016740373084</v>
      </c>
      <c r="X407" s="34">
        <v>46.122016740373077</v>
      </c>
      <c r="Y407" s="34">
        <v>24.598408928198971</v>
      </c>
      <c r="Z407" s="34"/>
      <c r="AA407" s="34">
        <v>8.0539089820315919</v>
      </c>
      <c r="AB407" s="34">
        <v>8.0539089820315919</v>
      </c>
      <c r="AC407" s="34">
        <v>2.6846363273438638</v>
      </c>
      <c r="AD407" s="34">
        <v>4.2954181237501832</v>
      </c>
      <c r="AE407" s="34">
        <v>5.3692726546877276</v>
      </c>
      <c r="AF407" s="34">
        <v>3.2215635928126369</v>
      </c>
      <c r="AG407" s="34">
        <v>3.2215635928126369</v>
      </c>
      <c r="AH407" s="34">
        <v>6.4431271856252748</v>
      </c>
      <c r="AI407" s="34">
        <v>5.3692726546877276</v>
      </c>
      <c r="AJ407" s="34">
        <v>6.4431271856252748</v>
      </c>
      <c r="AK407" s="34">
        <v>3.7584908582814101</v>
      </c>
      <c r="AL407" s="34">
        <v>3.7584908582814101</v>
      </c>
      <c r="AM407" s="34">
        <v>1.6107817964063189</v>
      </c>
      <c r="AN407" s="34">
        <v>2.6846363273438638</v>
      </c>
      <c r="AO407" s="34">
        <v>1.6107817964063189</v>
      </c>
      <c r="AP407" s="34">
        <v>16.10781796406318</v>
      </c>
      <c r="AQ407" s="34">
        <v>8.5908362475003663</v>
      </c>
      <c r="AR407" s="39"/>
    </row>
    <row r="408" spans="1:44" ht="19.5" customHeight="1">
      <c r="A408" s="83"/>
      <c r="B408" s="76" t="s">
        <v>4749</v>
      </c>
      <c r="C408" s="51" t="s">
        <v>997</v>
      </c>
      <c r="D408" s="63" t="s">
        <v>4750</v>
      </c>
      <c r="E408" s="51">
        <v>8</v>
      </c>
      <c r="F408" s="52">
        <v>574070.72830042697</v>
      </c>
      <c r="G408" s="52">
        <v>203860.74879001069</v>
      </c>
      <c r="H408" s="52">
        <v>777931.47709043766</v>
      </c>
      <c r="I408" s="54">
        <v>199.66805126015831</v>
      </c>
      <c r="J408" s="54">
        <v>199.66805126015831</v>
      </c>
      <c r="K408" s="54">
        <v>66.556017086719436</v>
      </c>
      <c r="L408" s="54">
        <v>106.48962733875111</v>
      </c>
      <c r="M408" s="54">
        <v>133.1120341734389</v>
      </c>
      <c r="N408" s="54">
        <v>79.867220504063326</v>
      </c>
      <c r="O408" s="54">
        <v>79.867220504063326</v>
      </c>
      <c r="P408" s="54">
        <v>159.73444100812671</v>
      </c>
      <c r="Q408" s="54">
        <v>133.1120341734389</v>
      </c>
      <c r="R408" s="54">
        <v>159.73444100812671</v>
      </c>
      <c r="S408" s="54">
        <v>93.178423921407216</v>
      </c>
      <c r="T408" s="54">
        <v>93.178423921407216</v>
      </c>
      <c r="U408" s="54">
        <v>39.933610252031663</v>
      </c>
      <c r="V408" s="54">
        <v>66.556017086719436</v>
      </c>
      <c r="W408" s="54">
        <v>39.933610252031663</v>
      </c>
      <c r="X408" s="54">
        <v>399.33610252031667</v>
      </c>
      <c r="Y408" s="54">
        <v>212.97925467750221</v>
      </c>
      <c r="Z408" s="54"/>
      <c r="AA408" s="54">
        <v>70.904988588856142</v>
      </c>
      <c r="AB408" s="54">
        <v>70.904988588856142</v>
      </c>
      <c r="AC408" s="54">
        <v>23.634996196285378</v>
      </c>
      <c r="AD408" s="54">
        <v>37.815993914056612</v>
      </c>
      <c r="AE408" s="54">
        <v>47.269992392570757</v>
      </c>
      <c r="AF408" s="54">
        <v>28.361995435542461</v>
      </c>
      <c r="AG408" s="54">
        <v>28.361995435542461</v>
      </c>
      <c r="AH408" s="54">
        <v>56.723990871084908</v>
      </c>
      <c r="AI408" s="54">
        <v>47.269992392570757</v>
      </c>
      <c r="AJ408" s="54">
        <v>56.723990871084908</v>
      </c>
      <c r="AK408" s="54">
        <v>33.088994674799537</v>
      </c>
      <c r="AL408" s="54">
        <v>33.088994674799537</v>
      </c>
      <c r="AM408" s="54">
        <v>14.180997717771231</v>
      </c>
      <c r="AN408" s="54">
        <v>23.634996196285378</v>
      </c>
      <c r="AO408" s="54">
        <v>14.180997717771231</v>
      </c>
      <c r="AP408" s="54">
        <v>141.80997717771231</v>
      </c>
      <c r="AQ408" s="54">
        <v>75.631987828113225</v>
      </c>
      <c r="AR408" s="37"/>
    </row>
    <row r="409" spans="1:44" ht="19.5" customHeight="1">
      <c r="A409" s="64">
        <f>A407+1</f>
        <v>47</v>
      </c>
      <c r="B409" s="56" t="s">
        <v>4751</v>
      </c>
      <c r="C409" s="204" t="s">
        <v>650</v>
      </c>
      <c r="D409" s="56" t="s">
        <v>4752</v>
      </c>
      <c r="E409" s="30">
        <v>1</v>
      </c>
      <c r="F409" s="32">
        <v>150636</v>
      </c>
      <c r="G409" s="32">
        <v>66880.215507034562</v>
      </c>
      <c r="H409" s="32">
        <v>217516.21550703459</v>
      </c>
      <c r="I409" s="34">
        <v>52.392841311854838</v>
      </c>
      <c r="J409" s="34">
        <v>52.392841311854838</v>
      </c>
      <c r="K409" s="34">
        <v>17.464280437284948</v>
      </c>
      <c r="L409" s="34">
        <v>27.942848699655919</v>
      </c>
      <c r="M409" s="34">
        <v>34.928560874569897</v>
      </c>
      <c r="N409" s="34">
        <v>20.957136524741941</v>
      </c>
      <c r="O409" s="34">
        <v>20.957136524741941</v>
      </c>
      <c r="P409" s="34">
        <v>41.914273049483882</v>
      </c>
      <c r="Q409" s="34">
        <v>34.928560874569897</v>
      </c>
      <c r="R409" s="34">
        <v>41.914273049483882</v>
      </c>
      <c r="S409" s="34">
        <v>24.44999261219893</v>
      </c>
      <c r="T409" s="34">
        <v>24.44999261219893</v>
      </c>
      <c r="U409" s="34">
        <v>10.47856826237097</v>
      </c>
      <c r="V409" s="34">
        <v>17.464280437284948</v>
      </c>
      <c r="W409" s="34">
        <v>10.47856826237097</v>
      </c>
      <c r="X409" s="34">
        <v>104.7856826237097</v>
      </c>
      <c r="Y409" s="34">
        <v>55.885697399311837</v>
      </c>
      <c r="Z409" s="34"/>
      <c r="AA409" s="34">
        <v>23.26166731699405</v>
      </c>
      <c r="AB409" s="34">
        <v>23.26166731699405</v>
      </c>
      <c r="AC409" s="34">
        <v>7.7538891056646824</v>
      </c>
      <c r="AD409" s="34">
        <v>12.406222569063489</v>
      </c>
      <c r="AE409" s="34">
        <v>15.507778211329359</v>
      </c>
      <c r="AF409" s="34">
        <v>9.304666926797621</v>
      </c>
      <c r="AG409" s="34">
        <v>9.304666926797621</v>
      </c>
      <c r="AH409" s="34">
        <v>18.609333853595238</v>
      </c>
      <c r="AI409" s="34">
        <v>15.507778211329359</v>
      </c>
      <c r="AJ409" s="34">
        <v>18.609333853595238</v>
      </c>
      <c r="AK409" s="34">
        <v>10.85544474793056</v>
      </c>
      <c r="AL409" s="34">
        <v>10.85544474793056</v>
      </c>
      <c r="AM409" s="34">
        <v>4.6523334633988096</v>
      </c>
      <c r="AN409" s="34">
        <v>7.7538891056646824</v>
      </c>
      <c r="AO409" s="34">
        <v>4.6523334633988096</v>
      </c>
      <c r="AP409" s="34">
        <v>46.5233346339881</v>
      </c>
      <c r="AQ409" s="34">
        <v>24.812445138126989</v>
      </c>
      <c r="AR409" s="39"/>
    </row>
    <row r="410" spans="1:44" ht="19.5" customHeight="1">
      <c r="A410" s="117"/>
      <c r="B410" s="118" t="s">
        <v>1288</v>
      </c>
      <c r="C410" s="67" t="s">
        <v>4713</v>
      </c>
      <c r="D410" s="93" t="s">
        <v>4753</v>
      </c>
      <c r="E410" s="67">
        <f>E409+E408+E399+E389+E381+E377+E374</f>
        <v>47</v>
      </c>
      <c r="F410" s="68">
        <v>3645282.7444660859</v>
      </c>
      <c r="G410" s="68">
        <v>1255759.4902706579</v>
      </c>
      <c r="H410" s="68">
        <v>4901042.2347367443</v>
      </c>
      <c r="I410" s="149">
        <v>1267.86903773105</v>
      </c>
      <c r="J410" s="205">
        <v>1267.86903773105</v>
      </c>
      <c r="K410" s="149">
        <v>422.62301257701648</v>
      </c>
      <c r="L410" s="149">
        <v>676.19682012322642</v>
      </c>
      <c r="M410" s="149">
        <v>845.24602515403296</v>
      </c>
      <c r="N410" s="149">
        <v>507.14761509241993</v>
      </c>
      <c r="O410" s="149">
        <v>507.14761509241993</v>
      </c>
      <c r="P410" s="149">
        <v>1014.29523018484</v>
      </c>
      <c r="Q410" s="149">
        <v>845.24602515403296</v>
      </c>
      <c r="R410" s="149">
        <v>1014.29523018484</v>
      </c>
      <c r="S410" s="149">
        <v>591.67221760782309</v>
      </c>
      <c r="T410" s="149">
        <v>591.67221760782309</v>
      </c>
      <c r="U410" s="149">
        <v>253.57380754620991</v>
      </c>
      <c r="V410" s="149">
        <v>422.62301257701648</v>
      </c>
      <c r="W410" s="149">
        <v>253.57380754620991</v>
      </c>
      <c r="X410" s="149">
        <v>2535.738075462099</v>
      </c>
      <c r="Y410" s="205">
        <v>1352.3936402464531</v>
      </c>
      <c r="Z410" s="149"/>
      <c r="AA410" s="149">
        <v>436.76682665236939</v>
      </c>
      <c r="AB410" s="149">
        <v>436.76682665236939</v>
      </c>
      <c r="AC410" s="149">
        <v>145.58894221745649</v>
      </c>
      <c r="AD410" s="149">
        <v>232.94230754793031</v>
      </c>
      <c r="AE410" s="149">
        <v>291.17788443491293</v>
      </c>
      <c r="AF410" s="149">
        <v>174.70673066094781</v>
      </c>
      <c r="AG410" s="149">
        <v>174.70673066094781</v>
      </c>
      <c r="AH410" s="149">
        <v>349.41346132189551</v>
      </c>
      <c r="AI410" s="149">
        <v>291.17788443491293</v>
      </c>
      <c r="AJ410" s="149">
        <v>349.41346132189551</v>
      </c>
      <c r="AK410" s="149">
        <v>203.82451910443899</v>
      </c>
      <c r="AL410" s="149">
        <v>203.82451910443899</v>
      </c>
      <c r="AM410" s="149">
        <v>87.353365330473878</v>
      </c>
      <c r="AN410" s="149">
        <v>145.58894221745649</v>
      </c>
      <c r="AO410" s="149">
        <v>87.353365330473878</v>
      </c>
      <c r="AP410" s="149">
        <v>873.53365330473878</v>
      </c>
      <c r="AQ410" s="149">
        <v>465.88461509586068</v>
      </c>
      <c r="AR410" s="97"/>
    </row>
    <row r="411" spans="1:44" ht="19.5" customHeight="1">
      <c r="A411" s="62"/>
      <c r="B411" s="76"/>
      <c r="C411" s="51"/>
      <c r="D411" s="63"/>
      <c r="E411" s="51"/>
      <c r="F411" s="190"/>
      <c r="G411" s="190"/>
      <c r="H411" s="190">
        <v>0</v>
      </c>
      <c r="I411" s="69">
        <v>0</v>
      </c>
      <c r="J411" s="69">
        <v>0</v>
      </c>
      <c r="K411" s="70">
        <v>0</v>
      </c>
      <c r="L411" s="69">
        <v>0</v>
      </c>
      <c r="M411" s="70">
        <v>0</v>
      </c>
      <c r="N411" s="70">
        <v>0</v>
      </c>
      <c r="O411" s="69">
        <v>0</v>
      </c>
      <c r="P411" s="70">
        <v>0</v>
      </c>
      <c r="Q411" s="69">
        <v>0</v>
      </c>
      <c r="R411" s="69">
        <v>0</v>
      </c>
      <c r="S411" s="69">
        <v>0</v>
      </c>
      <c r="T411" s="70">
        <v>0</v>
      </c>
      <c r="U411" s="70">
        <v>0</v>
      </c>
      <c r="V411" s="70">
        <v>0</v>
      </c>
      <c r="W411" s="70">
        <v>0</v>
      </c>
      <c r="X411" s="70">
        <v>0</v>
      </c>
      <c r="Y411" s="70">
        <v>0</v>
      </c>
      <c r="Z411" s="70"/>
      <c r="AA411" s="69">
        <v>0</v>
      </c>
      <c r="AB411" s="69">
        <v>0</v>
      </c>
      <c r="AC411" s="70">
        <v>0</v>
      </c>
      <c r="AD411" s="69">
        <v>0</v>
      </c>
      <c r="AE411" s="70">
        <v>0</v>
      </c>
      <c r="AF411" s="70">
        <v>0</v>
      </c>
      <c r="AG411" s="69">
        <v>0</v>
      </c>
      <c r="AH411" s="70">
        <v>0</v>
      </c>
      <c r="AI411" s="69">
        <v>0</v>
      </c>
      <c r="AJ411" s="69">
        <v>0</v>
      </c>
      <c r="AK411" s="69">
        <v>0</v>
      </c>
      <c r="AL411" s="70">
        <v>0</v>
      </c>
      <c r="AM411" s="70">
        <v>0</v>
      </c>
      <c r="AN411" s="70">
        <v>0</v>
      </c>
      <c r="AO411" s="70">
        <v>0</v>
      </c>
      <c r="AP411" s="70">
        <v>0</v>
      </c>
      <c r="AQ411" s="70">
        <v>0</v>
      </c>
      <c r="AR411" s="37"/>
    </row>
    <row r="412" spans="1:44" ht="19.5" customHeight="1">
      <c r="A412" s="90"/>
      <c r="B412" s="118" t="s">
        <v>133</v>
      </c>
      <c r="C412" s="67" t="s">
        <v>81</v>
      </c>
      <c r="D412" s="93" t="s">
        <v>4754</v>
      </c>
      <c r="E412" s="67">
        <f>E410+E350</f>
        <v>79</v>
      </c>
      <c r="F412" s="68">
        <v>6267360.3606813131</v>
      </c>
      <c r="G412" s="68">
        <v>2047042.9501351251</v>
      </c>
      <c r="H412" s="68">
        <v>8314403.3108164389</v>
      </c>
      <c r="I412" s="150">
        <v>2179.8561885697</v>
      </c>
      <c r="J412" s="150">
        <v>2179.8561885697</v>
      </c>
      <c r="K412" s="96">
        <v>726.61872952323336</v>
      </c>
      <c r="L412" s="150">
        <v>1162.5899672371741</v>
      </c>
      <c r="M412" s="96">
        <v>1453.2374590464669</v>
      </c>
      <c r="N412" s="96">
        <v>871.94247542788025</v>
      </c>
      <c r="O412" s="150">
        <v>871.94247542788025</v>
      </c>
      <c r="P412" s="96">
        <v>1743.884950855761</v>
      </c>
      <c r="Q412" s="150">
        <v>1453.2374590464669</v>
      </c>
      <c r="R412" s="150">
        <v>1743.884950855761</v>
      </c>
      <c r="S412" s="150">
        <v>1017.266221332527</v>
      </c>
      <c r="T412" s="96">
        <v>1017.266221332527</v>
      </c>
      <c r="U412" s="96">
        <v>435.97123771394013</v>
      </c>
      <c r="V412" s="96">
        <v>726.61872952323336</v>
      </c>
      <c r="W412" s="96">
        <v>435.97123771394013</v>
      </c>
      <c r="X412" s="96">
        <v>4359.7123771394008</v>
      </c>
      <c r="Y412" s="96">
        <v>2325.1799344743472</v>
      </c>
      <c r="Z412" s="96"/>
      <c r="AA412" s="150">
        <v>711.98383152089025</v>
      </c>
      <c r="AB412" s="150">
        <v>711.98383152089025</v>
      </c>
      <c r="AC412" s="96">
        <v>237.32794384029671</v>
      </c>
      <c r="AD412" s="150">
        <v>379.72471014447478</v>
      </c>
      <c r="AE412" s="96">
        <v>474.65588768059342</v>
      </c>
      <c r="AF412" s="96">
        <v>284.79353260835609</v>
      </c>
      <c r="AG412" s="150">
        <v>284.79353260835609</v>
      </c>
      <c r="AH412" s="96">
        <v>569.58706521671218</v>
      </c>
      <c r="AI412" s="150">
        <v>474.65588768059342</v>
      </c>
      <c r="AJ412" s="150">
        <v>569.58706521671218</v>
      </c>
      <c r="AK412" s="150">
        <v>332.25912137641552</v>
      </c>
      <c r="AL412" s="96">
        <v>332.25912137641552</v>
      </c>
      <c r="AM412" s="96">
        <v>142.39676630417799</v>
      </c>
      <c r="AN412" s="96">
        <v>237.32794384029671</v>
      </c>
      <c r="AO412" s="96">
        <v>142.39676630417799</v>
      </c>
      <c r="AP412" s="96">
        <v>1423.96766304178</v>
      </c>
      <c r="AQ412" s="96">
        <v>759.44942028894957</v>
      </c>
      <c r="AR412" s="121"/>
    </row>
    <row r="413" spans="1:44" ht="19.5" customHeight="1">
      <c r="A413" s="62"/>
      <c r="B413" s="76"/>
      <c r="C413" s="51"/>
      <c r="D413" s="63"/>
      <c r="E413" s="67"/>
      <c r="F413" s="32"/>
      <c r="G413" s="32"/>
      <c r="H413" s="32">
        <v>0</v>
      </c>
      <c r="I413" s="33">
        <v>0</v>
      </c>
      <c r="J413" s="33">
        <v>0</v>
      </c>
      <c r="K413" s="34">
        <v>0</v>
      </c>
      <c r="L413" s="33">
        <v>0</v>
      </c>
      <c r="M413" s="34">
        <v>0</v>
      </c>
      <c r="N413" s="34">
        <v>0</v>
      </c>
      <c r="O413" s="33">
        <v>0</v>
      </c>
      <c r="P413" s="34">
        <v>0</v>
      </c>
      <c r="Q413" s="33">
        <v>0</v>
      </c>
      <c r="R413" s="33">
        <v>0</v>
      </c>
      <c r="S413" s="33">
        <v>0</v>
      </c>
      <c r="T413" s="34">
        <v>0</v>
      </c>
      <c r="U413" s="34">
        <v>0</v>
      </c>
      <c r="V413" s="34">
        <v>0</v>
      </c>
      <c r="W413" s="34">
        <v>0</v>
      </c>
      <c r="X413" s="34">
        <v>0</v>
      </c>
      <c r="Y413" s="34">
        <v>0</v>
      </c>
      <c r="Z413" s="34"/>
      <c r="AA413" s="33">
        <v>0</v>
      </c>
      <c r="AB413" s="33">
        <v>0</v>
      </c>
      <c r="AC413" s="34">
        <v>0</v>
      </c>
      <c r="AD413" s="33">
        <v>0</v>
      </c>
      <c r="AE413" s="34">
        <v>0</v>
      </c>
      <c r="AF413" s="34">
        <v>0</v>
      </c>
      <c r="AG413" s="33">
        <v>0</v>
      </c>
      <c r="AH413" s="34">
        <v>0</v>
      </c>
      <c r="AI413" s="33">
        <v>0</v>
      </c>
      <c r="AJ413" s="33">
        <v>0</v>
      </c>
      <c r="AK413" s="33">
        <v>0</v>
      </c>
      <c r="AL413" s="34">
        <v>0</v>
      </c>
      <c r="AM413" s="34">
        <v>0</v>
      </c>
      <c r="AN413" s="34">
        <v>0</v>
      </c>
      <c r="AO413" s="34">
        <v>0</v>
      </c>
      <c r="AP413" s="34">
        <v>0</v>
      </c>
      <c r="AQ413" s="34">
        <v>0</v>
      </c>
      <c r="AR413" s="39"/>
    </row>
    <row r="414" spans="1:44" ht="19.5" customHeight="1">
      <c r="A414" s="14" t="s">
        <v>4755</v>
      </c>
      <c r="B414" s="50"/>
      <c r="C414" s="49"/>
      <c r="D414" s="206"/>
      <c r="E414" s="32"/>
      <c r="F414" s="32"/>
      <c r="G414" s="32"/>
      <c r="H414" s="32">
        <v>0</v>
      </c>
      <c r="I414" s="33">
        <v>0</v>
      </c>
      <c r="J414" s="33">
        <v>0</v>
      </c>
      <c r="K414" s="34">
        <v>0</v>
      </c>
      <c r="L414" s="33">
        <v>0</v>
      </c>
      <c r="M414" s="34">
        <v>0</v>
      </c>
      <c r="N414" s="34">
        <v>0</v>
      </c>
      <c r="O414" s="33">
        <v>0</v>
      </c>
      <c r="P414" s="34">
        <v>0</v>
      </c>
      <c r="Q414" s="33">
        <v>0</v>
      </c>
      <c r="R414" s="33">
        <v>0</v>
      </c>
      <c r="S414" s="33">
        <v>0</v>
      </c>
      <c r="T414" s="34">
        <v>0</v>
      </c>
      <c r="U414" s="34">
        <v>0</v>
      </c>
      <c r="V414" s="34">
        <v>0</v>
      </c>
      <c r="W414" s="34">
        <v>0</v>
      </c>
      <c r="X414" s="34">
        <v>0</v>
      </c>
      <c r="Y414" s="34">
        <v>0</v>
      </c>
      <c r="Z414" s="54"/>
      <c r="AA414" s="33">
        <v>0</v>
      </c>
      <c r="AB414" s="33">
        <v>0</v>
      </c>
      <c r="AC414" s="34">
        <v>0</v>
      </c>
      <c r="AD414" s="33">
        <v>0</v>
      </c>
      <c r="AE414" s="34">
        <v>0</v>
      </c>
      <c r="AF414" s="34">
        <v>0</v>
      </c>
      <c r="AG414" s="33">
        <v>0</v>
      </c>
      <c r="AH414" s="34">
        <v>0</v>
      </c>
      <c r="AI414" s="33">
        <v>0</v>
      </c>
      <c r="AJ414" s="33">
        <v>0</v>
      </c>
      <c r="AK414" s="33">
        <v>0</v>
      </c>
      <c r="AL414" s="34">
        <v>0</v>
      </c>
      <c r="AM414" s="34">
        <v>0</v>
      </c>
      <c r="AN414" s="34">
        <v>0</v>
      </c>
      <c r="AO414" s="34">
        <v>0</v>
      </c>
      <c r="AP414" s="34">
        <v>0</v>
      </c>
      <c r="AQ414" s="34">
        <v>0</v>
      </c>
      <c r="AR414" s="39"/>
    </row>
    <row r="415" spans="1:44" ht="19.5" customHeight="1">
      <c r="A415" s="55">
        <v>1</v>
      </c>
      <c r="B415" s="101" t="s">
        <v>4756</v>
      </c>
      <c r="C415" s="26" t="s">
        <v>230</v>
      </c>
      <c r="D415" s="101" t="s">
        <v>4757</v>
      </c>
      <c r="E415" s="30"/>
      <c r="F415" s="32">
        <v>130000</v>
      </c>
      <c r="G415" s="32">
        <v>16720.05387675864</v>
      </c>
      <c r="H415" s="32">
        <v>146720.05387675861</v>
      </c>
      <c r="I415" s="33">
        <v>45.215415774058862</v>
      </c>
      <c r="J415" s="33">
        <v>45.215415774058862</v>
      </c>
      <c r="K415" s="34">
        <v>15.071805258019619</v>
      </c>
      <c r="L415" s="33">
        <v>24.114888412831391</v>
      </c>
      <c r="M415" s="34">
        <v>30.143610516039239</v>
      </c>
      <c r="N415" s="34">
        <v>18.08616630962355</v>
      </c>
      <c r="O415" s="33">
        <v>18.08616630962355</v>
      </c>
      <c r="P415" s="34">
        <v>36.172332619247094</v>
      </c>
      <c r="Q415" s="33">
        <v>30.143610516039239</v>
      </c>
      <c r="R415" s="33">
        <v>36.172332619247094</v>
      </c>
      <c r="S415" s="33">
        <v>21.100527361227471</v>
      </c>
      <c r="T415" s="34">
        <v>21.100527361227471</v>
      </c>
      <c r="U415" s="34">
        <v>9.0430831548117734</v>
      </c>
      <c r="V415" s="34">
        <v>15.071805258019619</v>
      </c>
      <c r="W415" s="34">
        <v>9.0430831548117734</v>
      </c>
      <c r="X415" s="34">
        <v>90.430831548117723</v>
      </c>
      <c r="Y415" s="34">
        <v>48.229776825662782</v>
      </c>
      <c r="Z415" s="54"/>
      <c r="AA415" s="33">
        <v>5.8154168292485124</v>
      </c>
      <c r="AB415" s="33">
        <v>5.8154168292485124</v>
      </c>
      <c r="AC415" s="34">
        <v>1.938472276416171</v>
      </c>
      <c r="AD415" s="33">
        <v>3.1015556422658741</v>
      </c>
      <c r="AE415" s="34">
        <v>3.8769445528323412</v>
      </c>
      <c r="AF415" s="34">
        <v>2.3261667316994048</v>
      </c>
      <c r="AG415" s="33">
        <v>2.3261667316994048</v>
      </c>
      <c r="AH415" s="34">
        <v>4.6523334633988096</v>
      </c>
      <c r="AI415" s="33">
        <v>3.8769445528323412</v>
      </c>
      <c r="AJ415" s="33">
        <v>4.6523334633988096</v>
      </c>
      <c r="AK415" s="33">
        <v>2.7138611869826388</v>
      </c>
      <c r="AL415" s="34">
        <v>2.7138611869826388</v>
      </c>
      <c r="AM415" s="34">
        <v>1.1630833658497031</v>
      </c>
      <c r="AN415" s="34">
        <v>1.938472276416171</v>
      </c>
      <c r="AO415" s="34">
        <v>1.1630833658497031</v>
      </c>
      <c r="AP415" s="34">
        <v>11.63083365849702</v>
      </c>
      <c r="AQ415" s="34">
        <v>6.2031112845317473</v>
      </c>
      <c r="AR415" s="37"/>
    </row>
    <row r="416" spans="1:44" ht="19.5" customHeight="1">
      <c r="A416" s="207">
        <f t="shared" ref="A416:A423" si="43">A415+1</f>
        <v>2</v>
      </c>
      <c r="B416" s="41" t="s">
        <v>133</v>
      </c>
      <c r="C416" s="26" t="s">
        <v>94</v>
      </c>
      <c r="D416" s="101" t="s">
        <v>4758</v>
      </c>
      <c r="E416" s="30"/>
      <c r="F416" s="32">
        <v>10452.225873673349</v>
      </c>
      <c r="G416" s="32">
        <v>7464</v>
      </c>
      <c r="H416" s="32">
        <v>17916.225873673349</v>
      </c>
      <c r="I416" s="33">
        <v>3.635397989557815</v>
      </c>
      <c r="J416" s="33">
        <v>3.635397989557815</v>
      </c>
      <c r="K416" s="34">
        <v>1.2117993298526051</v>
      </c>
      <c r="L416" s="33">
        <v>1.938878927764168</v>
      </c>
      <c r="M416" s="34">
        <v>2.4235986597052102</v>
      </c>
      <c r="N416" s="34">
        <v>1.4541591958231259</v>
      </c>
      <c r="O416" s="33">
        <v>1.4541591958231259</v>
      </c>
      <c r="P416" s="34">
        <v>2.9083183916462518</v>
      </c>
      <c r="Q416" s="33">
        <v>2.4235986597052102</v>
      </c>
      <c r="R416" s="33">
        <v>2.9083183916462518</v>
      </c>
      <c r="S416" s="33">
        <v>1.696519061793647</v>
      </c>
      <c r="T416" s="34">
        <v>1.696519061793647</v>
      </c>
      <c r="U416" s="34">
        <v>0.72707959791156307</v>
      </c>
      <c r="V416" s="34">
        <v>1.2117993298526051</v>
      </c>
      <c r="W416" s="34">
        <v>0.72707959791156307</v>
      </c>
      <c r="X416" s="34">
        <v>7.27079597911563</v>
      </c>
      <c r="Y416" s="34">
        <v>3.8777578555283361</v>
      </c>
      <c r="Z416" s="34"/>
      <c r="AA416" s="33">
        <v>2.5960604872121178</v>
      </c>
      <c r="AB416" s="33">
        <v>2.5960604872121178</v>
      </c>
      <c r="AC416" s="34">
        <v>0.86535349573737252</v>
      </c>
      <c r="AD416" s="33">
        <v>1.384565593179796</v>
      </c>
      <c r="AE416" s="34">
        <v>1.730706991474745</v>
      </c>
      <c r="AF416" s="34">
        <v>1.0384241948848469</v>
      </c>
      <c r="AG416" s="33">
        <v>1.0384241948848469</v>
      </c>
      <c r="AH416" s="34">
        <v>2.0768483897696939</v>
      </c>
      <c r="AI416" s="33">
        <v>1.730706991474745</v>
      </c>
      <c r="AJ416" s="33">
        <v>2.0768483897696939</v>
      </c>
      <c r="AK416" s="33">
        <v>1.211494894032322</v>
      </c>
      <c r="AL416" s="34">
        <v>1.211494894032322</v>
      </c>
      <c r="AM416" s="34">
        <v>0.51921209744242358</v>
      </c>
      <c r="AN416" s="34">
        <v>0.86535349573737252</v>
      </c>
      <c r="AO416" s="34">
        <v>0.51921209744242358</v>
      </c>
      <c r="AP416" s="34">
        <v>5.1921209744242356</v>
      </c>
      <c r="AQ416" s="34">
        <v>2.769131186359592</v>
      </c>
      <c r="AR416" s="37"/>
    </row>
    <row r="417" spans="1:44" ht="19.5" customHeight="1">
      <c r="A417" s="207">
        <f t="shared" si="43"/>
        <v>3</v>
      </c>
      <c r="B417" s="81" t="s">
        <v>133</v>
      </c>
      <c r="C417" s="110" t="s">
        <v>94</v>
      </c>
      <c r="D417" s="28" t="s">
        <v>4759</v>
      </c>
      <c r="E417" s="30"/>
      <c r="F417" s="32">
        <v>29863.502496209559</v>
      </c>
      <c r="G417" s="32">
        <v>11146.70258450576</v>
      </c>
      <c r="H417" s="32">
        <v>41010.205080715306</v>
      </c>
      <c r="I417" s="33">
        <v>10.38685139873661</v>
      </c>
      <c r="J417" s="33">
        <v>10.38685139873661</v>
      </c>
      <c r="K417" s="34">
        <v>3.46228379957887</v>
      </c>
      <c r="L417" s="33">
        <v>5.5396540793261932</v>
      </c>
      <c r="M417" s="34">
        <v>6.9245675991577409</v>
      </c>
      <c r="N417" s="34">
        <v>4.1547405594946456</v>
      </c>
      <c r="O417" s="33">
        <v>4.1547405594946456</v>
      </c>
      <c r="P417" s="34">
        <v>8.3094811189892912</v>
      </c>
      <c r="Q417" s="33">
        <v>6.9245675991577409</v>
      </c>
      <c r="R417" s="33">
        <v>8.3094811189892912</v>
      </c>
      <c r="S417" s="33">
        <v>4.8471973194104194</v>
      </c>
      <c r="T417" s="34">
        <v>4.8471973194104194</v>
      </c>
      <c r="U417" s="34">
        <v>2.0773702797473228</v>
      </c>
      <c r="V417" s="34">
        <v>3.46228379957887</v>
      </c>
      <c r="W417" s="34">
        <v>2.0773702797473228</v>
      </c>
      <c r="X417" s="34">
        <v>20.773702797473231</v>
      </c>
      <c r="Y417" s="34">
        <v>11.07930815865239</v>
      </c>
      <c r="Z417" s="34"/>
      <c r="AA417" s="33">
        <v>3.8769445528323421</v>
      </c>
      <c r="AB417" s="33">
        <v>3.8769445528323421</v>
      </c>
      <c r="AC417" s="34">
        <v>1.292314850944114</v>
      </c>
      <c r="AD417" s="33">
        <v>2.067703761510582</v>
      </c>
      <c r="AE417" s="34">
        <v>2.584629701888228</v>
      </c>
      <c r="AF417" s="34">
        <v>1.5507778211329371</v>
      </c>
      <c r="AG417" s="33">
        <v>1.5507778211329371</v>
      </c>
      <c r="AH417" s="34">
        <v>3.1015556422658741</v>
      </c>
      <c r="AI417" s="33">
        <v>2.584629701888228</v>
      </c>
      <c r="AJ417" s="33">
        <v>3.1015556422658741</v>
      </c>
      <c r="AK417" s="33">
        <v>1.8092407913217601</v>
      </c>
      <c r="AL417" s="34">
        <v>1.8092407913217601</v>
      </c>
      <c r="AM417" s="34">
        <v>0.77538891056646841</v>
      </c>
      <c r="AN417" s="34">
        <v>1.292314850944114</v>
      </c>
      <c r="AO417" s="34">
        <v>0.77538891056646841</v>
      </c>
      <c r="AP417" s="34">
        <v>7.7538891056646833</v>
      </c>
      <c r="AQ417" s="34">
        <v>4.1354075230211649</v>
      </c>
      <c r="AR417" s="39"/>
    </row>
    <row r="418" spans="1:44" ht="19.5" customHeight="1">
      <c r="A418" s="55">
        <f t="shared" si="43"/>
        <v>4</v>
      </c>
      <c r="B418" s="101" t="s">
        <v>4760</v>
      </c>
      <c r="C418" s="49" t="s">
        <v>1098</v>
      </c>
      <c r="D418" s="101" t="s">
        <v>4761</v>
      </c>
      <c r="E418" s="30"/>
      <c r="F418" s="32">
        <v>11000</v>
      </c>
      <c r="G418" s="32">
        <v>0</v>
      </c>
      <c r="H418" s="32">
        <v>11000</v>
      </c>
      <c r="I418" s="33">
        <v>3.8259197962665188</v>
      </c>
      <c r="J418" s="33">
        <v>3.8259197962665188</v>
      </c>
      <c r="K418" s="34">
        <v>1.2753065987555059</v>
      </c>
      <c r="L418" s="33">
        <v>2.04049055800881</v>
      </c>
      <c r="M418" s="34">
        <v>2.5506131975110118</v>
      </c>
      <c r="N418" s="34">
        <v>1.530367918506607</v>
      </c>
      <c r="O418" s="33">
        <v>1.530367918506607</v>
      </c>
      <c r="P418" s="34">
        <v>3.0607358370132149</v>
      </c>
      <c r="Q418" s="33">
        <v>2.5506131975110118</v>
      </c>
      <c r="R418" s="33">
        <v>3.0607358370132149</v>
      </c>
      <c r="S418" s="33">
        <v>1.7854292382577091</v>
      </c>
      <c r="T418" s="34">
        <v>1.7854292382577091</v>
      </c>
      <c r="U418" s="34">
        <v>0.76518395925330374</v>
      </c>
      <c r="V418" s="34">
        <v>1.2753065987555059</v>
      </c>
      <c r="W418" s="34">
        <v>0.76518395925330374</v>
      </c>
      <c r="X418" s="34">
        <v>7.6518395925330376</v>
      </c>
      <c r="Y418" s="34">
        <v>4.0809811160176199</v>
      </c>
      <c r="Z418" s="34"/>
      <c r="AA418" s="33">
        <v>0</v>
      </c>
      <c r="AB418" s="33">
        <v>0</v>
      </c>
      <c r="AC418" s="34">
        <v>0</v>
      </c>
      <c r="AD418" s="33">
        <v>0</v>
      </c>
      <c r="AE418" s="34">
        <v>0</v>
      </c>
      <c r="AF418" s="34">
        <v>0</v>
      </c>
      <c r="AG418" s="33">
        <v>0</v>
      </c>
      <c r="AH418" s="34">
        <v>0</v>
      </c>
      <c r="AI418" s="33">
        <v>0</v>
      </c>
      <c r="AJ418" s="33">
        <v>0</v>
      </c>
      <c r="AK418" s="33">
        <v>0</v>
      </c>
      <c r="AL418" s="34">
        <v>0</v>
      </c>
      <c r="AM418" s="34">
        <v>0</v>
      </c>
      <c r="AN418" s="34">
        <v>0</v>
      </c>
      <c r="AO418" s="34">
        <v>0</v>
      </c>
      <c r="AP418" s="34">
        <v>0</v>
      </c>
      <c r="AQ418" s="34">
        <v>0</v>
      </c>
      <c r="AR418" s="39"/>
    </row>
    <row r="419" spans="1:44" ht="19.5" customHeight="1">
      <c r="A419" s="55">
        <f t="shared" si="43"/>
        <v>5</v>
      </c>
      <c r="B419" s="41" t="s">
        <v>133</v>
      </c>
      <c r="C419" s="30" t="s">
        <v>94</v>
      </c>
      <c r="D419" s="28" t="s">
        <v>4762</v>
      </c>
      <c r="E419" s="30"/>
      <c r="F419" s="32">
        <v>31356.677621020041</v>
      </c>
      <c r="G419" s="32">
        <v>32784.419366193411</v>
      </c>
      <c r="H419" s="32">
        <v>64141.096987213437</v>
      </c>
      <c r="I419" s="33">
        <v>10.90619396867344</v>
      </c>
      <c r="J419" s="33">
        <v>10.90619396867344</v>
      </c>
      <c r="K419" s="34">
        <v>3.6353979895578141</v>
      </c>
      <c r="L419" s="33">
        <v>5.8166367832925037</v>
      </c>
      <c r="M419" s="34">
        <v>7.2707959791156282</v>
      </c>
      <c r="N419" s="34">
        <v>4.3624775874693782</v>
      </c>
      <c r="O419" s="33">
        <v>4.3624775874693782</v>
      </c>
      <c r="P419" s="34">
        <v>8.7249551749387564</v>
      </c>
      <c r="Q419" s="33">
        <v>7.2707959791156282</v>
      </c>
      <c r="R419" s="33">
        <v>8.7249551749387564</v>
      </c>
      <c r="S419" s="33">
        <v>5.0895571853809409</v>
      </c>
      <c r="T419" s="34">
        <v>5.0895571853809409</v>
      </c>
      <c r="U419" s="34">
        <v>2.1812387937346891</v>
      </c>
      <c r="V419" s="34">
        <v>3.6353979895578141</v>
      </c>
      <c r="W419" s="34">
        <v>2.1812387937346891</v>
      </c>
      <c r="X419" s="34">
        <v>21.812387937346891</v>
      </c>
      <c r="Y419" s="34">
        <v>11.633273566585011</v>
      </c>
      <c r="Z419" s="54"/>
      <c r="AA419" s="33">
        <v>11.40277809656571</v>
      </c>
      <c r="AB419" s="33">
        <v>11.40277809656571</v>
      </c>
      <c r="AC419" s="34">
        <v>3.8009260321885701</v>
      </c>
      <c r="AD419" s="33">
        <v>6.0814816515017123</v>
      </c>
      <c r="AE419" s="34">
        <v>7.6018520643771392</v>
      </c>
      <c r="AF419" s="34">
        <v>4.5611112386262844</v>
      </c>
      <c r="AG419" s="33">
        <v>4.5611112386262844</v>
      </c>
      <c r="AH419" s="34">
        <v>9.1222224772525689</v>
      </c>
      <c r="AI419" s="33">
        <v>7.6018520643771392</v>
      </c>
      <c r="AJ419" s="33">
        <v>9.1222224772525689</v>
      </c>
      <c r="AK419" s="33">
        <v>5.3212964450639983</v>
      </c>
      <c r="AL419" s="34">
        <v>5.3212964450639983</v>
      </c>
      <c r="AM419" s="34">
        <v>2.2805556193131422</v>
      </c>
      <c r="AN419" s="34">
        <v>3.8009260321885701</v>
      </c>
      <c r="AO419" s="34">
        <v>2.2805556193131422</v>
      </c>
      <c r="AP419" s="34">
        <v>22.805556193131419</v>
      </c>
      <c r="AQ419" s="34">
        <v>12.162963303003419</v>
      </c>
      <c r="AR419" s="39"/>
    </row>
    <row r="420" spans="1:44" ht="19.5" customHeight="1">
      <c r="A420" s="55">
        <f t="shared" si="43"/>
        <v>6</v>
      </c>
      <c r="B420" s="100" t="s">
        <v>4763</v>
      </c>
      <c r="C420" s="26" t="s">
        <v>230</v>
      </c>
      <c r="D420" s="28" t="s">
        <v>4764</v>
      </c>
      <c r="E420" s="30"/>
      <c r="F420" s="32">
        <v>120000</v>
      </c>
      <c r="G420" s="32">
        <v>10822.04134418035</v>
      </c>
      <c r="H420" s="32">
        <v>130822.0413441804</v>
      </c>
      <c r="I420" s="33">
        <v>41.737306868362033</v>
      </c>
      <c r="J420" s="33">
        <v>41.737306868362033</v>
      </c>
      <c r="K420" s="34">
        <v>13.91243562278734</v>
      </c>
      <c r="L420" s="33">
        <v>22.259896996459752</v>
      </c>
      <c r="M420" s="34">
        <v>27.824871245574681</v>
      </c>
      <c r="N420" s="34">
        <v>16.694922747344808</v>
      </c>
      <c r="O420" s="33">
        <v>16.694922747344808</v>
      </c>
      <c r="P420" s="34">
        <v>33.389845494689617</v>
      </c>
      <c r="Q420" s="33">
        <v>27.824871245574681</v>
      </c>
      <c r="R420" s="33">
        <v>33.389845494689617</v>
      </c>
      <c r="S420" s="33">
        <v>19.477409871902282</v>
      </c>
      <c r="T420" s="34">
        <v>19.477409871902282</v>
      </c>
      <c r="U420" s="34">
        <v>8.3474613736724059</v>
      </c>
      <c r="V420" s="34">
        <v>13.91243562278734</v>
      </c>
      <c r="W420" s="34">
        <v>8.3474613736724059</v>
      </c>
      <c r="X420" s="34">
        <v>83.474613736724052</v>
      </c>
      <c r="Y420" s="34">
        <v>44.519793992919503</v>
      </c>
      <c r="Z420" s="34"/>
      <c r="AA420" s="33">
        <v>3.7640238377013029</v>
      </c>
      <c r="AB420" s="33">
        <v>3.7640238377013029</v>
      </c>
      <c r="AC420" s="34">
        <v>1.2546746125671011</v>
      </c>
      <c r="AD420" s="33">
        <v>2.007479380107362</v>
      </c>
      <c r="AE420" s="34">
        <v>2.5093492251342022</v>
      </c>
      <c r="AF420" s="34">
        <v>1.505609535080521</v>
      </c>
      <c r="AG420" s="33">
        <v>1.505609535080521</v>
      </c>
      <c r="AH420" s="34">
        <v>3.011219070161042</v>
      </c>
      <c r="AI420" s="33">
        <v>2.5093492251342022</v>
      </c>
      <c r="AJ420" s="33">
        <v>3.011219070161042</v>
      </c>
      <c r="AK420" s="33">
        <v>1.756544457593942</v>
      </c>
      <c r="AL420" s="34">
        <v>1.756544457593942</v>
      </c>
      <c r="AM420" s="34">
        <v>0.7528047675402606</v>
      </c>
      <c r="AN420" s="34">
        <v>1.2546746125671011</v>
      </c>
      <c r="AO420" s="34">
        <v>0.7528047675402606</v>
      </c>
      <c r="AP420" s="34">
        <v>7.5280476754026058</v>
      </c>
      <c r="AQ420" s="34">
        <v>4.0149587602147232</v>
      </c>
      <c r="AR420" s="37"/>
    </row>
    <row r="421" spans="1:44" ht="19.5" customHeight="1">
      <c r="A421" s="207">
        <f t="shared" si="43"/>
        <v>7</v>
      </c>
      <c r="B421" s="41" t="s">
        <v>133</v>
      </c>
      <c r="C421" s="26" t="s">
        <v>94</v>
      </c>
      <c r="D421" s="28" t="s">
        <v>4765</v>
      </c>
      <c r="E421" s="30"/>
      <c r="F421" s="32">
        <v>15678.33881051002</v>
      </c>
      <c r="G421" s="32">
        <v>10400</v>
      </c>
      <c r="H421" s="32">
        <v>26078.33881051002</v>
      </c>
      <c r="I421" s="33">
        <v>5.4530969843367219</v>
      </c>
      <c r="J421" s="33">
        <v>5.4530969843367219</v>
      </c>
      <c r="K421" s="34">
        <v>1.8176989947789071</v>
      </c>
      <c r="L421" s="33">
        <v>2.9083183916462518</v>
      </c>
      <c r="M421" s="34">
        <v>3.6353979895578141</v>
      </c>
      <c r="N421" s="34">
        <v>2.1812387937346891</v>
      </c>
      <c r="O421" s="33">
        <v>2.1812387937346891</v>
      </c>
      <c r="P421" s="34">
        <v>4.3624775874693782</v>
      </c>
      <c r="Q421" s="33">
        <v>3.6353979895578141</v>
      </c>
      <c r="R421" s="33">
        <v>4.3624775874693782</v>
      </c>
      <c r="S421" s="33">
        <v>2.54477859269047</v>
      </c>
      <c r="T421" s="34">
        <v>2.54477859269047</v>
      </c>
      <c r="U421" s="34">
        <v>1.090619396867345</v>
      </c>
      <c r="V421" s="34">
        <v>1.8176989947789071</v>
      </c>
      <c r="W421" s="34">
        <v>1.090619396867345</v>
      </c>
      <c r="X421" s="34">
        <v>10.90619396867344</v>
      </c>
      <c r="Y421" s="34">
        <v>5.8166367832925037</v>
      </c>
      <c r="Z421" s="54"/>
      <c r="AA421" s="33">
        <v>3.6172332619247092</v>
      </c>
      <c r="AB421" s="33">
        <v>3.6172332619247092</v>
      </c>
      <c r="AC421" s="34">
        <v>1.2057444206415691</v>
      </c>
      <c r="AD421" s="33">
        <v>1.9291910730265109</v>
      </c>
      <c r="AE421" s="34">
        <v>2.411488841283139</v>
      </c>
      <c r="AF421" s="34">
        <v>1.446893304769884</v>
      </c>
      <c r="AG421" s="33">
        <v>1.446893304769884</v>
      </c>
      <c r="AH421" s="34">
        <v>2.8937866095397671</v>
      </c>
      <c r="AI421" s="33">
        <v>2.411488841283139</v>
      </c>
      <c r="AJ421" s="33">
        <v>2.8937866095397671</v>
      </c>
      <c r="AK421" s="33">
        <v>1.6880421888981969</v>
      </c>
      <c r="AL421" s="34">
        <v>1.6880421888981969</v>
      </c>
      <c r="AM421" s="34">
        <v>0.72344665238494177</v>
      </c>
      <c r="AN421" s="34">
        <v>1.2057444206415691</v>
      </c>
      <c r="AO421" s="34">
        <v>0.72344665238494177</v>
      </c>
      <c r="AP421" s="34">
        <v>7.2344665238494166</v>
      </c>
      <c r="AQ421" s="34">
        <v>3.8583821460530219</v>
      </c>
      <c r="AR421" s="39"/>
    </row>
    <row r="422" spans="1:44" ht="19.5" customHeight="1">
      <c r="A422" s="55">
        <f t="shared" si="43"/>
        <v>8</v>
      </c>
      <c r="B422" s="41" t="s">
        <v>133</v>
      </c>
      <c r="C422" s="26" t="s">
        <v>94</v>
      </c>
      <c r="D422" s="101" t="s">
        <v>4766</v>
      </c>
      <c r="E422" s="30"/>
      <c r="F422" s="32">
        <v>20904.451747346691</v>
      </c>
      <c r="G422" s="32">
        <v>16720.05387675864</v>
      </c>
      <c r="H422" s="32">
        <v>37624.505624105332</v>
      </c>
      <c r="I422" s="33">
        <v>7.27079597911563</v>
      </c>
      <c r="J422" s="33">
        <v>7.27079597911563</v>
      </c>
      <c r="K422" s="34">
        <v>2.4235986597052102</v>
      </c>
      <c r="L422" s="33">
        <v>3.8777578555283361</v>
      </c>
      <c r="M422" s="34">
        <v>4.8471973194104194</v>
      </c>
      <c r="N422" s="34">
        <v>2.9083183916462518</v>
      </c>
      <c r="O422" s="33">
        <v>2.9083183916462518</v>
      </c>
      <c r="P422" s="34">
        <v>5.8166367832925054</v>
      </c>
      <c r="Q422" s="33">
        <v>4.8471973194104194</v>
      </c>
      <c r="R422" s="33">
        <v>5.8166367832925054</v>
      </c>
      <c r="S422" s="33">
        <v>3.393038123587294</v>
      </c>
      <c r="T422" s="34">
        <v>3.393038123587294</v>
      </c>
      <c r="U422" s="34">
        <v>1.4541591958231259</v>
      </c>
      <c r="V422" s="34">
        <v>2.4235986597052102</v>
      </c>
      <c r="W422" s="34">
        <v>1.4541591958231259</v>
      </c>
      <c r="X422" s="34">
        <v>14.54159195823126</v>
      </c>
      <c r="Y422" s="34">
        <v>7.7555157110566721</v>
      </c>
      <c r="Z422" s="54"/>
      <c r="AA422" s="33">
        <v>5.8154168292485124</v>
      </c>
      <c r="AB422" s="33">
        <v>5.8154168292485124</v>
      </c>
      <c r="AC422" s="34">
        <v>1.938472276416171</v>
      </c>
      <c r="AD422" s="33">
        <v>3.1015556422658741</v>
      </c>
      <c r="AE422" s="34">
        <v>3.8769445528323412</v>
      </c>
      <c r="AF422" s="34">
        <v>2.3261667316994048</v>
      </c>
      <c r="AG422" s="33">
        <v>2.3261667316994048</v>
      </c>
      <c r="AH422" s="34">
        <v>4.6523334633988096</v>
      </c>
      <c r="AI422" s="33">
        <v>3.8769445528323412</v>
      </c>
      <c r="AJ422" s="33">
        <v>4.6523334633988096</v>
      </c>
      <c r="AK422" s="33">
        <v>2.7138611869826388</v>
      </c>
      <c r="AL422" s="34">
        <v>2.7138611869826388</v>
      </c>
      <c r="AM422" s="34">
        <v>1.1630833658497031</v>
      </c>
      <c r="AN422" s="34">
        <v>1.938472276416171</v>
      </c>
      <c r="AO422" s="34">
        <v>1.1630833658497031</v>
      </c>
      <c r="AP422" s="34">
        <v>11.63083365849702</v>
      </c>
      <c r="AQ422" s="34">
        <v>6.2031112845317473</v>
      </c>
      <c r="AR422" s="37"/>
    </row>
    <row r="423" spans="1:44" ht="19.5" customHeight="1">
      <c r="A423" s="55">
        <f t="shared" si="43"/>
        <v>9</v>
      </c>
      <c r="B423" s="41" t="s">
        <v>133</v>
      </c>
      <c r="C423" s="26" t="s">
        <v>94</v>
      </c>
      <c r="D423" s="101" t="s">
        <v>4767</v>
      </c>
      <c r="E423" s="30"/>
      <c r="F423" s="32">
        <v>36582.790557856693</v>
      </c>
      <c r="G423" s="32">
        <v>27320.349471827849</v>
      </c>
      <c r="H423" s="32">
        <v>63903.140029684539</v>
      </c>
      <c r="I423" s="33">
        <v>12.72389296345235</v>
      </c>
      <c r="J423" s="33">
        <v>12.72389296345235</v>
      </c>
      <c r="K423" s="34">
        <v>4.2412976544841143</v>
      </c>
      <c r="L423" s="33">
        <v>6.7860762471745844</v>
      </c>
      <c r="M423" s="34">
        <v>8.4825953089682287</v>
      </c>
      <c r="N423" s="34">
        <v>5.0895571853809383</v>
      </c>
      <c r="O423" s="33">
        <v>5.0895571853809383</v>
      </c>
      <c r="P423" s="34">
        <v>10.17911437076188</v>
      </c>
      <c r="Q423" s="33">
        <v>8.4825953089682287</v>
      </c>
      <c r="R423" s="33">
        <v>10.17911437076188</v>
      </c>
      <c r="S423" s="33">
        <v>5.9378167162777613</v>
      </c>
      <c r="T423" s="34">
        <v>5.9378167162777613</v>
      </c>
      <c r="U423" s="34">
        <v>2.5447785926904691</v>
      </c>
      <c r="V423" s="34">
        <v>4.2412976544841143</v>
      </c>
      <c r="W423" s="34">
        <v>2.5447785926904691</v>
      </c>
      <c r="X423" s="34">
        <v>25.44778592690469</v>
      </c>
      <c r="Y423" s="34">
        <v>13.57215249434917</v>
      </c>
      <c r="Z423" s="34"/>
      <c r="AA423" s="33">
        <v>9.5023150804714263</v>
      </c>
      <c r="AB423" s="33">
        <v>9.5023150804714263</v>
      </c>
      <c r="AC423" s="34">
        <v>3.1674383601571421</v>
      </c>
      <c r="AD423" s="33">
        <v>5.0679013762514273</v>
      </c>
      <c r="AE423" s="34">
        <v>6.3348767203142842</v>
      </c>
      <c r="AF423" s="34">
        <v>3.8009260321885709</v>
      </c>
      <c r="AG423" s="33">
        <v>3.8009260321885709</v>
      </c>
      <c r="AH423" s="34">
        <v>7.6018520643771419</v>
      </c>
      <c r="AI423" s="33">
        <v>6.3348767203142842</v>
      </c>
      <c r="AJ423" s="33">
        <v>7.6018520643771419</v>
      </c>
      <c r="AK423" s="33">
        <v>4.4344137042199989</v>
      </c>
      <c r="AL423" s="34">
        <v>4.4344137042199989</v>
      </c>
      <c r="AM423" s="34">
        <v>1.900463016094285</v>
      </c>
      <c r="AN423" s="34">
        <v>3.1674383601571421</v>
      </c>
      <c r="AO423" s="34">
        <v>1.900463016094285</v>
      </c>
      <c r="AP423" s="34">
        <v>19.004630160942849</v>
      </c>
      <c r="AQ423" s="34">
        <v>10.135802752502849</v>
      </c>
      <c r="AR423" s="39"/>
    </row>
    <row r="424" spans="1:44" ht="19.5" customHeight="1">
      <c r="A424" s="62"/>
      <c r="B424" s="63" t="s">
        <v>4768</v>
      </c>
      <c r="C424" s="51" t="s">
        <v>185</v>
      </c>
      <c r="D424" s="63" t="s">
        <v>4769</v>
      </c>
      <c r="E424" s="51">
        <v>8</v>
      </c>
      <c r="F424" s="52">
        <v>405837.98710661632</v>
      </c>
      <c r="G424" s="52">
        <v>133377.62052022459</v>
      </c>
      <c r="H424" s="52">
        <v>539215.60762684094</v>
      </c>
      <c r="I424" s="33">
        <v>141.15487172255999</v>
      </c>
      <c r="J424" s="33">
        <v>141.15487172255999</v>
      </c>
      <c r="K424" s="34">
        <v>47.051623907519982</v>
      </c>
      <c r="L424" s="33">
        <v>75.282598252031974</v>
      </c>
      <c r="M424" s="34">
        <v>94.103247815039964</v>
      </c>
      <c r="N424" s="34">
        <v>56.461948689023977</v>
      </c>
      <c r="O424" s="33">
        <v>56.461948689023977</v>
      </c>
      <c r="P424" s="34">
        <v>112.923897378048</v>
      </c>
      <c r="Q424" s="33">
        <v>94.103247815039964</v>
      </c>
      <c r="R424" s="33">
        <v>112.923897378048</v>
      </c>
      <c r="S424" s="33">
        <v>65.872273470527986</v>
      </c>
      <c r="T424" s="34">
        <v>65.872273470527986</v>
      </c>
      <c r="U424" s="34">
        <v>28.230974344511989</v>
      </c>
      <c r="V424" s="34">
        <v>47.051623907519982</v>
      </c>
      <c r="W424" s="34">
        <v>28.230974344511989</v>
      </c>
      <c r="X424" s="34">
        <v>282.30974344511992</v>
      </c>
      <c r="Y424" s="34">
        <v>150.56519650406389</v>
      </c>
      <c r="Z424" s="34"/>
      <c r="AA424" s="33">
        <v>46.390188975204637</v>
      </c>
      <c r="AB424" s="33">
        <v>46.390188975204637</v>
      </c>
      <c r="AC424" s="34">
        <v>15.46339632506821</v>
      </c>
      <c r="AD424" s="33">
        <v>24.74143412010914</v>
      </c>
      <c r="AE424" s="34">
        <v>30.92679265013642</v>
      </c>
      <c r="AF424" s="34">
        <v>18.55607559008185</v>
      </c>
      <c r="AG424" s="33">
        <v>18.55607559008185</v>
      </c>
      <c r="AH424" s="34">
        <v>37.112151180163707</v>
      </c>
      <c r="AI424" s="33">
        <v>30.92679265013642</v>
      </c>
      <c r="AJ424" s="33">
        <v>37.112151180163707</v>
      </c>
      <c r="AK424" s="33">
        <v>21.6487548550955</v>
      </c>
      <c r="AL424" s="34">
        <v>21.6487548550955</v>
      </c>
      <c r="AM424" s="34">
        <v>9.2780377950409267</v>
      </c>
      <c r="AN424" s="34">
        <v>15.46339632506821</v>
      </c>
      <c r="AO424" s="34">
        <v>9.2780377950409267</v>
      </c>
      <c r="AP424" s="34">
        <v>92.780377950409274</v>
      </c>
      <c r="AQ424" s="34">
        <v>49.482868240218266</v>
      </c>
      <c r="AR424" s="37"/>
    </row>
    <row r="425" spans="1:44" ht="19.5" customHeight="1">
      <c r="A425" s="55">
        <f>A423+1</f>
        <v>10</v>
      </c>
      <c r="B425" s="28" t="s">
        <v>4770</v>
      </c>
      <c r="C425" s="159" t="s">
        <v>650</v>
      </c>
      <c r="D425" s="28" t="s">
        <v>4771</v>
      </c>
      <c r="E425" s="30"/>
      <c r="F425" s="32">
        <v>120000</v>
      </c>
      <c r="G425" s="32">
        <v>30000</v>
      </c>
      <c r="H425" s="32">
        <v>150000</v>
      </c>
      <c r="I425" s="33">
        <v>41.737306868362033</v>
      </c>
      <c r="J425" s="33">
        <v>41.737306868362033</v>
      </c>
      <c r="K425" s="34">
        <v>13.91243562278734</v>
      </c>
      <c r="L425" s="33">
        <v>22.259896996459752</v>
      </c>
      <c r="M425" s="34">
        <v>27.824871245574681</v>
      </c>
      <c r="N425" s="34">
        <v>16.694922747344808</v>
      </c>
      <c r="O425" s="33">
        <v>16.694922747344808</v>
      </c>
      <c r="P425" s="34">
        <v>33.389845494689617</v>
      </c>
      <c r="Q425" s="33">
        <v>27.824871245574681</v>
      </c>
      <c r="R425" s="33">
        <v>33.389845494689617</v>
      </c>
      <c r="S425" s="33">
        <v>19.477409871902282</v>
      </c>
      <c r="T425" s="34">
        <v>19.477409871902282</v>
      </c>
      <c r="U425" s="34">
        <v>8.3474613736724059</v>
      </c>
      <c r="V425" s="34">
        <v>13.91243562278734</v>
      </c>
      <c r="W425" s="34">
        <v>8.3474613736724059</v>
      </c>
      <c r="X425" s="34">
        <v>83.474613736724052</v>
      </c>
      <c r="Y425" s="34">
        <v>44.519793992919503</v>
      </c>
      <c r="Z425" s="34"/>
      <c r="AA425" s="33">
        <v>10.43432671709051</v>
      </c>
      <c r="AB425" s="33">
        <v>10.43432671709051</v>
      </c>
      <c r="AC425" s="34">
        <v>3.4781089056968351</v>
      </c>
      <c r="AD425" s="33">
        <v>5.564974249114937</v>
      </c>
      <c r="AE425" s="34">
        <v>6.9562178113936701</v>
      </c>
      <c r="AF425" s="34">
        <v>4.173730686836203</v>
      </c>
      <c r="AG425" s="33">
        <v>4.173730686836203</v>
      </c>
      <c r="AH425" s="34">
        <v>8.3474613736724059</v>
      </c>
      <c r="AI425" s="33">
        <v>6.9562178113936701</v>
      </c>
      <c r="AJ425" s="33">
        <v>8.3474613736724059</v>
      </c>
      <c r="AK425" s="33">
        <v>4.8693524679755704</v>
      </c>
      <c r="AL425" s="34">
        <v>4.8693524679755704</v>
      </c>
      <c r="AM425" s="34">
        <v>2.086865343418101</v>
      </c>
      <c r="AN425" s="34">
        <v>3.4781089056968351</v>
      </c>
      <c r="AO425" s="34">
        <v>2.086865343418101</v>
      </c>
      <c r="AP425" s="34">
        <v>20.868653434181009</v>
      </c>
      <c r="AQ425" s="34">
        <v>11.12994849822987</v>
      </c>
      <c r="AR425" s="39"/>
    </row>
    <row r="426" spans="1:44" ht="19.5" customHeight="1">
      <c r="A426" s="55">
        <f t="shared" ref="A426:A428" si="44">A425+1</f>
        <v>11</v>
      </c>
      <c r="B426" s="41" t="s">
        <v>133</v>
      </c>
      <c r="C426" s="26" t="s">
        <v>94</v>
      </c>
      <c r="D426" s="28" t="s">
        <v>4772</v>
      </c>
      <c r="E426" s="30"/>
      <c r="F426" s="32">
        <v>0</v>
      </c>
      <c r="G426" s="32">
        <v>11146.70258450576</v>
      </c>
      <c r="H426" s="32">
        <v>11146.70258450576</v>
      </c>
      <c r="I426" s="33">
        <v>0</v>
      </c>
      <c r="J426" s="33">
        <v>0</v>
      </c>
      <c r="K426" s="34">
        <v>0</v>
      </c>
      <c r="L426" s="33">
        <v>0</v>
      </c>
      <c r="M426" s="34">
        <v>0</v>
      </c>
      <c r="N426" s="34">
        <v>0</v>
      </c>
      <c r="O426" s="33">
        <v>0</v>
      </c>
      <c r="P426" s="34">
        <v>0</v>
      </c>
      <c r="Q426" s="33">
        <v>0</v>
      </c>
      <c r="R426" s="33">
        <v>0</v>
      </c>
      <c r="S426" s="33">
        <v>0</v>
      </c>
      <c r="T426" s="34">
        <v>0</v>
      </c>
      <c r="U426" s="34">
        <v>0</v>
      </c>
      <c r="V426" s="34">
        <v>0</v>
      </c>
      <c r="W426" s="34">
        <v>0</v>
      </c>
      <c r="X426" s="34">
        <v>0</v>
      </c>
      <c r="Y426" s="34">
        <v>0</v>
      </c>
      <c r="Z426" s="34"/>
      <c r="AA426" s="33">
        <v>3.8769445528323421</v>
      </c>
      <c r="AB426" s="33">
        <v>3.8769445528323421</v>
      </c>
      <c r="AC426" s="34">
        <v>1.292314850944114</v>
      </c>
      <c r="AD426" s="33">
        <v>2.067703761510582</v>
      </c>
      <c r="AE426" s="34">
        <v>2.584629701888228</v>
      </c>
      <c r="AF426" s="34">
        <v>1.5507778211329371</v>
      </c>
      <c r="AG426" s="33">
        <v>1.5507778211329371</v>
      </c>
      <c r="AH426" s="34">
        <v>3.1015556422658741</v>
      </c>
      <c r="AI426" s="33">
        <v>2.584629701888228</v>
      </c>
      <c r="AJ426" s="33">
        <v>3.1015556422658741</v>
      </c>
      <c r="AK426" s="33">
        <v>1.8092407913217601</v>
      </c>
      <c r="AL426" s="34">
        <v>1.8092407913217601</v>
      </c>
      <c r="AM426" s="34">
        <v>0.77538891056646841</v>
      </c>
      <c r="AN426" s="34">
        <v>1.292314850944114</v>
      </c>
      <c r="AO426" s="34">
        <v>0.77538891056646841</v>
      </c>
      <c r="AP426" s="34">
        <v>7.7538891056646833</v>
      </c>
      <c r="AQ426" s="34">
        <v>4.1354075230211649</v>
      </c>
      <c r="AR426" s="39"/>
    </row>
    <row r="427" spans="1:44" ht="19.5" customHeight="1">
      <c r="A427" s="55">
        <f t="shared" si="44"/>
        <v>12</v>
      </c>
      <c r="B427" s="28" t="s">
        <v>4773</v>
      </c>
      <c r="C427" s="26" t="s">
        <v>159</v>
      </c>
      <c r="D427" s="28" t="s">
        <v>4774</v>
      </c>
      <c r="E427" s="30"/>
      <c r="F427" s="32">
        <v>110505.4930492767</v>
      </c>
      <c r="G427" s="32">
        <v>10609.844455078781</v>
      </c>
      <c r="H427" s="32">
        <v>121115.3375043554</v>
      </c>
      <c r="I427" s="33">
        <v>38.435013950310889</v>
      </c>
      <c r="J427" s="33">
        <v>38.435013950310889</v>
      </c>
      <c r="K427" s="34">
        <v>12.811671316770299</v>
      </c>
      <c r="L427" s="33">
        <v>20.498674106832471</v>
      </c>
      <c r="M427" s="34">
        <v>25.623342633540592</v>
      </c>
      <c r="N427" s="34">
        <v>15.37400558012436</v>
      </c>
      <c r="O427" s="33">
        <v>15.37400558012436</v>
      </c>
      <c r="P427" s="34">
        <v>30.748011160248719</v>
      </c>
      <c r="Q427" s="33">
        <v>25.623342633540592</v>
      </c>
      <c r="R427" s="33">
        <v>30.748011160248719</v>
      </c>
      <c r="S427" s="33">
        <v>17.936339843478411</v>
      </c>
      <c r="T427" s="34">
        <v>17.936339843478411</v>
      </c>
      <c r="U427" s="34">
        <v>7.6870027900621789</v>
      </c>
      <c r="V427" s="34">
        <v>12.811671316770299</v>
      </c>
      <c r="W427" s="34">
        <v>7.6870027900621789</v>
      </c>
      <c r="X427" s="34">
        <v>76.870027900621778</v>
      </c>
      <c r="Y427" s="34">
        <v>40.997348213664949</v>
      </c>
      <c r="Z427" s="34"/>
      <c r="AA427" s="33">
        <v>3.6902194487267681</v>
      </c>
      <c r="AB427" s="33">
        <v>3.6902194487267681</v>
      </c>
      <c r="AC427" s="34">
        <v>1.230073149575589</v>
      </c>
      <c r="AD427" s="33">
        <v>1.9681170393209431</v>
      </c>
      <c r="AE427" s="34">
        <v>2.460146299151178</v>
      </c>
      <c r="AF427" s="34">
        <v>1.476087779490707</v>
      </c>
      <c r="AG427" s="33">
        <v>1.476087779490707</v>
      </c>
      <c r="AH427" s="34">
        <v>2.952175558981414</v>
      </c>
      <c r="AI427" s="33">
        <v>2.460146299151178</v>
      </c>
      <c r="AJ427" s="33">
        <v>2.952175558981414</v>
      </c>
      <c r="AK427" s="33">
        <v>1.722102409405825</v>
      </c>
      <c r="AL427" s="34">
        <v>1.722102409405825</v>
      </c>
      <c r="AM427" s="34">
        <v>0.73804388974535351</v>
      </c>
      <c r="AN427" s="34">
        <v>1.230073149575589</v>
      </c>
      <c r="AO427" s="34">
        <v>0.73804388974535351</v>
      </c>
      <c r="AP427" s="34">
        <v>7.3804388974535353</v>
      </c>
      <c r="AQ427" s="34">
        <v>3.9362340786418848</v>
      </c>
      <c r="AR427" s="39"/>
    </row>
    <row r="428" spans="1:44" ht="19.5" customHeight="1">
      <c r="A428" s="55">
        <f t="shared" si="44"/>
        <v>13</v>
      </c>
      <c r="B428" s="56" t="s">
        <v>4775</v>
      </c>
      <c r="C428" s="79" t="s">
        <v>94</v>
      </c>
      <c r="D428" s="28" t="s">
        <v>4776</v>
      </c>
      <c r="E428" s="30"/>
      <c r="F428" s="32">
        <v>102000</v>
      </c>
      <c r="G428" s="32">
        <v>10000</v>
      </c>
      <c r="H428" s="32">
        <v>112000</v>
      </c>
      <c r="I428" s="33">
        <v>35.476710838107721</v>
      </c>
      <c r="J428" s="33">
        <v>35.476710838107721</v>
      </c>
      <c r="K428" s="34">
        <v>11.82557027936924</v>
      </c>
      <c r="L428" s="33">
        <v>18.92091244699078</v>
      </c>
      <c r="M428" s="34">
        <v>23.651140558738479</v>
      </c>
      <c r="N428" s="34">
        <v>14.190684335243089</v>
      </c>
      <c r="O428" s="33">
        <v>14.190684335243089</v>
      </c>
      <c r="P428" s="34">
        <v>28.381368670486179</v>
      </c>
      <c r="Q428" s="33">
        <v>23.651140558738479</v>
      </c>
      <c r="R428" s="33">
        <v>28.381368670486179</v>
      </c>
      <c r="S428" s="33">
        <v>16.555798391116941</v>
      </c>
      <c r="T428" s="34">
        <v>16.555798391116941</v>
      </c>
      <c r="U428" s="34">
        <v>7.0953421676215438</v>
      </c>
      <c r="V428" s="34">
        <v>11.82557027936924</v>
      </c>
      <c r="W428" s="34">
        <v>7.0953421676215438</v>
      </c>
      <c r="X428" s="34">
        <v>70.953421676215441</v>
      </c>
      <c r="Y428" s="34">
        <v>37.841824893981567</v>
      </c>
      <c r="Z428" s="34"/>
      <c r="AA428" s="33">
        <v>3.478108905696836</v>
      </c>
      <c r="AB428" s="33">
        <v>3.478108905696836</v>
      </c>
      <c r="AC428" s="34">
        <v>1.159369635232278</v>
      </c>
      <c r="AD428" s="33">
        <v>1.854991416371645</v>
      </c>
      <c r="AE428" s="34">
        <v>2.318739270464556</v>
      </c>
      <c r="AF428" s="34">
        <v>1.391243562278734</v>
      </c>
      <c r="AG428" s="33">
        <v>1.391243562278734</v>
      </c>
      <c r="AH428" s="34">
        <v>2.7824871245574681</v>
      </c>
      <c r="AI428" s="33">
        <v>2.318739270464556</v>
      </c>
      <c r="AJ428" s="33">
        <v>2.7824871245574681</v>
      </c>
      <c r="AK428" s="33">
        <v>1.6231174893251901</v>
      </c>
      <c r="AL428" s="34">
        <v>1.6231174893251901</v>
      </c>
      <c r="AM428" s="34">
        <v>0.69562178113936712</v>
      </c>
      <c r="AN428" s="34">
        <v>1.159369635232278</v>
      </c>
      <c r="AO428" s="34">
        <v>0.69562178113936712</v>
      </c>
      <c r="AP428" s="34">
        <v>6.956217811393671</v>
      </c>
      <c r="AQ428" s="34">
        <v>3.7099828327432909</v>
      </c>
      <c r="AR428" s="39"/>
    </row>
    <row r="429" spans="1:44" ht="19.5" customHeight="1">
      <c r="A429" s="62"/>
      <c r="B429" s="50" t="s">
        <v>133</v>
      </c>
      <c r="C429" s="49" t="s">
        <v>389</v>
      </c>
      <c r="D429" s="50" t="s">
        <v>4777</v>
      </c>
      <c r="E429" s="208">
        <v>4</v>
      </c>
      <c r="F429" s="52">
        <v>332505.49304927659</v>
      </c>
      <c r="G429" s="52">
        <v>61756.54703958454</v>
      </c>
      <c r="H429" s="52">
        <v>394262.04008886119</v>
      </c>
      <c r="I429" s="33">
        <v>115.64903165678059</v>
      </c>
      <c r="J429" s="33">
        <v>115.64903165678059</v>
      </c>
      <c r="K429" s="34">
        <v>38.549677218926867</v>
      </c>
      <c r="L429" s="33">
        <v>61.679483550283003</v>
      </c>
      <c r="M429" s="34">
        <v>77.099354437853734</v>
      </c>
      <c r="N429" s="34">
        <v>46.25961266271225</v>
      </c>
      <c r="O429" s="33">
        <v>46.25961266271225</v>
      </c>
      <c r="P429" s="34">
        <v>92.5192253254245</v>
      </c>
      <c r="Q429" s="33">
        <v>77.099354437853734</v>
      </c>
      <c r="R429" s="33">
        <v>92.5192253254245</v>
      </c>
      <c r="S429" s="33">
        <v>53.969548106497633</v>
      </c>
      <c r="T429" s="34">
        <v>53.969548106497633</v>
      </c>
      <c r="U429" s="34">
        <v>23.129806331356129</v>
      </c>
      <c r="V429" s="34">
        <v>38.549677218926867</v>
      </c>
      <c r="W429" s="34">
        <v>23.129806331356129</v>
      </c>
      <c r="X429" s="34">
        <v>231.29806331356119</v>
      </c>
      <c r="Y429" s="34">
        <v>123.35896710056601</v>
      </c>
      <c r="Z429" s="54"/>
      <c r="AA429" s="33">
        <v>21.479599624346449</v>
      </c>
      <c r="AB429" s="33">
        <v>21.479599624346449</v>
      </c>
      <c r="AC429" s="34">
        <v>7.1598665414488174</v>
      </c>
      <c r="AD429" s="33">
        <v>11.455786466318109</v>
      </c>
      <c r="AE429" s="34">
        <v>14.319733082897629</v>
      </c>
      <c r="AF429" s="34">
        <v>8.5918398497385819</v>
      </c>
      <c r="AG429" s="33">
        <v>8.5918398497385819</v>
      </c>
      <c r="AH429" s="34">
        <v>17.18367969947716</v>
      </c>
      <c r="AI429" s="33">
        <v>14.319733082897629</v>
      </c>
      <c r="AJ429" s="33">
        <v>17.18367969947716</v>
      </c>
      <c r="AK429" s="33">
        <v>10.023813158028339</v>
      </c>
      <c r="AL429" s="34">
        <v>10.023813158028339</v>
      </c>
      <c r="AM429" s="34">
        <v>4.295919924869291</v>
      </c>
      <c r="AN429" s="34">
        <v>7.1598665414488174</v>
      </c>
      <c r="AO429" s="34">
        <v>4.295919924869291</v>
      </c>
      <c r="AP429" s="34">
        <v>42.959199248692897</v>
      </c>
      <c r="AQ429" s="34">
        <v>22.911572932636211</v>
      </c>
      <c r="AR429" s="37"/>
    </row>
    <row r="430" spans="1:44" ht="19.5" customHeight="1">
      <c r="A430" s="55">
        <f>A428+1</f>
        <v>14</v>
      </c>
      <c r="B430" s="41" t="s">
        <v>133</v>
      </c>
      <c r="C430" s="26" t="s">
        <v>94</v>
      </c>
      <c r="D430" s="28" t="s">
        <v>4778</v>
      </c>
      <c r="E430" s="30"/>
      <c r="F430" s="32">
        <v>30000</v>
      </c>
      <c r="G430" s="32">
        <v>30000</v>
      </c>
      <c r="H430" s="32">
        <v>60000</v>
      </c>
      <c r="I430" s="33">
        <v>10.43432671709051</v>
      </c>
      <c r="J430" s="33">
        <v>10.43432671709051</v>
      </c>
      <c r="K430" s="34">
        <v>3.4781089056968351</v>
      </c>
      <c r="L430" s="33">
        <v>5.564974249114937</v>
      </c>
      <c r="M430" s="34">
        <v>6.9562178113936701</v>
      </c>
      <c r="N430" s="34">
        <v>4.173730686836203</v>
      </c>
      <c r="O430" s="33">
        <v>4.173730686836203</v>
      </c>
      <c r="P430" s="34">
        <v>8.3474613736724059</v>
      </c>
      <c r="Q430" s="33">
        <v>6.9562178113936701</v>
      </c>
      <c r="R430" s="33">
        <v>8.3474613736724059</v>
      </c>
      <c r="S430" s="33">
        <v>4.8693524679755704</v>
      </c>
      <c r="T430" s="34">
        <v>4.8693524679755704</v>
      </c>
      <c r="U430" s="34">
        <v>2.086865343418101</v>
      </c>
      <c r="V430" s="34">
        <v>3.4781089056968351</v>
      </c>
      <c r="W430" s="34">
        <v>2.086865343418101</v>
      </c>
      <c r="X430" s="34">
        <v>20.868653434181009</v>
      </c>
      <c r="Y430" s="34">
        <v>11.12994849822987</v>
      </c>
      <c r="Z430" s="139"/>
      <c r="AA430" s="33">
        <v>10.43432671709051</v>
      </c>
      <c r="AB430" s="33">
        <v>10.43432671709051</v>
      </c>
      <c r="AC430" s="34">
        <v>3.4781089056968351</v>
      </c>
      <c r="AD430" s="33">
        <v>5.564974249114937</v>
      </c>
      <c r="AE430" s="34">
        <v>6.9562178113936701</v>
      </c>
      <c r="AF430" s="34">
        <v>4.173730686836203</v>
      </c>
      <c r="AG430" s="33">
        <v>4.173730686836203</v>
      </c>
      <c r="AH430" s="34">
        <v>8.3474613736724059</v>
      </c>
      <c r="AI430" s="33">
        <v>6.9562178113936701</v>
      </c>
      <c r="AJ430" s="33">
        <v>8.3474613736724059</v>
      </c>
      <c r="AK430" s="33">
        <v>4.8693524679755704</v>
      </c>
      <c r="AL430" s="34">
        <v>4.8693524679755704</v>
      </c>
      <c r="AM430" s="34">
        <v>2.086865343418101</v>
      </c>
      <c r="AN430" s="34">
        <v>3.4781089056968351</v>
      </c>
      <c r="AO430" s="34">
        <v>2.086865343418101</v>
      </c>
      <c r="AP430" s="34">
        <v>20.868653434181009</v>
      </c>
      <c r="AQ430" s="34">
        <v>11.12994849822987</v>
      </c>
      <c r="AR430" s="37"/>
    </row>
    <row r="431" spans="1:44" ht="19.5" customHeight="1">
      <c r="A431" s="55">
        <f t="shared" ref="A431:A434" si="45">A430+1</f>
        <v>15</v>
      </c>
      <c r="B431" s="28" t="s">
        <v>4779</v>
      </c>
      <c r="C431" s="26" t="s">
        <v>94</v>
      </c>
      <c r="D431" s="56" t="s">
        <v>4780</v>
      </c>
      <c r="E431" s="30"/>
      <c r="F431" s="32">
        <v>105000</v>
      </c>
      <c r="G431" s="32">
        <v>33000</v>
      </c>
      <c r="H431" s="32">
        <v>138000</v>
      </c>
      <c r="I431" s="33">
        <v>36.520143509816769</v>
      </c>
      <c r="J431" s="33">
        <v>36.520143509816769</v>
      </c>
      <c r="K431" s="34">
        <v>12.173381169938921</v>
      </c>
      <c r="L431" s="33">
        <v>19.477409871902282</v>
      </c>
      <c r="M431" s="34">
        <v>24.346762339877841</v>
      </c>
      <c r="N431" s="34">
        <v>14.608057403926709</v>
      </c>
      <c r="O431" s="33">
        <v>14.608057403926709</v>
      </c>
      <c r="P431" s="34">
        <v>29.216114807853419</v>
      </c>
      <c r="Q431" s="33">
        <v>24.346762339877841</v>
      </c>
      <c r="R431" s="33">
        <v>29.216114807853419</v>
      </c>
      <c r="S431" s="33">
        <v>17.042733637914491</v>
      </c>
      <c r="T431" s="34">
        <v>17.042733637914491</v>
      </c>
      <c r="U431" s="34">
        <v>7.3040287019633539</v>
      </c>
      <c r="V431" s="34">
        <v>12.173381169938921</v>
      </c>
      <c r="W431" s="34">
        <v>7.3040287019633539</v>
      </c>
      <c r="X431" s="34">
        <v>73.040287019633539</v>
      </c>
      <c r="Y431" s="34">
        <v>38.954819743804563</v>
      </c>
      <c r="Z431" s="34"/>
      <c r="AA431" s="33">
        <v>11.47775938879956</v>
      </c>
      <c r="AB431" s="33">
        <v>11.47775938879956</v>
      </c>
      <c r="AC431" s="34">
        <v>3.8259197962665188</v>
      </c>
      <c r="AD431" s="33">
        <v>6.1214716740264308</v>
      </c>
      <c r="AE431" s="34">
        <v>7.6518395925330376</v>
      </c>
      <c r="AF431" s="34">
        <v>4.5911037555198231</v>
      </c>
      <c r="AG431" s="33">
        <v>4.5911037555198231</v>
      </c>
      <c r="AH431" s="34">
        <v>9.1822075110396462</v>
      </c>
      <c r="AI431" s="33">
        <v>7.6518395925330376</v>
      </c>
      <c r="AJ431" s="33">
        <v>9.1822075110396462</v>
      </c>
      <c r="AK431" s="33">
        <v>5.3562877147731269</v>
      </c>
      <c r="AL431" s="34">
        <v>5.3562877147731269</v>
      </c>
      <c r="AM431" s="34">
        <v>2.295551877759912</v>
      </c>
      <c r="AN431" s="34">
        <v>3.8259197962665188</v>
      </c>
      <c r="AO431" s="34">
        <v>2.295551877759912</v>
      </c>
      <c r="AP431" s="34">
        <v>22.95551877759911</v>
      </c>
      <c r="AQ431" s="34">
        <v>12.24294334805286</v>
      </c>
      <c r="AR431" s="48"/>
    </row>
    <row r="432" spans="1:44" ht="19.5" customHeight="1">
      <c r="A432" s="55">
        <f t="shared" si="45"/>
        <v>16</v>
      </c>
      <c r="B432" s="28" t="s">
        <v>4781</v>
      </c>
      <c r="C432" s="26" t="s">
        <v>230</v>
      </c>
      <c r="D432" s="28" t="s">
        <v>4782</v>
      </c>
      <c r="E432" s="30"/>
      <c r="F432" s="32">
        <v>151200</v>
      </c>
      <c r="G432" s="32">
        <v>22293.405169011519</v>
      </c>
      <c r="H432" s="32">
        <v>173493.4051690115</v>
      </c>
      <c r="I432" s="33">
        <v>52.589006654136149</v>
      </c>
      <c r="J432" s="33">
        <v>52.589006654136149</v>
      </c>
      <c r="K432" s="34">
        <v>17.529668884712049</v>
      </c>
      <c r="L432" s="33">
        <v>28.047470215539281</v>
      </c>
      <c r="M432" s="34">
        <v>35.059337769424097</v>
      </c>
      <c r="N432" s="34">
        <v>21.035602661654458</v>
      </c>
      <c r="O432" s="33">
        <v>21.035602661654458</v>
      </c>
      <c r="P432" s="34">
        <v>42.071205323308916</v>
      </c>
      <c r="Q432" s="33">
        <v>35.059337769424097</v>
      </c>
      <c r="R432" s="33">
        <v>42.071205323308916</v>
      </c>
      <c r="S432" s="33">
        <v>24.541536438596872</v>
      </c>
      <c r="T432" s="34">
        <v>24.541536438596872</v>
      </c>
      <c r="U432" s="34">
        <v>10.517801330827229</v>
      </c>
      <c r="V432" s="34">
        <v>17.529668884712049</v>
      </c>
      <c r="W432" s="34">
        <v>10.517801330827229</v>
      </c>
      <c r="X432" s="34">
        <v>105.1780133082723</v>
      </c>
      <c r="Y432" s="34">
        <v>56.094940431078562</v>
      </c>
      <c r="Z432" s="34"/>
      <c r="AA432" s="33">
        <v>7.7538891056646833</v>
      </c>
      <c r="AB432" s="33">
        <v>7.7538891056646833</v>
      </c>
      <c r="AC432" s="34">
        <v>2.584629701888228</v>
      </c>
      <c r="AD432" s="33">
        <v>4.1354075230211649</v>
      </c>
      <c r="AE432" s="34">
        <v>5.1692594037764552</v>
      </c>
      <c r="AF432" s="34">
        <v>3.1015556422658741</v>
      </c>
      <c r="AG432" s="33">
        <v>3.1015556422658741</v>
      </c>
      <c r="AH432" s="34">
        <v>6.2031112845317473</v>
      </c>
      <c r="AI432" s="33">
        <v>5.1692594037764552</v>
      </c>
      <c r="AJ432" s="33">
        <v>6.2031112845317473</v>
      </c>
      <c r="AK432" s="33">
        <v>3.6184815826435188</v>
      </c>
      <c r="AL432" s="34">
        <v>3.6184815826435188</v>
      </c>
      <c r="AM432" s="34">
        <v>1.5507778211329371</v>
      </c>
      <c r="AN432" s="34">
        <v>2.584629701888228</v>
      </c>
      <c r="AO432" s="34">
        <v>1.5507778211329371</v>
      </c>
      <c r="AP432" s="34">
        <v>15.50777821132937</v>
      </c>
      <c r="AQ432" s="34">
        <v>8.2708150460423298</v>
      </c>
      <c r="AR432" s="39"/>
    </row>
    <row r="433" spans="1:44" ht="19.5" customHeight="1">
      <c r="A433" s="55">
        <f t="shared" si="45"/>
        <v>17</v>
      </c>
      <c r="B433" s="41" t="s">
        <v>133</v>
      </c>
      <c r="C433" s="26" t="s">
        <v>94</v>
      </c>
      <c r="D433" s="28" t="s">
        <v>4783</v>
      </c>
      <c r="E433" s="30"/>
      <c r="F433" s="32">
        <v>80000</v>
      </c>
      <c r="G433" s="32">
        <v>22293.405169011519</v>
      </c>
      <c r="H433" s="32">
        <v>102293.4051690115</v>
      </c>
      <c r="I433" s="33">
        <v>27.824871245574681</v>
      </c>
      <c r="J433" s="33">
        <v>27.824871245574681</v>
      </c>
      <c r="K433" s="34">
        <v>9.2749570818582256</v>
      </c>
      <c r="L433" s="33">
        <v>14.83993133097316</v>
      </c>
      <c r="M433" s="34">
        <v>18.549914163716451</v>
      </c>
      <c r="N433" s="34">
        <v>11.12994849822987</v>
      </c>
      <c r="O433" s="33">
        <v>11.12994849822987</v>
      </c>
      <c r="P433" s="34">
        <v>22.259896996459752</v>
      </c>
      <c r="Q433" s="33">
        <v>18.549914163716451</v>
      </c>
      <c r="R433" s="33">
        <v>22.259896996459752</v>
      </c>
      <c r="S433" s="33">
        <v>12.984939914601521</v>
      </c>
      <c r="T433" s="34">
        <v>12.984939914601521</v>
      </c>
      <c r="U433" s="34">
        <v>5.564974249114937</v>
      </c>
      <c r="V433" s="34">
        <v>9.2749570818582256</v>
      </c>
      <c r="W433" s="34">
        <v>5.564974249114937</v>
      </c>
      <c r="X433" s="34">
        <v>55.649742491149368</v>
      </c>
      <c r="Y433" s="34">
        <v>29.679862661946331</v>
      </c>
      <c r="Z433" s="34"/>
      <c r="AA433" s="33">
        <v>7.7538891056646833</v>
      </c>
      <c r="AB433" s="33">
        <v>7.7538891056646833</v>
      </c>
      <c r="AC433" s="34">
        <v>2.584629701888228</v>
      </c>
      <c r="AD433" s="33">
        <v>4.1354075230211649</v>
      </c>
      <c r="AE433" s="34">
        <v>5.1692594037764552</v>
      </c>
      <c r="AF433" s="34">
        <v>3.1015556422658741</v>
      </c>
      <c r="AG433" s="33">
        <v>3.1015556422658741</v>
      </c>
      <c r="AH433" s="34">
        <v>6.2031112845317473</v>
      </c>
      <c r="AI433" s="33">
        <v>5.1692594037764552</v>
      </c>
      <c r="AJ433" s="33">
        <v>6.2031112845317473</v>
      </c>
      <c r="AK433" s="33">
        <v>3.6184815826435188</v>
      </c>
      <c r="AL433" s="34">
        <v>3.6184815826435188</v>
      </c>
      <c r="AM433" s="34">
        <v>1.5507778211329371</v>
      </c>
      <c r="AN433" s="34">
        <v>2.584629701888228</v>
      </c>
      <c r="AO433" s="34">
        <v>1.5507778211329371</v>
      </c>
      <c r="AP433" s="34">
        <v>15.50777821132937</v>
      </c>
      <c r="AQ433" s="34">
        <v>8.2708150460423298</v>
      </c>
      <c r="AR433" s="39"/>
    </row>
    <row r="434" spans="1:44" ht="19.5" customHeight="1">
      <c r="A434" s="55">
        <f t="shared" si="45"/>
        <v>18</v>
      </c>
      <c r="B434" s="28" t="s">
        <v>4784</v>
      </c>
      <c r="C434" s="26" t="s">
        <v>1014</v>
      </c>
      <c r="D434" s="28" t="s">
        <v>4785</v>
      </c>
      <c r="E434" s="30"/>
      <c r="F434" s="32">
        <v>105000</v>
      </c>
      <c r="G434" s="32">
        <v>15914.766682618159</v>
      </c>
      <c r="H434" s="32">
        <v>120914.7666826182</v>
      </c>
      <c r="I434" s="53">
        <v>36.520143509816769</v>
      </c>
      <c r="J434" s="53">
        <v>36.520143509816769</v>
      </c>
      <c r="K434" s="54">
        <v>12.173381169938921</v>
      </c>
      <c r="L434" s="53">
        <v>19.477409871902282</v>
      </c>
      <c r="M434" s="54">
        <v>24.346762339877841</v>
      </c>
      <c r="N434" s="54">
        <v>14.608057403926709</v>
      </c>
      <c r="O434" s="53">
        <v>14.608057403926709</v>
      </c>
      <c r="P434" s="54">
        <v>29.216114807853419</v>
      </c>
      <c r="Q434" s="53">
        <v>24.346762339877841</v>
      </c>
      <c r="R434" s="53">
        <v>29.216114807853419</v>
      </c>
      <c r="S434" s="53">
        <v>17.042733637914491</v>
      </c>
      <c r="T434" s="54">
        <v>17.042733637914491</v>
      </c>
      <c r="U434" s="54">
        <v>7.3040287019633539</v>
      </c>
      <c r="V434" s="54">
        <v>12.173381169938921</v>
      </c>
      <c r="W434" s="54">
        <v>7.3040287019633539</v>
      </c>
      <c r="X434" s="54">
        <v>73.040287019633539</v>
      </c>
      <c r="Y434" s="54">
        <v>38.954819743804563</v>
      </c>
      <c r="Z434" s="34"/>
      <c r="AA434" s="33">
        <v>5.535329173090151</v>
      </c>
      <c r="AB434" s="33">
        <v>5.535329173090151</v>
      </c>
      <c r="AC434" s="34">
        <v>1.8451097243633841</v>
      </c>
      <c r="AD434" s="33">
        <v>2.952175558981414</v>
      </c>
      <c r="AE434" s="34">
        <v>3.6902194487267672</v>
      </c>
      <c r="AF434" s="34">
        <v>2.21413166923606</v>
      </c>
      <c r="AG434" s="33">
        <v>2.21413166923606</v>
      </c>
      <c r="AH434" s="34">
        <v>4.4282633384721208</v>
      </c>
      <c r="AI434" s="33">
        <v>3.6902194487267672</v>
      </c>
      <c r="AJ434" s="33">
        <v>4.4282633384721208</v>
      </c>
      <c r="AK434" s="33">
        <v>2.583153614108737</v>
      </c>
      <c r="AL434" s="34">
        <v>2.583153614108737</v>
      </c>
      <c r="AM434" s="34">
        <v>1.10706583461803</v>
      </c>
      <c r="AN434" s="34">
        <v>1.8451097243633841</v>
      </c>
      <c r="AO434" s="34">
        <v>1.10706583461803</v>
      </c>
      <c r="AP434" s="34">
        <v>11.0706583461803</v>
      </c>
      <c r="AQ434" s="34">
        <v>5.9043511179628281</v>
      </c>
      <c r="AR434" s="39"/>
    </row>
    <row r="435" spans="1:44" ht="19.5" customHeight="1">
      <c r="A435" s="62"/>
      <c r="B435" s="63" t="s">
        <v>3707</v>
      </c>
      <c r="C435" s="51" t="s">
        <v>185</v>
      </c>
      <c r="D435" s="63" t="s">
        <v>4786</v>
      </c>
      <c r="E435" s="51">
        <v>5</v>
      </c>
      <c r="F435" s="52">
        <v>471200</v>
      </c>
      <c r="G435" s="52">
        <v>123501.5770206412</v>
      </c>
      <c r="H435" s="52">
        <v>594701.57702064118</v>
      </c>
      <c r="I435" s="138">
        <v>163.88849163643491</v>
      </c>
      <c r="J435" s="138">
        <v>163.88849163643491</v>
      </c>
      <c r="K435" s="139">
        <v>54.629497212144948</v>
      </c>
      <c r="L435" s="138">
        <v>87.407195539431939</v>
      </c>
      <c r="M435" s="139">
        <v>109.2589944242899</v>
      </c>
      <c r="N435" s="139">
        <v>65.555396654573954</v>
      </c>
      <c r="O435" s="138">
        <v>65.555396654573954</v>
      </c>
      <c r="P435" s="139">
        <v>131.11079330914791</v>
      </c>
      <c r="Q435" s="138">
        <v>109.2589944242899</v>
      </c>
      <c r="R435" s="138">
        <v>131.11079330914791</v>
      </c>
      <c r="S435" s="138">
        <v>76.481296097002954</v>
      </c>
      <c r="T435" s="139">
        <v>76.481296097002954</v>
      </c>
      <c r="U435" s="139">
        <v>32.777698327286977</v>
      </c>
      <c r="V435" s="139">
        <v>54.629497212144948</v>
      </c>
      <c r="W435" s="139">
        <v>32.777698327286977</v>
      </c>
      <c r="X435" s="139">
        <v>327.77698327286981</v>
      </c>
      <c r="Y435" s="139">
        <v>174.81439107886391</v>
      </c>
      <c r="Z435" s="139"/>
      <c r="AA435" s="209">
        <v>42.95519349030959</v>
      </c>
      <c r="AB435" s="209">
        <v>42.95519349030959</v>
      </c>
      <c r="AC435" s="210">
        <v>14.318397830103191</v>
      </c>
      <c r="AD435" s="209">
        <v>22.909436528165109</v>
      </c>
      <c r="AE435" s="210">
        <v>28.636795660206388</v>
      </c>
      <c r="AF435" s="210">
        <v>17.18207739612383</v>
      </c>
      <c r="AG435" s="209">
        <v>17.18207739612383</v>
      </c>
      <c r="AH435" s="210">
        <v>34.364154792247668</v>
      </c>
      <c r="AI435" s="209">
        <v>28.636795660206388</v>
      </c>
      <c r="AJ435" s="209">
        <v>34.364154792247668</v>
      </c>
      <c r="AK435" s="209">
        <v>20.04575696214447</v>
      </c>
      <c r="AL435" s="210">
        <v>20.04575696214447</v>
      </c>
      <c r="AM435" s="210">
        <v>8.5910386980619169</v>
      </c>
      <c r="AN435" s="210">
        <v>14.318397830103191</v>
      </c>
      <c r="AO435" s="210">
        <v>8.5910386980619169</v>
      </c>
      <c r="AP435" s="210">
        <v>85.91038698061918</v>
      </c>
      <c r="AQ435" s="210">
        <v>45.818873056330233</v>
      </c>
      <c r="AR435" s="39"/>
    </row>
    <row r="436" spans="1:44" ht="19.5" customHeight="1">
      <c r="A436" s="201"/>
      <c r="B436" s="87" t="s">
        <v>3707</v>
      </c>
      <c r="C436" s="85" t="s">
        <v>185</v>
      </c>
      <c r="D436" s="87" t="s">
        <v>4786</v>
      </c>
      <c r="E436" s="85">
        <f>E435+E429</f>
        <v>9</v>
      </c>
      <c r="F436" s="144">
        <v>803705.49304927664</v>
      </c>
      <c r="G436" s="144">
        <v>185258.12406022579</v>
      </c>
      <c r="H436" s="144">
        <v>988963.61710950243</v>
      </c>
      <c r="I436" s="33">
        <v>279.53752329321549</v>
      </c>
      <c r="J436" s="33">
        <v>279.53752329321549</v>
      </c>
      <c r="K436" s="34">
        <v>93.179174431071829</v>
      </c>
      <c r="L436" s="33">
        <v>149.08667908971489</v>
      </c>
      <c r="M436" s="34">
        <v>186.35834886214371</v>
      </c>
      <c r="N436" s="34">
        <v>111.8150093172862</v>
      </c>
      <c r="O436" s="33">
        <v>111.8150093172862</v>
      </c>
      <c r="P436" s="34">
        <v>223.63001863457239</v>
      </c>
      <c r="Q436" s="33">
        <v>186.35834886214371</v>
      </c>
      <c r="R436" s="33">
        <v>223.63001863457239</v>
      </c>
      <c r="S436" s="33">
        <v>130.45084420350059</v>
      </c>
      <c r="T436" s="34">
        <v>130.45084420350059</v>
      </c>
      <c r="U436" s="34">
        <v>55.907504658643113</v>
      </c>
      <c r="V436" s="34">
        <v>93.179174431071829</v>
      </c>
      <c r="W436" s="34">
        <v>55.907504658643113</v>
      </c>
      <c r="X436" s="34">
        <v>559.07504658643109</v>
      </c>
      <c r="Y436" s="34">
        <v>298.1733581794299</v>
      </c>
      <c r="Z436" s="34"/>
      <c r="AA436" s="33">
        <v>64.434793114656031</v>
      </c>
      <c r="AB436" s="33">
        <v>64.434793114656031</v>
      </c>
      <c r="AC436" s="34">
        <v>21.478264371552012</v>
      </c>
      <c r="AD436" s="33">
        <v>34.365222994483219</v>
      </c>
      <c r="AE436" s="34">
        <v>42.956528743104023</v>
      </c>
      <c r="AF436" s="34">
        <v>25.77391724586241</v>
      </c>
      <c r="AG436" s="33">
        <v>25.77391724586241</v>
      </c>
      <c r="AH436" s="34">
        <v>51.547834491724828</v>
      </c>
      <c r="AI436" s="33">
        <v>42.956528743104023</v>
      </c>
      <c r="AJ436" s="33">
        <v>51.547834491724828</v>
      </c>
      <c r="AK436" s="33">
        <v>30.06957012017282</v>
      </c>
      <c r="AL436" s="34">
        <v>30.06957012017282</v>
      </c>
      <c r="AM436" s="34">
        <v>12.886958622931211</v>
      </c>
      <c r="AN436" s="34">
        <v>21.478264371552012</v>
      </c>
      <c r="AO436" s="34">
        <v>12.886958622931211</v>
      </c>
      <c r="AP436" s="34">
        <v>128.86958622931209</v>
      </c>
      <c r="AQ436" s="34">
        <v>68.730445988966437</v>
      </c>
      <c r="AR436" s="211"/>
    </row>
    <row r="437" spans="1:44" ht="19.5" customHeight="1">
      <c r="A437" s="55">
        <f>A434+1</f>
        <v>19</v>
      </c>
      <c r="B437" s="41" t="s">
        <v>133</v>
      </c>
      <c r="C437" s="26" t="s">
        <v>94</v>
      </c>
      <c r="D437" s="56" t="s">
        <v>4787</v>
      </c>
      <c r="E437" s="30"/>
      <c r="F437" s="32">
        <v>52261.129368366717</v>
      </c>
      <c r="G437" s="32">
        <v>32784.419366193411</v>
      </c>
      <c r="H437" s="32">
        <v>85045.548734560129</v>
      </c>
      <c r="I437" s="33">
        <v>18.176989947789071</v>
      </c>
      <c r="J437" s="33">
        <v>18.176989947789071</v>
      </c>
      <c r="K437" s="34">
        <v>6.0589966492630234</v>
      </c>
      <c r="L437" s="33">
        <v>9.6943946388208371</v>
      </c>
      <c r="M437" s="34">
        <v>12.11799329852605</v>
      </c>
      <c r="N437" s="34">
        <v>7.2707959791156282</v>
      </c>
      <c r="O437" s="33">
        <v>7.2707959791156282</v>
      </c>
      <c r="P437" s="34">
        <v>14.54159195823126</v>
      </c>
      <c r="Q437" s="33">
        <v>12.11799329852605</v>
      </c>
      <c r="R437" s="33">
        <v>14.54159195823126</v>
      </c>
      <c r="S437" s="33">
        <v>8.4825953089682322</v>
      </c>
      <c r="T437" s="34">
        <v>8.4825953089682322</v>
      </c>
      <c r="U437" s="34">
        <v>3.6353979895578141</v>
      </c>
      <c r="V437" s="34">
        <v>6.0589966492630234</v>
      </c>
      <c r="W437" s="34">
        <v>3.6353979895578141</v>
      </c>
      <c r="X437" s="34">
        <v>36.353979895578142</v>
      </c>
      <c r="Y437" s="34">
        <v>19.388789277641671</v>
      </c>
      <c r="Z437" s="34"/>
      <c r="AA437" s="33">
        <v>11.40277809656571</v>
      </c>
      <c r="AB437" s="33">
        <v>11.40277809656571</v>
      </c>
      <c r="AC437" s="34">
        <v>3.8009260321885701</v>
      </c>
      <c r="AD437" s="33">
        <v>6.0814816515017123</v>
      </c>
      <c r="AE437" s="34">
        <v>7.6018520643771392</v>
      </c>
      <c r="AF437" s="34">
        <v>4.5611112386262844</v>
      </c>
      <c r="AG437" s="33">
        <v>4.5611112386262844</v>
      </c>
      <c r="AH437" s="34">
        <v>9.1222224772525689</v>
      </c>
      <c r="AI437" s="33">
        <v>7.6018520643771392</v>
      </c>
      <c r="AJ437" s="33">
        <v>9.1222224772525689</v>
      </c>
      <c r="AK437" s="33">
        <v>5.3212964450639983</v>
      </c>
      <c r="AL437" s="34">
        <v>5.3212964450639983</v>
      </c>
      <c r="AM437" s="34">
        <v>2.2805556193131422</v>
      </c>
      <c r="AN437" s="34">
        <v>3.8009260321885701</v>
      </c>
      <c r="AO437" s="34">
        <v>2.2805556193131422</v>
      </c>
      <c r="AP437" s="34">
        <v>22.805556193131419</v>
      </c>
      <c r="AQ437" s="34">
        <v>12.162963303003419</v>
      </c>
      <c r="AR437" s="39"/>
    </row>
    <row r="438" spans="1:44" ht="19.5" customHeight="1">
      <c r="A438" s="55">
        <f t="shared" ref="A438:A440" si="46">A437+1</f>
        <v>20</v>
      </c>
      <c r="B438" s="41" t="s">
        <v>133</v>
      </c>
      <c r="C438" s="26" t="s">
        <v>94</v>
      </c>
      <c r="D438" s="56" t="s">
        <v>4788</v>
      </c>
      <c r="E438" s="30"/>
      <c r="F438" s="32">
        <v>20904.451747346691</v>
      </c>
      <c r="G438" s="32">
        <v>42439.377820315101</v>
      </c>
      <c r="H438" s="32">
        <v>63343.829567661793</v>
      </c>
      <c r="I438" s="33">
        <v>7.27079597911563</v>
      </c>
      <c r="J438" s="33">
        <v>7.27079597911563</v>
      </c>
      <c r="K438" s="34">
        <v>2.4235986597052102</v>
      </c>
      <c r="L438" s="33">
        <v>3.8777578555283361</v>
      </c>
      <c r="M438" s="34">
        <v>4.8471973194104194</v>
      </c>
      <c r="N438" s="34">
        <v>2.9083183916462518</v>
      </c>
      <c r="O438" s="33">
        <v>2.9083183916462518</v>
      </c>
      <c r="P438" s="34">
        <v>5.8166367832925054</v>
      </c>
      <c r="Q438" s="33">
        <v>4.8471973194104194</v>
      </c>
      <c r="R438" s="33">
        <v>5.8166367832925054</v>
      </c>
      <c r="S438" s="33">
        <v>3.393038123587294</v>
      </c>
      <c r="T438" s="34">
        <v>3.393038123587294</v>
      </c>
      <c r="U438" s="34">
        <v>1.4541591958231259</v>
      </c>
      <c r="V438" s="34">
        <v>2.4235986597052102</v>
      </c>
      <c r="W438" s="34">
        <v>1.4541591958231259</v>
      </c>
      <c r="X438" s="34">
        <v>14.54159195823126</v>
      </c>
      <c r="Y438" s="34">
        <v>7.7555157110566721</v>
      </c>
      <c r="Z438" s="34"/>
      <c r="AA438" s="33">
        <v>14.760877794907071</v>
      </c>
      <c r="AB438" s="33">
        <v>14.760877794907071</v>
      </c>
      <c r="AC438" s="34">
        <v>4.920292598302356</v>
      </c>
      <c r="AD438" s="33">
        <v>7.8724681572837696</v>
      </c>
      <c r="AE438" s="34">
        <v>9.840585196604712</v>
      </c>
      <c r="AF438" s="34">
        <v>5.9043511179628281</v>
      </c>
      <c r="AG438" s="33">
        <v>5.9043511179628281</v>
      </c>
      <c r="AH438" s="34">
        <v>11.80870223592566</v>
      </c>
      <c r="AI438" s="33">
        <v>9.840585196604712</v>
      </c>
      <c r="AJ438" s="33">
        <v>11.80870223592566</v>
      </c>
      <c r="AK438" s="33">
        <v>6.8884096376232993</v>
      </c>
      <c r="AL438" s="34">
        <v>6.8884096376232993</v>
      </c>
      <c r="AM438" s="34">
        <v>2.952175558981414</v>
      </c>
      <c r="AN438" s="34">
        <v>4.920292598302356</v>
      </c>
      <c r="AO438" s="34">
        <v>2.952175558981414</v>
      </c>
      <c r="AP438" s="34">
        <v>29.521755589814141</v>
      </c>
      <c r="AQ438" s="34">
        <v>15.744936314567539</v>
      </c>
      <c r="AR438" s="39"/>
    </row>
    <row r="439" spans="1:44" ht="19.5" customHeight="1">
      <c r="A439" s="108">
        <f t="shared" si="46"/>
        <v>21</v>
      </c>
      <c r="B439" s="28" t="s">
        <v>4789</v>
      </c>
      <c r="C439" s="26" t="s">
        <v>159</v>
      </c>
      <c r="D439" s="28" t="s">
        <v>4790</v>
      </c>
      <c r="E439" s="30"/>
      <c r="F439" s="32">
        <v>120000</v>
      </c>
      <c r="G439" s="32">
        <v>11146.70258450576</v>
      </c>
      <c r="H439" s="32">
        <v>131146.70258450581</v>
      </c>
      <c r="I439" s="33">
        <v>41.737306868362033</v>
      </c>
      <c r="J439" s="33">
        <v>41.737306868362033</v>
      </c>
      <c r="K439" s="34">
        <v>13.91243562278734</v>
      </c>
      <c r="L439" s="33">
        <v>22.259896996459752</v>
      </c>
      <c r="M439" s="34">
        <v>27.824871245574681</v>
      </c>
      <c r="N439" s="34">
        <v>16.694922747344808</v>
      </c>
      <c r="O439" s="33">
        <v>16.694922747344808</v>
      </c>
      <c r="P439" s="34">
        <v>33.389845494689617</v>
      </c>
      <c r="Q439" s="33">
        <v>27.824871245574681</v>
      </c>
      <c r="R439" s="33">
        <v>33.389845494689617</v>
      </c>
      <c r="S439" s="33">
        <v>19.477409871902282</v>
      </c>
      <c r="T439" s="34">
        <v>19.477409871902282</v>
      </c>
      <c r="U439" s="34">
        <v>8.3474613736724059</v>
      </c>
      <c r="V439" s="34">
        <v>13.91243562278734</v>
      </c>
      <c r="W439" s="34">
        <v>8.3474613736724059</v>
      </c>
      <c r="X439" s="34">
        <v>83.474613736724052</v>
      </c>
      <c r="Y439" s="34">
        <v>44.519793992919503</v>
      </c>
      <c r="Z439" s="34"/>
      <c r="AA439" s="33">
        <v>3.8769445528323421</v>
      </c>
      <c r="AB439" s="33">
        <v>3.8769445528323421</v>
      </c>
      <c r="AC439" s="34">
        <v>1.292314850944114</v>
      </c>
      <c r="AD439" s="33">
        <v>2.067703761510582</v>
      </c>
      <c r="AE439" s="34">
        <v>2.584629701888228</v>
      </c>
      <c r="AF439" s="34">
        <v>1.5507778211329371</v>
      </c>
      <c r="AG439" s="33">
        <v>1.5507778211329371</v>
      </c>
      <c r="AH439" s="34">
        <v>3.1015556422658741</v>
      </c>
      <c r="AI439" s="33">
        <v>2.584629701888228</v>
      </c>
      <c r="AJ439" s="33">
        <v>3.1015556422658741</v>
      </c>
      <c r="AK439" s="33">
        <v>1.8092407913217601</v>
      </c>
      <c r="AL439" s="34">
        <v>1.8092407913217601</v>
      </c>
      <c r="AM439" s="34">
        <v>0.77538891056646841</v>
      </c>
      <c r="AN439" s="34">
        <v>1.292314850944114</v>
      </c>
      <c r="AO439" s="34">
        <v>0.77538891056646841</v>
      </c>
      <c r="AP439" s="34">
        <v>7.7538891056646833</v>
      </c>
      <c r="AQ439" s="34">
        <v>4.1354075230211649</v>
      </c>
      <c r="AR439" s="39"/>
    </row>
    <row r="440" spans="1:44" ht="19.5" customHeight="1">
      <c r="A440" s="108">
        <f t="shared" si="46"/>
        <v>22</v>
      </c>
      <c r="B440" s="101" t="s">
        <v>4791</v>
      </c>
      <c r="C440" s="26" t="s">
        <v>159</v>
      </c>
      <c r="D440" s="101" t="s">
        <v>4792</v>
      </c>
      <c r="E440" s="16"/>
      <c r="F440" s="32">
        <v>120000</v>
      </c>
      <c r="G440" s="32">
        <v>11146.70258450576</v>
      </c>
      <c r="H440" s="32">
        <v>131146.70258450581</v>
      </c>
      <c r="I440" s="53">
        <v>41.737306868362033</v>
      </c>
      <c r="J440" s="53">
        <v>41.737306868362033</v>
      </c>
      <c r="K440" s="54">
        <v>13.91243562278734</v>
      </c>
      <c r="L440" s="53">
        <v>22.259896996459752</v>
      </c>
      <c r="M440" s="54">
        <v>27.824871245574681</v>
      </c>
      <c r="N440" s="54">
        <v>16.694922747344808</v>
      </c>
      <c r="O440" s="53">
        <v>16.694922747344808</v>
      </c>
      <c r="P440" s="54">
        <v>33.389845494689617</v>
      </c>
      <c r="Q440" s="53">
        <v>27.824871245574681</v>
      </c>
      <c r="R440" s="53">
        <v>33.389845494689617</v>
      </c>
      <c r="S440" s="53">
        <v>19.477409871902282</v>
      </c>
      <c r="T440" s="54">
        <v>19.477409871902282</v>
      </c>
      <c r="U440" s="54">
        <v>8.3474613736724059</v>
      </c>
      <c r="V440" s="54">
        <v>13.91243562278734</v>
      </c>
      <c r="W440" s="54">
        <v>8.3474613736724059</v>
      </c>
      <c r="X440" s="54">
        <v>83.474613736724052</v>
      </c>
      <c r="Y440" s="54">
        <v>44.519793992919503</v>
      </c>
      <c r="Z440" s="54"/>
      <c r="AA440" s="53">
        <v>3.8769445528323421</v>
      </c>
      <c r="AB440" s="53">
        <v>3.8769445528323421</v>
      </c>
      <c r="AC440" s="54">
        <v>1.292314850944114</v>
      </c>
      <c r="AD440" s="53">
        <v>2.067703761510582</v>
      </c>
      <c r="AE440" s="54">
        <v>2.584629701888228</v>
      </c>
      <c r="AF440" s="54">
        <v>1.5507778211329371</v>
      </c>
      <c r="AG440" s="53">
        <v>1.5507778211329371</v>
      </c>
      <c r="AH440" s="54">
        <v>3.1015556422658741</v>
      </c>
      <c r="AI440" s="53">
        <v>2.584629701888228</v>
      </c>
      <c r="AJ440" s="53">
        <v>3.1015556422658741</v>
      </c>
      <c r="AK440" s="53">
        <v>1.8092407913217601</v>
      </c>
      <c r="AL440" s="54">
        <v>1.8092407913217601</v>
      </c>
      <c r="AM440" s="54">
        <v>0.77538891056646841</v>
      </c>
      <c r="AN440" s="54">
        <v>1.292314850944114</v>
      </c>
      <c r="AO440" s="54">
        <v>0.77538891056646841</v>
      </c>
      <c r="AP440" s="54">
        <v>7.7538891056646833</v>
      </c>
      <c r="AQ440" s="54">
        <v>4.1354075230211649</v>
      </c>
      <c r="AR440" s="39"/>
    </row>
    <row r="441" spans="1:44" ht="19.5" customHeight="1">
      <c r="A441" s="62"/>
      <c r="B441" s="50" t="s">
        <v>4793</v>
      </c>
      <c r="C441" s="49" t="s">
        <v>997</v>
      </c>
      <c r="D441" s="50" t="s">
        <v>4794</v>
      </c>
      <c r="E441" s="51">
        <v>4</v>
      </c>
      <c r="F441" s="52">
        <v>313165.5811157134</v>
      </c>
      <c r="G441" s="52">
        <v>97517.202355520043</v>
      </c>
      <c r="H441" s="52">
        <v>410682.78347123339</v>
      </c>
      <c r="I441" s="33">
        <v>108.92239966362879</v>
      </c>
      <c r="J441" s="33">
        <v>108.92239966362879</v>
      </c>
      <c r="K441" s="34">
        <v>36.307466554542913</v>
      </c>
      <c r="L441" s="33">
        <v>58.091946487268658</v>
      </c>
      <c r="M441" s="34">
        <v>72.614933109085825</v>
      </c>
      <c r="N441" s="34">
        <v>43.568959865451497</v>
      </c>
      <c r="O441" s="33">
        <v>43.568959865451497</v>
      </c>
      <c r="P441" s="34">
        <v>87.137919730903008</v>
      </c>
      <c r="Q441" s="33">
        <v>72.614933109085825</v>
      </c>
      <c r="R441" s="33">
        <v>87.137919730903008</v>
      </c>
      <c r="S441" s="33">
        <v>50.830453176360081</v>
      </c>
      <c r="T441" s="34">
        <v>50.830453176360081</v>
      </c>
      <c r="U441" s="34">
        <v>21.784479932725748</v>
      </c>
      <c r="V441" s="34">
        <v>36.307466554542913</v>
      </c>
      <c r="W441" s="34">
        <v>21.784479932725748</v>
      </c>
      <c r="X441" s="34">
        <v>217.8447993272575</v>
      </c>
      <c r="Y441" s="34">
        <v>116.1838929745373</v>
      </c>
      <c r="Z441" s="34"/>
      <c r="AA441" s="33">
        <v>33.917544997137469</v>
      </c>
      <c r="AB441" s="33">
        <v>33.917544997137469</v>
      </c>
      <c r="AC441" s="34">
        <v>11.305848332379149</v>
      </c>
      <c r="AD441" s="33">
        <v>18.089357331806649</v>
      </c>
      <c r="AE441" s="34">
        <v>22.611696664758309</v>
      </c>
      <c r="AF441" s="34">
        <v>13.56701799885499</v>
      </c>
      <c r="AG441" s="33">
        <v>13.56701799885499</v>
      </c>
      <c r="AH441" s="34">
        <v>27.134035997709979</v>
      </c>
      <c r="AI441" s="33">
        <v>22.611696664758309</v>
      </c>
      <c r="AJ441" s="33">
        <v>27.134035997709979</v>
      </c>
      <c r="AK441" s="33">
        <v>15.82818766533082</v>
      </c>
      <c r="AL441" s="34">
        <v>15.82818766533082</v>
      </c>
      <c r="AM441" s="34">
        <v>6.783508999427494</v>
      </c>
      <c r="AN441" s="34">
        <v>11.305848332379149</v>
      </c>
      <c r="AO441" s="34">
        <v>6.783508999427494</v>
      </c>
      <c r="AP441" s="34">
        <v>67.835089994274938</v>
      </c>
      <c r="AQ441" s="34">
        <v>36.178714663613299</v>
      </c>
      <c r="AR441" s="37"/>
    </row>
    <row r="442" spans="1:44" ht="19.5" customHeight="1">
      <c r="A442" s="212">
        <f>A440+1</f>
        <v>23</v>
      </c>
      <c r="B442" s="213" t="s">
        <v>133</v>
      </c>
      <c r="C442" s="214" t="s">
        <v>94</v>
      </c>
      <c r="D442" s="101" t="s">
        <v>4795</v>
      </c>
      <c r="E442" s="30"/>
      <c r="F442" s="32">
        <v>31000</v>
      </c>
      <c r="G442" s="32">
        <v>29000</v>
      </c>
      <c r="H442" s="32">
        <v>60000</v>
      </c>
      <c r="I442" s="33">
        <v>10.782137607660189</v>
      </c>
      <c r="J442" s="33">
        <v>10.782137607660189</v>
      </c>
      <c r="K442" s="34">
        <v>3.594045869220063</v>
      </c>
      <c r="L442" s="33">
        <v>5.7504733907521004</v>
      </c>
      <c r="M442" s="34">
        <v>7.1880917384401251</v>
      </c>
      <c r="N442" s="34">
        <v>4.3128550430640757</v>
      </c>
      <c r="O442" s="33">
        <v>4.3128550430640757</v>
      </c>
      <c r="P442" s="34">
        <v>8.6257100861281515</v>
      </c>
      <c r="Q442" s="33">
        <v>7.1880917384401251</v>
      </c>
      <c r="R442" s="33">
        <v>8.6257100861281515</v>
      </c>
      <c r="S442" s="33">
        <v>5.0316642169080881</v>
      </c>
      <c r="T442" s="34">
        <v>5.0316642169080881</v>
      </c>
      <c r="U442" s="34">
        <v>2.1564275215320379</v>
      </c>
      <c r="V442" s="34">
        <v>3.594045869220063</v>
      </c>
      <c r="W442" s="34">
        <v>2.1564275215320379</v>
      </c>
      <c r="X442" s="34">
        <v>21.564275215320379</v>
      </c>
      <c r="Y442" s="34">
        <v>11.500946781504201</v>
      </c>
      <c r="Z442" s="34"/>
      <c r="AA442" s="33">
        <v>10.08651582652082</v>
      </c>
      <c r="AB442" s="33">
        <v>10.08651582652082</v>
      </c>
      <c r="AC442" s="34">
        <v>3.3621719421736072</v>
      </c>
      <c r="AD442" s="33">
        <v>5.3794751074777718</v>
      </c>
      <c r="AE442" s="34">
        <v>6.7243438843472143</v>
      </c>
      <c r="AF442" s="34">
        <v>4.0346063306083293</v>
      </c>
      <c r="AG442" s="33">
        <v>4.0346063306083293</v>
      </c>
      <c r="AH442" s="34">
        <v>8.0692126612166586</v>
      </c>
      <c r="AI442" s="33">
        <v>6.7243438843472143</v>
      </c>
      <c r="AJ442" s="33">
        <v>8.0692126612166586</v>
      </c>
      <c r="AK442" s="33">
        <v>4.707040719043051</v>
      </c>
      <c r="AL442" s="34">
        <v>4.707040719043051</v>
      </c>
      <c r="AM442" s="34">
        <v>2.0173031653041651</v>
      </c>
      <c r="AN442" s="34">
        <v>3.3621719421736072</v>
      </c>
      <c r="AO442" s="34">
        <v>2.0173031653041651</v>
      </c>
      <c r="AP442" s="34">
        <v>20.17303165304164</v>
      </c>
      <c r="AQ442" s="34">
        <v>10.75895021495554</v>
      </c>
      <c r="AR442" s="39"/>
    </row>
    <row r="443" spans="1:44" ht="19.5" customHeight="1">
      <c r="A443" s="212">
        <f t="shared" ref="A443:A446" si="47">A442+1</f>
        <v>24</v>
      </c>
      <c r="B443" s="101" t="s">
        <v>4796</v>
      </c>
      <c r="C443" s="214" t="s">
        <v>94</v>
      </c>
      <c r="D443" s="101" t="s">
        <v>4797</v>
      </c>
      <c r="E443" s="30"/>
      <c r="F443" s="32">
        <v>100000</v>
      </c>
      <c r="G443" s="32">
        <v>16720.05387675864</v>
      </c>
      <c r="H443" s="32">
        <v>116720.0538767586</v>
      </c>
      <c r="I443" s="33">
        <v>34.781089056968348</v>
      </c>
      <c r="J443" s="33">
        <v>34.781089056968348</v>
      </c>
      <c r="K443" s="34">
        <v>11.59369635232278</v>
      </c>
      <c r="L443" s="33">
        <v>18.549914163716451</v>
      </c>
      <c r="M443" s="34">
        <v>23.187392704645561</v>
      </c>
      <c r="N443" s="34">
        <v>13.91243562278734</v>
      </c>
      <c r="O443" s="33">
        <v>13.91243562278734</v>
      </c>
      <c r="P443" s="34">
        <v>27.824871245574681</v>
      </c>
      <c r="Q443" s="33">
        <v>23.187392704645561</v>
      </c>
      <c r="R443" s="33">
        <v>27.824871245574681</v>
      </c>
      <c r="S443" s="33">
        <v>16.2311748932519</v>
      </c>
      <c r="T443" s="34">
        <v>16.2311748932519</v>
      </c>
      <c r="U443" s="34">
        <v>6.9562178113936701</v>
      </c>
      <c r="V443" s="34">
        <v>11.59369635232278</v>
      </c>
      <c r="W443" s="34">
        <v>6.9562178113936701</v>
      </c>
      <c r="X443" s="34">
        <v>69.562178113936696</v>
      </c>
      <c r="Y443" s="34">
        <v>37.09982832743291</v>
      </c>
      <c r="Z443" s="54"/>
      <c r="AA443" s="33">
        <v>5.8154168292485124</v>
      </c>
      <c r="AB443" s="33">
        <v>5.8154168292485124</v>
      </c>
      <c r="AC443" s="34">
        <v>1.938472276416171</v>
      </c>
      <c r="AD443" s="33">
        <v>3.1015556422658741</v>
      </c>
      <c r="AE443" s="34">
        <v>3.8769445528323412</v>
      </c>
      <c r="AF443" s="34">
        <v>2.3261667316994048</v>
      </c>
      <c r="AG443" s="33">
        <v>2.3261667316994048</v>
      </c>
      <c r="AH443" s="34">
        <v>4.6523334633988096</v>
      </c>
      <c r="AI443" s="33">
        <v>3.8769445528323412</v>
      </c>
      <c r="AJ443" s="33">
        <v>4.6523334633988096</v>
      </c>
      <c r="AK443" s="33">
        <v>2.7138611869826388</v>
      </c>
      <c r="AL443" s="34">
        <v>2.7138611869826388</v>
      </c>
      <c r="AM443" s="34">
        <v>1.1630833658497031</v>
      </c>
      <c r="AN443" s="34">
        <v>1.938472276416171</v>
      </c>
      <c r="AO443" s="34">
        <v>1.1630833658497031</v>
      </c>
      <c r="AP443" s="34">
        <v>11.63083365849702</v>
      </c>
      <c r="AQ443" s="34">
        <v>6.2031112845317473</v>
      </c>
      <c r="AR443" s="39"/>
    </row>
    <row r="444" spans="1:44" ht="19.5" customHeight="1">
      <c r="A444" s="212">
        <f t="shared" si="47"/>
        <v>25</v>
      </c>
      <c r="B444" s="101" t="s">
        <v>3686</v>
      </c>
      <c r="C444" s="26" t="s">
        <v>94</v>
      </c>
      <c r="D444" s="101" t="s">
        <v>4798</v>
      </c>
      <c r="E444" s="30"/>
      <c r="F444" s="32">
        <v>125000</v>
      </c>
      <c r="G444" s="32">
        <v>16720.05387675864</v>
      </c>
      <c r="H444" s="32">
        <v>141720.05387675861</v>
      </c>
      <c r="I444" s="33">
        <v>43.476361321210447</v>
      </c>
      <c r="J444" s="33">
        <v>43.476361321210447</v>
      </c>
      <c r="K444" s="34">
        <v>14.492120440403481</v>
      </c>
      <c r="L444" s="33">
        <v>23.187392704645571</v>
      </c>
      <c r="M444" s="34">
        <v>28.984240880806961</v>
      </c>
      <c r="N444" s="34">
        <v>17.390544528484181</v>
      </c>
      <c r="O444" s="33">
        <v>17.390544528484181</v>
      </c>
      <c r="P444" s="34">
        <v>34.781089056968362</v>
      </c>
      <c r="Q444" s="33">
        <v>28.984240880806961</v>
      </c>
      <c r="R444" s="33">
        <v>34.781089056968362</v>
      </c>
      <c r="S444" s="33">
        <v>20.288968616564869</v>
      </c>
      <c r="T444" s="34">
        <v>20.288968616564869</v>
      </c>
      <c r="U444" s="34">
        <v>8.6952722642420888</v>
      </c>
      <c r="V444" s="34">
        <v>14.492120440403481</v>
      </c>
      <c r="W444" s="34">
        <v>8.6952722642420888</v>
      </c>
      <c r="X444" s="34">
        <v>86.952722642420895</v>
      </c>
      <c r="Y444" s="34">
        <v>46.374785409291142</v>
      </c>
      <c r="Z444" s="34"/>
      <c r="AA444" s="33">
        <v>5.8154168292485124</v>
      </c>
      <c r="AB444" s="33">
        <v>5.8154168292485124</v>
      </c>
      <c r="AC444" s="34">
        <v>1.938472276416171</v>
      </c>
      <c r="AD444" s="33">
        <v>3.1015556422658741</v>
      </c>
      <c r="AE444" s="34">
        <v>3.8769445528323412</v>
      </c>
      <c r="AF444" s="34">
        <v>2.3261667316994048</v>
      </c>
      <c r="AG444" s="33">
        <v>2.3261667316994048</v>
      </c>
      <c r="AH444" s="34">
        <v>4.6523334633988096</v>
      </c>
      <c r="AI444" s="33">
        <v>3.8769445528323412</v>
      </c>
      <c r="AJ444" s="33">
        <v>4.6523334633988096</v>
      </c>
      <c r="AK444" s="33">
        <v>2.7138611869826388</v>
      </c>
      <c r="AL444" s="34">
        <v>2.7138611869826388</v>
      </c>
      <c r="AM444" s="34">
        <v>1.1630833658497031</v>
      </c>
      <c r="AN444" s="34">
        <v>1.938472276416171</v>
      </c>
      <c r="AO444" s="34">
        <v>1.1630833658497031</v>
      </c>
      <c r="AP444" s="34">
        <v>11.63083365849702</v>
      </c>
      <c r="AQ444" s="34">
        <v>6.2031112845317473</v>
      </c>
      <c r="AR444" s="37"/>
    </row>
    <row r="445" spans="1:44" ht="19.5" customHeight="1">
      <c r="A445" s="108">
        <f t="shared" si="47"/>
        <v>26</v>
      </c>
      <c r="B445" s="56" t="s">
        <v>4799</v>
      </c>
      <c r="C445" s="26" t="s">
        <v>94</v>
      </c>
      <c r="D445" s="101" t="s">
        <v>4800</v>
      </c>
      <c r="E445" s="30"/>
      <c r="F445" s="32">
        <v>120000</v>
      </c>
      <c r="G445" s="32">
        <v>11146.70258450576</v>
      </c>
      <c r="H445" s="32">
        <v>131146.70258450581</v>
      </c>
      <c r="I445" s="33">
        <v>41.737306868362033</v>
      </c>
      <c r="J445" s="33">
        <v>41.737306868362033</v>
      </c>
      <c r="K445" s="34">
        <v>13.91243562278734</v>
      </c>
      <c r="L445" s="33">
        <v>22.259896996459752</v>
      </c>
      <c r="M445" s="34">
        <v>27.824871245574681</v>
      </c>
      <c r="N445" s="34">
        <v>16.694922747344808</v>
      </c>
      <c r="O445" s="33">
        <v>16.694922747344808</v>
      </c>
      <c r="P445" s="34">
        <v>33.389845494689617</v>
      </c>
      <c r="Q445" s="33">
        <v>27.824871245574681</v>
      </c>
      <c r="R445" s="33">
        <v>33.389845494689617</v>
      </c>
      <c r="S445" s="33">
        <v>19.477409871902282</v>
      </c>
      <c r="T445" s="34">
        <v>19.477409871902282</v>
      </c>
      <c r="U445" s="34">
        <v>8.3474613736724059</v>
      </c>
      <c r="V445" s="34">
        <v>13.91243562278734</v>
      </c>
      <c r="W445" s="34">
        <v>8.3474613736724059</v>
      </c>
      <c r="X445" s="34">
        <v>83.474613736724052</v>
      </c>
      <c r="Y445" s="34">
        <v>44.519793992919503</v>
      </c>
      <c r="Z445" s="34"/>
      <c r="AA445" s="33">
        <v>3.8769445528323421</v>
      </c>
      <c r="AB445" s="33">
        <v>3.8769445528323421</v>
      </c>
      <c r="AC445" s="34">
        <v>1.292314850944114</v>
      </c>
      <c r="AD445" s="33">
        <v>2.067703761510582</v>
      </c>
      <c r="AE445" s="34">
        <v>2.584629701888228</v>
      </c>
      <c r="AF445" s="34">
        <v>1.5507778211329371</v>
      </c>
      <c r="AG445" s="33">
        <v>1.5507778211329371</v>
      </c>
      <c r="AH445" s="34">
        <v>3.1015556422658741</v>
      </c>
      <c r="AI445" s="33">
        <v>2.584629701888228</v>
      </c>
      <c r="AJ445" s="33">
        <v>3.1015556422658741</v>
      </c>
      <c r="AK445" s="33">
        <v>1.8092407913217601</v>
      </c>
      <c r="AL445" s="34">
        <v>1.8092407913217601</v>
      </c>
      <c r="AM445" s="34">
        <v>0.77538891056646841</v>
      </c>
      <c r="AN445" s="34">
        <v>1.292314850944114</v>
      </c>
      <c r="AO445" s="34">
        <v>0.77538891056646841</v>
      </c>
      <c r="AP445" s="34">
        <v>7.7538891056646833</v>
      </c>
      <c r="AQ445" s="34">
        <v>4.1354075230211649</v>
      </c>
      <c r="AR445" s="39"/>
    </row>
    <row r="446" spans="1:44" ht="19.5" customHeight="1">
      <c r="A446" s="212">
        <f t="shared" si="47"/>
        <v>27</v>
      </c>
      <c r="B446" s="41" t="s">
        <v>133</v>
      </c>
      <c r="C446" s="26" t="s">
        <v>94</v>
      </c>
      <c r="D446" s="101" t="s">
        <v>4801</v>
      </c>
      <c r="E446" s="30"/>
      <c r="F446" s="32">
        <v>20904.451747346691</v>
      </c>
      <c r="G446" s="32">
        <v>20786</v>
      </c>
      <c r="H446" s="32">
        <v>41690.451747346691</v>
      </c>
      <c r="I446" s="53">
        <v>7.27079597911563</v>
      </c>
      <c r="J446" s="53">
        <v>7.27079597911563</v>
      </c>
      <c r="K446" s="54">
        <v>2.4235986597052102</v>
      </c>
      <c r="L446" s="53">
        <v>3.8777578555283361</v>
      </c>
      <c r="M446" s="54">
        <v>4.8471973194104194</v>
      </c>
      <c r="N446" s="54">
        <v>2.9083183916462518</v>
      </c>
      <c r="O446" s="53">
        <v>2.9083183916462518</v>
      </c>
      <c r="P446" s="54">
        <v>5.8166367832925054</v>
      </c>
      <c r="Q446" s="53">
        <v>4.8471973194104194</v>
      </c>
      <c r="R446" s="53">
        <v>5.8166367832925054</v>
      </c>
      <c r="S446" s="53">
        <v>3.393038123587294</v>
      </c>
      <c r="T446" s="54">
        <v>3.393038123587294</v>
      </c>
      <c r="U446" s="54">
        <v>1.4541591958231259</v>
      </c>
      <c r="V446" s="54">
        <v>2.4235986597052102</v>
      </c>
      <c r="W446" s="54">
        <v>1.4541591958231259</v>
      </c>
      <c r="X446" s="54">
        <v>14.54159195823126</v>
      </c>
      <c r="Y446" s="54">
        <v>7.7555157110566721</v>
      </c>
      <c r="Z446" s="34"/>
      <c r="AA446" s="33">
        <v>7.2295971713814424</v>
      </c>
      <c r="AB446" s="33">
        <v>7.2295971713814424</v>
      </c>
      <c r="AC446" s="34">
        <v>2.4098657237938141</v>
      </c>
      <c r="AD446" s="33">
        <v>3.8557851580701019</v>
      </c>
      <c r="AE446" s="34">
        <v>4.8197314475876274</v>
      </c>
      <c r="AF446" s="34">
        <v>2.8918388685525769</v>
      </c>
      <c r="AG446" s="33">
        <v>2.8918388685525769</v>
      </c>
      <c r="AH446" s="34">
        <v>5.7836777371051538</v>
      </c>
      <c r="AI446" s="33">
        <v>4.8197314475876274</v>
      </c>
      <c r="AJ446" s="33">
        <v>5.7836777371051538</v>
      </c>
      <c r="AK446" s="33">
        <v>3.3738120133113401</v>
      </c>
      <c r="AL446" s="34">
        <v>3.3738120133113401</v>
      </c>
      <c r="AM446" s="34">
        <v>1.445919434276288</v>
      </c>
      <c r="AN446" s="34">
        <v>2.4098657237938141</v>
      </c>
      <c r="AO446" s="34">
        <v>1.445919434276288</v>
      </c>
      <c r="AP446" s="34">
        <v>14.45919434276288</v>
      </c>
      <c r="AQ446" s="34">
        <v>7.7115703161402047</v>
      </c>
      <c r="AR446" s="39"/>
    </row>
    <row r="447" spans="1:44" ht="19.5" customHeight="1">
      <c r="A447" s="215"/>
      <c r="B447" s="137" t="s">
        <v>4802</v>
      </c>
      <c r="C447" s="49" t="s">
        <v>389</v>
      </c>
      <c r="D447" s="137" t="s">
        <v>4795</v>
      </c>
      <c r="E447" s="51">
        <v>5</v>
      </c>
      <c r="F447" s="52">
        <v>396904.45174734673</v>
      </c>
      <c r="G447" s="52">
        <v>94372.810338023046</v>
      </c>
      <c r="H447" s="52">
        <v>491277.26208536967</v>
      </c>
      <c r="I447" s="33">
        <v>138.04769083331661</v>
      </c>
      <c r="J447" s="33">
        <v>138.04769083331661</v>
      </c>
      <c r="K447" s="34">
        <v>46.015896944438872</v>
      </c>
      <c r="L447" s="33">
        <v>73.625435111102206</v>
      </c>
      <c r="M447" s="34">
        <v>92.031793888877743</v>
      </c>
      <c r="N447" s="34">
        <v>55.219076333326647</v>
      </c>
      <c r="O447" s="33">
        <v>55.219076333326647</v>
      </c>
      <c r="P447" s="34">
        <v>110.43815266665329</v>
      </c>
      <c r="Q447" s="33">
        <v>92.031793888877743</v>
      </c>
      <c r="R447" s="33">
        <v>110.43815266665329</v>
      </c>
      <c r="S447" s="33">
        <v>64.42225572221443</v>
      </c>
      <c r="T447" s="34">
        <v>64.42225572221443</v>
      </c>
      <c r="U447" s="34">
        <v>27.609538166663331</v>
      </c>
      <c r="V447" s="34">
        <v>46.015896944438872</v>
      </c>
      <c r="W447" s="34">
        <v>27.609538166663331</v>
      </c>
      <c r="X447" s="34">
        <v>276.09538166663327</v>
      </c>
      <c r="Y447" s="34">
        <v>147.25087022220441</v>
      </c>
      <c r="Z447" s="54"/>
      <c r="AA447" s="33">
        <v>32.823891209231633</v>
      </c>
      <c r="AB447" s="33">
        <v>32.823891209231633</v>
      </c>
      <c r="AC447" s="34">
        <v>10.94129706974388</v>
      </c>
      <c r="AD447" s="33">
        <v>17.506075311590209</v>
      </c>
      <c r="AE447" s="34">
        <v>21.88259413948775</v>
      </c>
      <c r="AF447" s="34">
        <v>13.129556483692649</v>
      </c>
      <c r="AG447" s="33">
        <v>13.129556483692649</v>
      </c>
      <c r="AH447" s="34">
        <v>26.25911296738531</v>
      </c>
      <c r="AI447" s="33">
        <v>21.88259413948775</v>
      </c>
      <c r="AJ447" s="33">
        <v>26.25911296738531</v>
      </c>
      <c r="AK447" s="33">
        <v>15.317815897641429</v>
      </c>
      <c r="AL447" s="34">
        <v>15.317815897641429</v>
      </c>
      <c r="AM447" s="34">
        <v>6.5647782418463274</v>
      </c>
      <c r="AN447" s="34">
        <v>10.94129706974388</v>
      </c>
      <c r="AO447" s="34">
        <v>6.5647782418463274</v>
      </c>
      <c r="AP447" s="34">
        <v>65.647782418463265</v>
      </c>
      <c r="AQ447" s="34">
        <v>35.01215062318041</v>
      </c>
      <c r="AR447" s="39"/>
    </row>
    <row r="448" spans="1:44" ht="19.5" customHeight="1">
      <c r="A448" s="207">
        <f>A446+1</f>
        <v>28</v>
      </c>
      <c r="B448" s="101" t="s">
        <v>4803</v>
      </c>
      <c r="C448" s="26" t="s">
        <v>159</v>
      </c>
      <c r="D448" s="101" t="s">
        <v>4804</v>
      </c>
      <c r="E448" s="30"/>
      <c r="F448" s="32">
        <v>132002</v>
      </c>
      <c r="G448" s="32">
        <v>16363.87414949535</v>
      </c>
      <c r="H448" s="32">
        <v>148365.87414949539</v>
      </c>
      <c r="I448" s="33">
        <v>45.911733176979368</v>
      </c>
      <c r="J448" s="33">
        <v>45.911733176979368</v>
      </c>
      <c r="K448" s="34">
        <v>15.303911058993121</v>
      </c>
      <c r="L448" s="33">
        <v>24.486257694389</v>
      </c>
      <c r="M448" s="34">
        <v>30.607822117986242</v>
      </c>
      <c r="N448" s="34">
        <v>18.364693270791751</v>
      </c>
      <c r="O448" s="33">
        <v>18.364693270791751</v>
      </c>
      <c r="P448" s="34">
        <v>36.729386541583487</v>
      </c>
      <c r="Q448" s="33">
        <v>30.607822117986242</v>
      </c>
      <c r="R448" s="33">
        <v>36.729386541583487</v>
      </c>
      <c r="S448" s="33">
        <v>21.425475482590372</v>
      </c>
      <c r="T448" s="34">
        <v>21.425475482590372</v>
      </c>
      <c r="U448" s="34">
        <v>9.1823466353958736</v>
      </c>
      <c r="V448" s="34">
        <v>15.303911058993121</v>
      </c>
      <c r="W448" s="34">
        <v>9.1823466353958736</v>
      </c>
      <c r="X448" s="34">
        <v>91.823466353958736</v>
      </c>
      <c r="Y448" s="34">
        <v>48.972515388777992</v>
      </c>
      <c r="Z448" s="34"/>
      <c r="AA448" s="33">
        <v>5.691533641106199</v>
      </c>
      <c r="AB448" s="33">
        <v>5.691533641106199</v>
      </c>
      <c r="AC448" s="34">
        <v>1.8971778803687329</v>
      </c>
      <c r="AD448" s="33">
        <v>3.0354846085899729</v>
      </c>
      <c r="AE448" s="34">
        <v>3.7943557607374658</v>
      </c>
      <c r="AF448" s="34">
        <v>2.27661345644248</v>
      </c>
      <c r="AG448" s="33">
        <v>2.27661345644248</v>
      </c>
      <c r="AH448" s="34">
        <v>4.5532269128849592</v>
      </c>
      <c r="AI448" s="33">
        <v>3.7943557607374658</v>
      </c>
      <c r="AJ448" s="33">
        <v>4.5532269128849592</v>
      </c>
      <c r="AK448" s="33">
        <v>2.656049032516226</v>
      </c>
      <c r="AL448" s="34">
        <v>2.656049032516226</v>
      </c>
      <c r="AM448" s="34">
        <v>1.13830672822124</v>
      </c>
      <c r="AN448" s="34">
        <v>1.8971778803687329</v>
      </c>
      <c r="AO448" s="34">
        <v>1.13830672822124</v>
      </c>
      <c r="AP448" s="34">
        <v>11.3830672822124</v>
      </c>
      <c r="AQ448" s="34">
        <v>6.0709692171799459</v>
      </c>
      <c r="AR448" s="37"/>
    </row>
    <row r="449" spans="1:44" ht="19.5" customHeight="1">
      <c r="A449" s="55">
        <f t="shared" ref="A449:A453" si="48">A448+1</f>
        <v>29</v>
      </c>
      <c r="B449" s="101" t="s">
        <v>4805</v>
      </c>
      <c r="C449" s="30" t="s">
        <v>94</v>
      </c>
      <c r="D449" s="101" t="s">
        <v>4806</v>
      </c>
      <c r="E449" s="30"/>
      <c r="F449" s="32">
        <v>106500</v>
      </c>
      <c r="G449" s="32">
        <v>10227.421343434589</v>
      </c>
      <c r="H449" s="32">
        <v>116727.4213434346</v>
      </c>
      <c r="I449" s="33">
        <v>37.041859845671297</v>
      </c>
      <c r="J449" s="33">
        <v>37.041859845671297</v>
      </c>
      <c r="K449" s="34">
        <v>12.347286615223769</v>
      </c>
      <c r="L449" s="33">
        <v>19.755658584358031</v>
      </c>
      <c r="M449" s="34">
        <v>24.694573230447531</v>
      </c>
      <c r="N449" s="34">
        <v>14.81674393826852</v>
      </c>
      <c r="O449" s="33">
        <v>14.81674393826852</v>
      </c>
      <c r="P449" s="34">
        <v>29.633487876537039</v>
      </c>
      <c r="Q449" s="33">
        <v>24.694573230447531</v>
      </c>
      <c r="R449" s="33">
        <v>29.633487876537039</v>
      </c>
      <c r="S449" s="33">
        <v>17.28620126131327</v>
      </c>
      <c r="T449" s="34">
        <v>17.28620126131327</v>
      </c>
      <c r="U449" s="34">
        <v>7.4083719691342598</v>
      </c>
      <c r="V449" s="34">
        <v>12.347286615223769</v>
      </c>
      <c r="W449" s="34">
        <v>7.4083719691342598</v>
      </c>
      <c r="X449" s="34">
        <v>74.083719691342594</v>
      </c>
      <c r="Y449" s="34">
        <v>39.511317168716047</v>
      </c>
      <c r="Z449" s="34"/>
      <c r="AA449" s="33">
        <v>3.557208525691375</v>
      </c>
      <c r="AB449" s="33">
        <v>3.557208525691375</v>
      </c>
      <c r="AC449" s="34">
        <v>1.185736175230458</v>
      </c>
      <c r="AD449" s="33">
        <v>1.8971778803687329</v>
      </c>
      <c r="AE449" s="34">
        <v>2.371472350460917</v>
      </c>
      <c r="AF449" s="34">
        <v>1.42288341027655</v>
      </c>
      <c r="AG449" s="33">
        <v>1.42288341027655</v>
      </c>
      <c r="AH449" s="34">
        <v>2.8457668205530999</v>
      </c>
      <c r="AI449" s="33">
        <v>2.371472350460917</v>
      </c>
      <c r="AJ449" s="33">
        <v>2.8457668205530999</v>
      </c>
      <c r="AK449" s="33">
        <v>1.6600306453226421</v>
      </c>
      <c r="AL449" s="34">
        <v>1.6600306453226421</v>
      </c>
      <c r="AM449" s="34">
        <v>0.71144170513827498</v>
      </c>
      <c r="AN449" s="34">
        <v>1.185736175230458</v>
      </c>
      <c r="AO449" s="34">
        <v>0.71144170513827498</v>
      </c>
      <c r="AP449" s="34">
        <v>7.11441705138275</v>
      </c>
      <c r="AQ449" s="34">
        <v>3.7943557607374672</v>
      </c>
      <c r="AR449" s="39"/>
    </row>
    <row r="450" spans="1:44" ht="19.5" customHeight="1">
      <c r="A450" s="207">
        <f t="shared" si="48"/>
        <v>30</v>
      </c>
      <c r="B450" s="129" t="s">
        <v>133</v>
      </c>
      <c r="C450" s="30" t="s">
        <v>94</v>
      </c>
      <c r="D450" s="101" t="s">
        <v>4807</v>
      </c>
      <c r="E450" s="30"/>
      <c r="F450" s="32">
        <v>22101.098609855329</v>
      </c>
      <c r="G450" s="32">
        <v>26278</v>
      </c>
      <c r="H450" s="32">
        <v>48379.098609855333</v>
      </c>
      <c r="I450" s="33">
        <v>7.687002790062178</v>
      </c>
      <c r="J450" s="33">
        <v>7.687002790062178</v>
      </c>
      <c r="K450" s="34">
        <v>2.5623342633540589</v>
      </c>
      <c r="L450" s="33">
        <v>4.0997348213664946</v>
      </c>
      <c r="M450" s="34">
        <v>5.1246685267081187</v>
      </c>
      <c r="N450" s="34">
        <v>3.0748011160248709</v>
      </c>
      <c r="O450" s="33">
        <v>3.0748011160248709</v>
      </c>
      <c r="P450" s="34">
        <v>6.1496022320497428</v>
      </c>
      <c r="Q450" s="33">
        <v>5.1246685267081187</v>
      </c>
      <c r="R450" s="33">
        <v>6.1496022320497428</v>
      </c>
      <c r="S450" s="33">
        <v>3.587267968695683</v>
      </c>
      <c r="T450" s="34">
        <v>3.587267968695683</v>
      </c>
      <c r="U450" s="34">
        <v>1.5374005580124359</v>
      </c>
      <c r="V450" s="34">
        <v>2.5623342633540589</v>
      </c>
      <c r="W450" s="34">
        <v>1.5374005580124359</v>
      </c>
      <c r="X450" s="34">
        <v>15.37400558012436</v>
      </c>
      <c r="Y450" s="34">
        <v>8.1994696427329909</v>
      </c>
      <c r="Z450" s="34"/>
      <c r="AA450" s="33">
        <v>9.1397745823901442</v>
      </c>
      <c r="AB450" s="33">
        <v>9.1397745823901442</v>
      </c>
      <c r="AC450" s="34">
        <v>3.0465915274633808</v>
      </c>
      <c r="AD450" s="33">
        <v>4.8745464439414086</v>
      </c>
      <c r="AE450" s="34">
        <v>6.0931830549267616</v>
      </c>
      <c r="AF450" s="34">
        <v>3.6559098329560569</v>
      </c>
      <c r="AG450" s="33">
        <v>3.6559098329560569</v>
      </c>
      <c r="AH450" s="34">
        <v>7.3118196659121146</v>
      </c>
      <c r="AI450" s="33">
        <v>6.0931830549267616</v>
      </c>
      <c r="AJ450" s="33">
        <v>7.3118196659121146</v>
      </c>
      <c r="AK450" s="33">
        <v>4.2652281384487338</v>
      </c>
      <c r="AL450" s="34">
        <v>4.2652281384487338</v>
      </c>
      <c r="AM450" s="34">
        <v>1.8279549164780291</v>
      </c>
      <c r="AN450" s="34">
        <v>3.0465915274633808</v>
      </c>
      <c r="AO450" s="34">
        <v>1.8279549164780291</v>
      </c>
      <c r="AP450" s="34">
        <v>18.279549164780288</v>
      </c>
      <c r="AQ450" s="34">
        <v>9.7490928878828189</v>
      </c>
      <c r="AR450" s="39"/>
    </row>
    <row r="451" spans="1:44" ht="19.5" customHeight="1">
      <c r="A451" s="207">
        <f t="shared" si="48"/>
        <v>31</v>
      </c>
      <c r="B451" s="129" t="s">
        <v>133</v>
      </c>
      <c r="C451" s="30" t="s">
        <v>94</v>
      </c>
      <c r="D451" s="101" t="s">
        <v>4808</v>
      </c>
      <c r="E451" s="30"/>
      <c r="F451" s="32">
        <v>27626.373262319172</v>
      </c>
      <c r="G451" s="32">
        <v>22500.326955556109</v>
      </c>
      <c r="H451" s="32">
        <v>50126.700217875266</v>
      </c>
      <c r="I451" s="33">
        <v>9.6087534875777223</v>
      </c>
      <c r="J451" s="33">
        <v>9.6087534875777223</v>
      </c>
      <c r="K451" s="34">
        <v>3.202917829192574</v>
      </c>
      <c r="L451" s="33">
        <v>5.1246685267081187</v>
      </c>
      <c r="M451" s="34">
        <v>6.4058356583851479</v>
      </c>
      <c r="N451" s="34">
        <v>3.843501395031089</v>
      </c>
      <c r="O451" s="33">
        <v>3.843501395031089</v>
      </c>
      <c r="P451" s="34">
        <v>7.6870027900621789</v>
      </c>
      <c r="Q451" s="33">
        <v>6.4058356583851479</v>
      </c>
      <c r="R451" s="33">
        <v>7.6870027900621789</v>
      </c>
      <c r="S451" s="33">
        <v>4.4840849608696036</v>
      </c>
      <c r="T451" s="34">
        <v>4.4840849608696036</v>
      </c>
      <c r="U451" s="34">
        <v>1.9217506975155449</v>
      </c>
      <c r="V451" s="34">
        <v>3.202917829192574</v>
      </c>
      <c r="W451" s="34">
        <v>1.9217506975155449</v>
      </c>
      <c r="X451" s="34">
        <v>19.217506975155441</v>
      </c>
      <c r="Y451" s="34">
        <v>10.249337053416239</v>
      </c>
      <c r="Z451" s="34"/>
      <c r="AA451" s="33">
        <v>7.8258587565210256</v>
      </c>
      <c r="AB451" s="33">
        <v>7.8258587565210256</v>
      </c>
      <c r="AC451" s="34">
        <v>2.6086195855070078</v>
      </c>
      <c r="AD451" s="33">
        <v>4.1737913368112141</v>
      </c>
      <c r="AE451" s="34">
        <v>5.2172391710140156</v>
      </c>
      <c r="AF451" s="34">
        <v>3.1303435026084099</v>
      </c>
      <c r="AG451" s="33">
        <v>3.1303435026084099</v>
      </c>
      <c r="AH451" s="34">
        <v>6.2606870052168206</v>
      </c>
      <c r="AI451" s="33">
        <v>5.2172391710140156</v>
      </c>
      <c r="AJ451" s="33">
        <v>6.2606870052168206</v>
      </c>
      <c r="AK451" s="33">
        <v>3.652067419709812</v>
      </c>
      <c r="AL451" s="34">
        <v>3.652067419709812</v>
      </c>
      <c r="AM451" s="34">
        <v>1.5651717513042049</v>
      </c>
      <c r="AN451" s="34">
        <v>2.6086195855070078</v>
      </c>
      <c r="AO451" s="34">
        <v>1.5651717513042049</v>
      </c>
      <c r="AP451" s="34">
        <v>15.651717513042049</v>
      </c>
      <c r="AQ451" s="34">
        <v>8.3475826736224281</v>
      </c>
      <c r="AR451" s="39"/>
    </row>
    <row r="452" spans="1:44" ht="19.5" customHeight="1">
      <c r="A452" s="55">
        <f t="shared" si="48"/>
        <v>32</v>
      </c>
      <c r="B452" s="28" t="s">
        <v>4809</v>
      </c>
      <c r="C452" s="30" t="s">
        <v>94</v>
      </c>
      <c r="D452" s="56" t="s">
        <v>4810</v>
      </c>
      <c r="E452" s="30"/>
      <c r="F452" s="32">
        <v>116250</v>
      </c>
      <c r="G452" s="32">
        <v>5113.7106717172956</v>
      </c>
      <c r="H452" s="32">
        <v>121363.7106717173</v>
      </c>
      <c r="I452" s="33">
        <v>40.43301602872571</v>
      </c>
      <c r="J452" s="33">
        <v>40.43301602872571</v>
      </c>
      <c r="K452" s="34">
        <v>13.47767200957523</v>
      </c>
      <c r="L452" s="33">
        <v>21.564275215320379</v>
      </c>
      <c r="M452" s="34">
        <v>26.95534401915047</v>
      </c>
      <c r="N452" s="34">
        <v>16.17320641149028</v>
      </c>
      <c r="O452" s="33">
        <v>16.17320641149028</v>
      </c>
      <c r="P452" s="34">
        <v>32.346412822980568</v>
      </c>
      <c r="Q452" s="33">
        <v>26.95534401915047</v>
      </c>
      <c r="R452" s="33">
        <v>32.346412822980568</v>
      </c>
      <c r="S452" s="33">
        <v>18.868740813405331</v>
      </c>
      <c r="T452" s="34">
        <v>18.868740813405331</v>
      </c>
      <c r="U452" s="34">
        <v>8.086603205745142</v>
      </c>
      <c r="V452" s="34">
        <v>13.47767200957523</v>
      </c>
      <c r="W452" s="34">
        <v>8.086603205745142</v>
      </c>
      <c r="X452" s="34">
        <v>80.86603205745142</v>
      </c>
      <c r="Y452" s="34">
        <v>43.128550430640757</v>
      </c>
      <c r="Z452" s="34"/>
      <c r="AA452" s="33">
        <v>1.778604262845688</v>
      </c>
      <c r="AB452" s="33">
        <v>1.778604262845688</v>
      </c>
      <c r="AC452" s="34">
        <v>0.59286808761522913</v>
      </c>
      <c r="AD452" s="33">
        <v>0.94858894018436668</v>
      </c>
      <c r="AE452" s="34">
        <v>1.185736175230458</v>
      </c>
      <c r="AF452" s="34">
        <v>0.71144170513827498</v>
      </c>
      <c r="AG452" s="33">
        <v>0.71144170513827498</v>
      </c>
      <c r="AH452" s="34">
        <v>1.42288341027655</v>
      </c>
      <c r="AI452" s="33">
        <v>1.185736175230458</v>
      </c>
      <c r="AJ452" s="33">
        <v>1.42288341027655</v>
      </c>
      <c r="AK452" s="33">
        <v>0.83001532266132083</v>
      </c>
      <c r="AL452" s="34">
        <v>0.83001532266132083</v>
      </c>
      <c r="AM452" s="34">
        <v>0.35572085256913749</v>
      </c>
      <c r="AN452" s="34">
        <v>0.59286808761522913</v>
      </c>
      <c r="AO452" s="34">
        <v>0.35572085256913749</v>
      </c>
      <c r="AP452" s="34">
        <v>3.557208525691375</v>
      </c>
      <c r="AQ452" s="34">
        <v>1.8971778803687329</v>
      </c>
      <c r="AR452" s="39"/>
    </row>
    <row r="453" spans="1:44" ht="19.5" customHeight="1">
      <c r="A453" s="55">
        <f t="shared" si="48"/>
        <v>33</v>
      </c>
      <c r="B453" s="28" t="s">
        <v>4811</v>
      </c>
      <c r="C453" s="30" t="s">
        <v>94</v>
      </c>
      <c r="D453" s="56" t="s">
        <v>4812</v>
      </c>
      <c r="E453" s="30"/>
      <c r="F453" s="32">
        <v>105000</v>
      </c>
      <c r="G453" s="32">
        <v>10227.421343434589</v>
      </c>
      <c r="H453" s="32">
        <v>115227.4213434346</v>
      </c>
      <c r="I453" s="53">
        <v>36.520143509816769</v>
      </c>
      <c r="J453" s="53">
        <v>36.520143509816769</v>
      </c>
      <c r="K453" s="54">
        <v>12.173381169938921</v>
      </c>
      <c r="L453" s="53">
        <v>19.477409871902282</v>
      </c>
      <c r="M453" s="54">
        <v>24.346762339877841</v>
      </c>
      <c r="N453" s="54">
        <v>14.608057403926709</v>
      </c>
      <c r="O453" s="53">
        <v>14.608057403926709</v>
      </c>
      <c r="P453" s="54">
        <v>29.216114807853419</v>
      </c>
      <c r="Q453" s="53">
        <v>24.346762339877841</v>
      </c>
      <c r="R453" s="53">
        <v>29.216114807853419</v>
      </c>
      <c r="S453" s="53">
        <v>17.042733637914491</v>
      </c>
      <c r="T453" s="54">
        <v>17.042733637914491</v>
      </c>
      <c r="U453" s="54">
        <v>7.3040287019633539</v>
      </c>
      <c r="V453" s="54">
        <v>12.173381169938921</v>
      </c>
      <c r="W453" s="54">
        <v>7.3040287019633539</v>
      </c>
      <c r="X453" s="54">
        <v>73.040287019633539</v>
      </c>
      <c r="Y453" s="54">
        <v>38.954819743804563</v>
      </c>
      <c r="Z453" s="54"/>
      <c r="AA453" s="53">
        <v>3.557208525691375</v>
      </c>
      <c r="AB453" s="53">
        <v>3.557208525691375</v>
      </c>
      <c r="AC453" s="54">
        <v>1.185736175230458</v>
      </c>
      <c r="AD453" s="53">
        <v>1.8971778803687329</v>
      </c>
      <c r="AE453" s="54">
        <v>2.371472350460917</v>
      </c>
      <c r="AF453" s="54">
        <v>1.42288341027655</v>
      </c>
      <c r="AG453" s="53">
        <v>1.42288341027655</v>
      </c>
      <c r="AH453" s="54">
        <v>2.8457668205530999</v>
      </c>
      <c r="AI453" s="53">
        <v>2.371472350460917</v>
      </c>
      <c r="AJ453" s="53">
        <v>2.8457668205530999</v>
      </c>
      <c r="AK453" s="53">
        <v>1.6600306453226421</v>
      </c>
      <c r="AL453" s="54">
        <v>1.6600306453226421</v>
      </c>
      <c r="AM453" s="54">
        <v>0.71144170513827498</v>
      </c>
      <c r="AN453" s="54">
        <v>1.185736175230458</v>
      </c>
      <c r="AO453" s="54">
        <v>0.71144170513827498</v>
      </c>
      <c r="AP453" s="54">
        <v>7.11441705138275</v>
      </c>
      <c r="AQ453" s="54">
        <v>3.7943557607374672</v>
      </c>
      <c r="AR453" s="39"/>
    </row>
    <row r="454" spans="1:44" ht="19.5" customHeight="1">
      <c r="A454" s="62"/>
      <c r="B454" s="50" t="s">
        <v>4813</v>
      </c>
      <c r="C454" s="49" t="s">
        <v>389</v>
      </c>
      <c r="D454" s="137" t="s">
        <v>4804</v>
      </c>
      <c r="E454" s="51">
        <v>6</v>
      </c>
      <c r="F454" s="52">
        <v>509479.47187217447</v>
      </c>
      <c r="G454" s="52">
        <v>90710.754463637932</v>
      </c>
      <c r="H454" s="52">
        <v>600190.22633581248</v>
      </c>
      <c r="I454" s="33">
        <v>177.2025088388331</v>
      </c>
      <c r="J454" s="33">
        <v>177.2025088388331</v>
      </c>
      <c r="K454" s="34">
        <v>59.067502946277678</v>
      </c>
      <c r="L454" s="33">
        <v>94.50800471404429</v>
      </c>
      <c r="M454" s="34">
        <v>118.1350058925554</v>
      </c>
      <c r="N454" s="34">
        <v>70.881003535533225</v>
      </c>
      <c r="O454" s="33">
        <v>70.881003535533225</v>
      </c>
      <c r="P454" s="34">
        <v>141.76200707106639</v>
      </c>
      <c r="Q454" s="33">
        <v>118.1350058925554</v>
      </c>
      <c r="R454" s="33">
        <v>141.76200707106639</v>
      </c>
      <c r="S454" s="33">
        <v>82.694504124788764</v>
      </c>
      <c r="T454" s="34">
        <v>82.694504124788764</v>
      </c>
      <c r="U454" s="34">
        <v>35.440501767766612</v>
      </c>
      <c r="V454" s="34">
        <v>59.067502946277678</v>
      </c>
      <c r="W454" s="34">
        <v>35.440501767766612</v>
      </c>
      <c r="X454" s="34">
        <v>354.40501767766608</v>
      </c>
      <c r="Y454" s="34">
        <v>189.01600942808861</v>
      </c>
      <c r="Z454" s="34"/>
      <c r="AA454" s="33">
        <v>31.55018829424581</v>
      </c>
      <c r="AB454" s="33">
        <v>31.55018829424581</v>
      </c>
      <c r="AC454" s="34">
        <v>10.51672943141527</v>
      </c>
      <c r="AD454" s="33">
        <v>16.826767090264429</v>
      </c>
      <c r="AE454" s="34">
        <v>21.033458862830539</v>
      </c>
      <c r="AF454" s="34">
        <v>12.620075317698319</v>
      </c>
      <c r="AG454" s="33">
        <v>12.620075317698319</v>
      </c>
      <c r="AH454" s="34">
        <v>25.240150635396649</v>
      </c>
      <c r="AI454" s="33">
        <v>21.033458862830539</v>
      </c>
      <c r="AJ454" s="33">
        <v>25.240150635396649</v>
      </c>
      <c r="AK454" s="33">
        <v>14.723421203981379</v>
      </c>
      <c r="AL454" s="34">
        <v>14.723421203981379</v>
      </c>
      <c r="AM454" s="34">
        <v>6.3100376588491613</v>
      </c>
      <c r="AN454" s="34">
        <v>10.51672943141527</v>
      </c>
      <c r="AO454" s="34">
        <v>6.3100376588491613</v>
      </c>
      <c r="AP454" s="34">
        <v>63.100376588491613</v>
      </c>
      <c r="AQ454" s="34">
        <v>33.653534180528858</v>
      </c>
      <c r="AR454" s="37"/>
    </row>
    <row r="455" spans="1:44" ht="19.5" customHeight="1">
      <c r="A455" s="108">
        <f>A453+1</f>
        <v>34</v>
      </c>
      <c r="B455" s="28" t="s">
        <v>4814</v>
      </c>
      <c r="C455" s="26" t="s">
        <v>230</v>
      </c>
      <c r="D455" s="28" t="s">
        <v>4815</v>
      </c>
      <c r="E455" s="30"/>
      <c r="F455" s="32">
        <v>120000</v>
      </c>
      <c r="G455" s="32">
        <v>10822.04134418035</v>
      </c>
      <c r="H455" s="32">
        <v>130822.0413441804</v>
      </c>
      <c r="I455" s="33">
        <v>41.737306868362033</v>
      </c>
      <c r="J455" s="33">
        <v>41.737306868362033</v>
      </c>
      <c r="K455" s="34">
        <v>13.91243562278734</v>
      </c>
      <c r="L455" s="33">
        <v>22.259896996459752</v>
      </c>
      <c r="M455" s="34">
        <v>27.824871245574681</v>
      </c>
      <c r="N455" s="34">
        <v>16.694922747344808</v>
      </c>
      <c r="O455" s="33">
        <v>16.694922747344808</v>
      </c>
      <c r="P455" s="34">
        <v>33.389845494689617</v>
      </c>
      <c r="Q455" s="33">
        <v>27.824871245574681</v>
      </c>
      <c r="R455" s="33">
        <v>33.389845494689617</v>
      </c>
      <c r="S455" s="33">
        <v>19.477409871902282</v>
      </c>
      <c r="T455" s="34">
        <v>19.477409871902282</v>
      </c>
      <c r="U455" s="34">
        <v>8.3474613736724059</v>
      </c>
      <c r="V455" s="34">
        <v>13.91243562278734</v>
      </c>
      <c r="W455" s="34">
        <v>8.3474613736724059</v>
      </c>
      <c r="X455" s="34">
        <v>83.474613736724052</v>
      </c>
      <c r="Y455" s="34">
        <v>44.519793992919503</v>
      </c>
      <c r="Z455" s="34"/>
      <c r="AA455" s="33">
        <v>3.7640238377013029</v>
      </c>
      <c r="AB455" s="33">
        <v>3.7640238377013029</v>
      </c>
      <c r="AC455" s="34">
        <v>1.2546746125671011</v>
      </c>
      <c r="AD455" s="33">
        <v>2.007479380107362</v>
      </c>
      <c r="AE455" s="34">
        <v>2.5093492251342022</v>
      </c>
      <c r="AF455" s="34">
        <v>1.505609535080521</v>
      </c>
      <c r="AG455" s="33">
        <v>1.505609535080521</v>
      </c>
      <c r="AH455" s="34">
        <v>3.011219070161042</v>
      </c>
      <c r="AI455" s="33">
        <v>2.5093492251342022</v>
      </c>
      <c r="AJ455" s="33">
        <v>3.011219070161042</v>
      </c>
      <c r="AK455" s="33">
        <v>1.756544457593942</v>
      </c>
      <c r="AL455" s="34">
        <v>1.756544457593942</v>
      </c>
      <c r="AM455" s="34">
        <v>0.7528047675402606</v>
      </c>
      <c r="AN455" s="34">
        <v>1.2546746125671011</v>
      </c>
      <c r="AO455" s="34">
        <v>0.7528047675402606</v>
      </c>
      <c r="AP455" s="34">
        <v>7.5280476754026058</v>
      </c>
      <c r="AQ455" s="34">
        <v>4.0149587602147232</v>
      </c>
      <c r="AR455" s="39"/>
    </row>
    <row r="456" spans="1:44" ht="19.5" customHeight="1">
      <c r="A456" s="212">
        <f t="shared" ref="A456:A459" si="49">A455+1</f>
        <v>35</v>
      </c>
      <c r="B456" s="155" t="s">
        <v>133</v>
      </c>
      <c r="C456" s="154" t="s">
        <v>94</v>
      </c>
      <c r="D456" s="101" t="s">
        <v>4816</v>
      </c>
      <c r="E456" s="30"/>
      <c r="F456" s="32">
        <v>24886.252080174629</v>
      </c>
      <c r="G456" s="32">
        <v>10822.04134418035</v>
      </c>
      <c r="H456" s="32">
        <v>35708.293424354983</v>
      </c>
      <c r="I456" s="33">
        <v>8.6557094989471768</v>
      </c>
      <c r="J456" s="33">
        <v>8.6557094989471768</v>
      </c>
      <c r="K456" s="34">
        <v>2.885236499649058</v>
      </c>
      <c r="L456" s="33">
        <v>4.6163783994384939</v>
      </c>
      <c r="M456" s="34">
        <v>5.770472999298117</v>
      </c>
      <c r="N456" s="34">
        <v>3.4622837995788709</v>
      </c>
      <c r="O456" s="33">
        <v>3.4622837995788709</v>
      </c>
      <c r="P456" s="34">
        <v>6.9245675991577418</v>
      </c>
      <c r="Q456" s="33">
        <v>5.770472999298117</v>
      </c>
      <c r="R456" s="33">
        <v>6.9245675991577418</v>
      </c>
      <c r="S456" s="33">
        <v>4.039331099508682</v>
      </c>
      <c r="T456" s="34">
        <v>4.039331099508682</v>
      </c>
      <c r="U456" s="34">
        <v>1.731141899789435</v>
      </c>
      <c r="V456" s="34">
        <v>2.885236499649058</v>
      </c>
      <c r="W456" s="34">
        <v>1.731141899789435</v>
      </c>
      <c r="X456" s="34">
        <v>17.31141899789435</v>
      </c>
      <c r="Y456" s="34">
        <v>9.2327567988769879</v>
      </c>
      <c r="Z456" s="34"/>
      <c r="AA456" s="33">
        <v>3.7640238377013029</v>
      </c>
      <c r="AB456" s="33">
        <v>3.7640238377013029</v>
      </c>
      <c r="AC456" s="34">
        <v>1.2546746125671011</v>
      </c>
      <c r="AD456" s="33">
        <v>2.007479380107362</v>
      </c>
      <c r="AE456" s="34">
        <v>2.5093492251342022</v>
      </c>
      <c r="AF456" s="34">
        <v>1.505609535080521</v>
      </c>
      <c r="AG456" s="33">
        <v>1.505609535080521</v>
      </c>
      <c r="AH456" s="34">
        <v>3.011219070161042</v>
      </c>
      <c r="AI456" s="33">
        <v>2.5093492251342022</v>
      </c>
      <c r="AJ456" s="33">
        <v>3.011219070161042</v>
      </c>
      <c r="AK456" s="33">
        <v>1.756544457593942</v>
      </c>
      <c r="AL456" s="34">
        <v>1.756544457593942</v>
      </c>
      <c r="AM456" s="34">
        <v>0.7528047675402606</v>
      </c>
      <c r="AN456" s="34">
        <v>1.2546746125671011</v>
      </c>
      <c r="AO456" s="34">
        <v>0.7528047675402606</v>
      </c>
      <c r="AP456" s="34">
        <v>7.5280476754026058</v>
      </c>
      <c r="AQ456" s="34">
        <v>4.0149587602147232</v>
      </c>
      <c r="AR456" s="39"/>
    </row>
    <row r="457" spans="1:44" ht="19.5" customHeight="1">
      <c r="A457" s="212">
        <f t="shared" si="49"/>
        <v>36</v>
      </c>
      <c r="B457" s="155" t="s">
        <v>133</v>
      </c>
      <c r="C457" s="154" t="s">
        <v>94</v>
      </c>
      <c r="D457" s="101" t="s">
        <v>4817</v>
      </c>
      <c r="E457" s="30"/>
      <c r="F457" s="32">
        <v>20000</v>
      </c>
      <c r="G457" s="32">
        <v>20000</v>
      </c>
      <c r="H457" s="32">
        <v>40000</v>
      </c>
      <c r="I457" s="33">
        <v>6.956217811393671</v>
      </c>
      <c r="J457" s="33">
        <v>6.956217811393671</v>
      </c>
      <c r="K457" s="34">
        <v>2.318739270464556</v>
      </c>
      <c r="L457" s="33">
        <v>3.7099828327432909</v>
      </c>
      <c r="M457" s="34">
        <v>4.6374785409291128</v>
      </c>
      <c r="N457" s="34">
        <v>2.7824871245574681</v>
      </c>
      <c r="O457" s="33">
        <v>2.7824871245574681</v>
      </c>
      <c r="P457" s="34">
        <v>5.564974249114937</v>
      </c>
      <c r="Q457" s="33">
        <v>4.6374785409291128</v>
      </c>
      <c r="R457" s="33">
        <v>5.564974249114937</v>
      </c>
      <c r="S457" s="33">
        <v>3.2462349786503801</v>
      </c>
      <c r="T457" s="34">
        <v>3.2462349786503801</v>
      </c>
      <c r="U457" s="34">
        <v>1.391243562278734</v>
      </c>
      <c r="V457" s="34">
        <v>2.318739270464556</v>
      </c>
      <c r="W457" s="34">
        <v>1.391243562278734</v>
      </c>
      <c r="X457" s="34">
        <v>13.91243562278734</v>
      </c>
      <c r="Y457" s="34">
        <v>7.4199656654865818</v>
      </c>
      <c r="Z457" s="54"/>
      <c r="AA457" s="33">
        <v>6.956217811393671</v>
      </c>
      <c r="AB457" s="33">
        <v>6.956217811393671</v>
      </c>
      <c r="AC457" s="34">
        <v>2.318739270464556</v>
      </c>
      <c r="AD457" s="33">
        <v>3.7099828327432909</v>
      </c>
      <c r="AE457" s="34">
        <v>4.6374785409291128</v>
      </c>
      <c r="AF457" s="34">
        <v>2.7824871245574681</v>
      </c>
      <c r="AG457" s="33">
        <v>2.7824871245574681</v>
      </c>
      <c r="AH457" s="34">
        <v>5.564974249114937</v>
      </c>
      <c r="AI457" s="33">
        <v>4.6374785409291128</v>
      </c>
      <c r="AJ457" s="33">
        <v>5.564974249114937</v>
      </c>
      <c r="AK457" s="33">
        <v>3.2462349786503801</v>
      </c>
      <c r="AL457" s="34">
        <v>3.2462349786503801</v>
      </c>
      <c r="AM457" s="34">
        <v>1.391243562278734</v>
      </c>
      <c r="AN457" s="34">
        <v>2.318739270464556</v>
      </c>
      <c r="AO457" s="34">
        <v>1.391243562278734</v>
      </c>
      <c r="AP457" s="34">
        <v>13.91243562278734</v>
      </c>
      <c r="AQ457" s="34">
        <v>7.4199656654865818</v>
      </c>
      <c r="AR457" s="39"/>
    </row>
    <row r="458" spans="1:44" ht="19.5" customHeight="1">
      <c r="A458" s="212">
        <f t="shared" si="49"/>
        <v>37</v>
      </c>
      <c r="B458" s="155" t="s">
        <v>133</v>
      </c>
      <c r="C458" s="154" t="s">
        <v>94</v>
      </c>
      <c r="D458" s="101" t="s">
        <v>4818</v>
      </c>
      <c r="E458" s="30"/>
      <c r="F458" s="32">
        <v>15000</v>
      </c>
      <c r="G458" s="32">
        <v>15000</v>
      </c>
      <c r="H458" s="32">
        <v>30000</v>
      </c>
      <c r="I458" s="33">
        <v>5.2171633585452533</v>
      </c>
      <c r="J458" s="33">
        <v>5.2171633585452533</v>
      </c>
      <c r="K458" s="34">
        <v>1.739054452848418</v>
      </c>
      <c r="L458" s="33">
        <v>2.7824871245574681</v>
      </c>
      <c r="M458" s="34">
        <v>3.4781089056968351</v>
      </c>
      <c r="N458" s="34">
        <v>2.086865343418101</v>
      </c>
      <c r="O458" s="33">
        <v>2.086865343418101</v>
      </c>
      <c r="P458" s="34">
        <v>4.173730686836203</v>
      </c>
      <c r="Q458" s="33">
        <v>3.4781089056968351</v>
      </c>
      <c r="R458" s="33">
        <v>4.173730686836203</v>
      </c>
      <c r="S458" s="33">
        <v>2.4346762339877852</v>
      </c>
      <c r="T458" s="34">
        <v>2.4346762339877852</v>
      </c>
      <c r="U458" s="34">
        <v>1.043432671709051</v>
      </c>
      <c r="V458" s="34">
        <v>1.739054452848418</v>
      </c>
      <c r="W458" s="34">
        <v>1.043432671709051</v>
      </c>
      <c r="X458" s="34">
        <v>10.43432671709051</v>
      </c>
      <c r="Y458" s="34">
        <v>5.564974249114937</v>
      </c>
      <c r="Z458" s="34"/>
      <c r="AA458" s="33">
        <v>5.2171633585452533</v>
      </c>
      <c r="AB458" s="33">
        <v>5.2171633585452533</v>
      </c>
      <c r="AC458" s="34">
        <v>1.739054452848418</v>
      </c>
      <c r="AD458" s="33">
        <v>2.7824871245574681</v>
      </c>
      <c r="AE458" s="34">
        <v>3.4781089056968351</v>
      </c>
      <c r="AF458" s="34">
        <v>2.086865343418101</v>
      </c>
      <c r="AG458" s="33">
        <v>2.086865343418101</v>
      </c>
      <c r="AH458" s="34">
        <v>4.173730686836203</v>
      </c>
      <c r="AI458" s="33">
        <v>3.4781089056968351</v>
      </c>
      <c r="AJ458" s="33">
        <v>4.173730686836203</v>
      </c>
      <c r="AK458" s="33">
        <v>2.4346762339877852</v>
      </c>
      <c r="AL458" s="34">
        <v>2.4346762339877852</v>
      </c>
      <c r="AM458" s="34">
        <v>1.043432671709051</v>
      </c>
      <c r="AN458" s="34">
        <v>1.739054452848418</v>
      </c>
      <c r="AO458" s="34">
        <v>1.043432671709051</v>
      </c>
      <c r="AP458" s="34">
        <v>10.43432671709051</v>
      </c>
      <c r="AQ458" s="34">
        <v>5.564974249114937</v>
      </c>
      <c r="AR458" s="37"/>
    </row>
    <row r="459" spans="1:44" ht="19.5" customHeight="1">
      <c r="A459" s="212">
        <f t="shared" si="49"/>
        <v>38</v>
      </c>
      <c r="B459" s="41" t="s">
        <v>133</v>
      </c>
      <c r="C459" s="26" t="s">
        <v>94</v>
      </c>
      <c r="D459" s="101" t="s">
        <v>4819</v>
      </c>
      <c r="E459" s="30"/>
      <c r="F459" s="32">
        <v>10000</v>
      </c>
      <c r="G459" s="32">
        <v>15000</v>
      </c>
      <c r="H459" s="32">
        <v>25000</v>
      </c>
      <c r="I459" s="53">
        <v>3.478108905696836</v>
      </c>
      <c r="J459" s="53">
        <v>3.478108905696836</v>
      </c>
      <c r="K459" s="54">
        <v>1.159369635232278</v>
      </c>
      <c r="L459" s="53">
        <v>1.854991416371645</v>
      </c>
      <c r="M459" s="54">
        <v>2.318739270464556</v>
      </c>
      <c r="N459" s="54">
        <v>1.391243562278734</v>
      </c>
      <c r="O459" s="53">
        <v>1.391243562278734</v>
      </c>
      <c r="P459" s="54">
        <v>2.7824871245574681</v>
      </c>
      <c r="Q459" s="53">
        <v>2.318739270464556</v>
      </c>
      <c r="R459" s="53">
        <v>2.7824871245574681</v>
      </c>
      <c r="S459" s="53">
        <v>1.6231174893251901</v>
      </c>
      <c r="T459" s="54">
        <v>1.6231174893251901</v>
      </c>
      <c r="U459" s="54">
        <v>0.69562178113936712</v>
      </c>
      <c r="V459" s="54">
        <v>1.159369635232278</v>
      </c>
      <c r="W459" s="54">
        <v>0.69562178113936712</v>
      </c>
      <c r="X459" s="54">
        <v>6.956217811393671</v>
      </c>
      <c r="Y459" s="54">
        <v>3.7099828327432909</v>
      </c>
      <c r="Z459" s="54"/>
      <c r="AA459" s="53">
        <v>5.2171633585452533</v>
      </c>
      <c r="AB459" s="53">
        <v>5.2171633585452533</v>
      </c>
      <c r="AC459" s="54">
        <v>1.739054452848418</v>
      </c>
      <c r="AD459" s="53">
        <v>2.7824871245574681</v>
      </c>
      <c r="AE459" s="54">
        <v>3.4781089056968351</v>
      </c>
      <c r="AF459" s="54">
        <v>2.086865343418101</v>
      </c>
      <c r="AG459" s="53">
        <v>2.086865343418101</v>
      </c>
      <c r="AH459" s="54">
        <v>4.173730686836203</v>
      </c>
      <c r="AI459" s="53">
        <v>3.4781089056968351</v>
      </c>
      <c r="AJ459" s="53">
        <v>4.173730686836203</v>
      </c>
      <c r="AK459" s="53">
        <v>2.4346762339877852</v>
      </c>
      <c r="AL459" s="54">
        <v>2.4346762339877852</v>
      </c>
      <c r="AM459" s="54">
        <v>1.043432671709051</v>
      </c>
      <c r="AN459" s="54">
        <v>1.739054452848418</v>
      </c>
      <c r="AO459" s="54">
        <v>1.043432671709051</v>
      </c>
      <c r="AP459" s="54">
        <v>10.43432671709051</v>
      </c>
      <c r="AQ459" s="54">
        <v>5.564974249114937</v>
      </c>
      <c r="AR459" s="39"/>
    </row>
    <row r="460" spans="1:44" ht="19.5" customHeight="1">
      <c r="A460" s="62"/>
      <c r="B460" s="50" t="s">
        <v>133</v>
      </c>
      <c r="C460" s="49" t="s">
        <v>389</v>
      </c>
      <c r="D460" s="137" t="s">
        <v>4820</v>
      </c>
      <c r="E460" s="51">
        <v>5</v>
      </c>
      <c r="F460" s="52">
        <v>189886.2520801746</v>
      </c>
      <c r="G460" s="52">
        <v>71644.082688360708</v>
      </c>
      <c r="H460" s="52">
        <v>261530.33476853531</v>
      </c>
      <c r="I460" s="138">
        <v>66.04450644294495</v>
      </c>
      <c r="J460" s="138">
        <v>66.04450644294495</v>
      </c>
      <c r="K460" s="139">
        <v>22.014835480981649</v>
      </c>
      <c r="L460" s="138">
        <v>35.223736769570642</v>
      </c>
      <c r="M460" s="139">
        <v>44.029670961963298</v>
      </c>
      <c r="N460" s="139">
        <v>26.41780257717798</v>
      </c>
      <c r="O460" s="138">
        <v>26.41780257717798</v>
      </c>
      <c r="P460" s="139">
        <v>52.835605154355967</v>
      </c>
      <c r="Q460" s="138">
        <v>44.029670961963298</v>
      </c>
      <c r="R460" s="138">
        <v>52.835605154355967</v>
      </c>
      <c r="S460" s="138">
        <v>30.820769673374311</v>
      </c>
      <c r="T460" s="139">
        <v>30.820769673374311</v>
      </c>
      <c r="U460" s="139">
        <v>13.20890128858899</v>
      </c>
      <c r="V460" s="139">
        <v>22.014835480981649</v>
      </c>
      <c r="W460" s="139">
        <v>13.20890128858899</v>
      </c>
      <c r="X460" s="139">
        <v>132.0890128858899</v>
      </c>
      <c r="Y460" s="139">
        <v>70.447473539141285</v>
      </c>
      <c r="Z460" s="139"/>
      <c r="AA460" s="138">
        <v>24.918592203886789</v>
      </c>
      <c r="AB460" s="138">
        <v>24.918592203886789</v>
      </c>
      <c r="AC460" s="139">
        <v>8.3061974012955933</v>
      </c>
      <c r="AD460" s="138">
        <v>13.289915842072951</v>
      </c>
      <c r="AE460" s="139">
        <v>16.61239480259119</v>
      </c>
      <c r="AF460" s="139">
        <v>9.9674368815547147</v>
      </c>
      <c r="AG460" s="138">
        <v>9.9674368815547147</v>
      </c>
      <c r="AH460" s="139">
        <v>19.934873763109429</v>
      </c>
      <c r="AI460" s="138">
        <v>16.61239480259119</v>
      </c>
      <c r="AJ460" s="138">
        <v>19.934873763109429</v>
      </c>
      <c r="AK460" s="138">
        <v>11.628676361813829</v>
      </c>
      <c r="AL460" s="139">
        <v>11.628676361813829</v>
      </c>
      <c r="AM460" s="139">
        <v>4.9837184407773574</v>
      </c>
      <c r="AN460" s="139">
        <v>8.3061974012955933</v>
      </c>
      <c r="AO460" s="139">
        <v>4.9837184407773574</v>
      </c>
      <c r="AP460" s="139">
        <v>49.83718440777357</v>
      </c>
      <c r="AQ460" s="139">
        <v>26.579831684145901</v>
      </c>
      <c r="AR460" s="37"/>
    </row>
    <row r="461" spans="1:44" ht="19.5" customHeight="1">
      <c r="A461" s="201"/>
      <c r="B461" s="141" t="s">
        <v>133</v>
      </c>
      <c r="C461" s="140" t="s">
        <v>389</v>
      </c>
      <c r="D461" s="122" t="s">
        <v>4820</v>
      </c>
      <c r="E461" s="85">
        <f>E460+E454</f>
        <v>11</v>
      </c>
      <c r="F461" s="144">
        <v>699365.72395234916</v>
      </c>
      <c r="G461" s="144">
        <v>162354.83715199871</v>
      </c>
      <c r="H461" s="144">
        <v>861720.56110434781</v>
      </c>
      <c r="I461" s="33">
        <v>243.247015281778</v>
      </c>
      <c r="J461" s="33">
        <v>243.247015281778</v>
      </c>
      <c r="K461" s="34">
        <v>81.08233842725933</v>
      </c>
      <c r="L461" s="33">
        <v>129.73174148361491</v>
      </c>
      <c r="M461" s="34">
        <v>162.16467685451869</v>
      </c>
      <c r="N461" s="34">
        <v>97.298806112711205</v>
      </c>
      <c r="O461" s="33">
        <v>97.298806112711205</v>
      </c>
      <c r="P461" s="34">
        <v>194.59761222542241</v>
      </c>
      <c r="Q461" s="33">
        <v>162.16467685451869</v>
      </c>
      <c r="R461" s="33">
        <v>194.59761222542241</v>
      </c>
      <c r="S461" s="33">
        <v>113.51527379816309</v>
      </c>
      <c r="T461" s="34">
        <v>113.51527379816309</v>
      </c>
      <c r="U461" s="34">
        <v>48.649403056355602</v>
      </c>
      <c r="V461" s="34">
        <v>81.08233842725933</v>
      </c>
      <c r="W461" s="34">
        <v>48.649403056355602</v>
      </c>
      <c r="X461" s="34">
        <v>486.49403056355601</v>
      </c>
      <c r="Y461" s="34">
        <v>259.46348296722988</v>
      </c>
      <c r="Z461" s="34"/>
      <c r="AA461" s="33">
        <v>56.468780498132588</v>
      </c>
      <c r="AB461" s="33">
        <v>56.468780498132588</v>
      </c>
      <c r="AC461" s="34">
        <v>18.822926832710859</v>
      </c>
      <c r="AD461" s="33">
        <v>30.11668293233738</v>
      </c>
      <c r="AE461" s="34">
        <v>37.645853665421733</v>
      </c>
      <c r="AF461" s="34">
        <v>22.587512199253041</v>
      </c>
      <c r="AG461" s="33">
        <v>22.587512199253041</v>
      </c>
      <c r="AH461" s="34">
        <v>45.175024398506068</v>
      </c>
      <c r="AI461" s="33">
        <v>37.645853665421733</v>
      </c>
      <c r="AJ461" s="33">
        <v>45.175024398506068</v>
      </c>
      <c r="AK461" s="33">
        <v>26.352097565795209</v>
      </c>
      <c r="AL461" s="34">
        <v>26.352097565795209</v>
      </c>
      <c r="AM461" s="34">
        <v>11.29375609962652</v>
      </c>
      <c r="AN461" s="34">
        <v>18.822926832710859</v>
      </c>
      <c r="AO461" s="34">
        <v>11.29375609962652</v>
      </c>
      <c r="AP461" s="34">
        <v>112.9375609962652</v>
      </c>
      <c r="AQ461" s="34">
        <v>60.233365864674766</v>
      </c>
      <c r="AR461" s="48"/>
    </row>
    <row r="462" spans="1:44" ht="19.5" customHeight="1">
      <c r="A462" s="207">
        <f>A459+1</f>
        <v>39</v>
      </c>
      <c r="B462" s="56" t="s">
        <v>4821</v>
      </c>
      <c r="C462" s="26" t="s">
        <v>787</v>
      </c>
      <c r="D462" s="101" t="s">
        <v>4822</v>
      </c>
      <c r="E462" s="30">
        <v>1</v>
      </c>
      <c r="F462" s="32">
        <v>83200</v>
      </c>
      <c r="G462" s="32">
        <v>10899</v>
      </c>
      <c r="H462" s="32">
        <v>94099</v>
      </c>
      <c r="I462" s="53">
        <v>28.93786609539767</v>
      </c>
      <c r="J462" s="53">
        <v>28.93786609539767</v>
      </c>
      <c r="K462" s="54">
        <v>9.6459553651325542</v>
      </c>
      <c r="L462" s="53">
        <v>15.433528584212089</v>
      </c>
      <c r="M462" s="54">
        <v>19.291910730265108</v>
      </c>
      <c r="N462" s="54">
        <v>11.57514643815907</v>
      </c>
      <c r="O462" s="53">
        <v>11.57514643815907</v>
      </c>
      <c r="P462" s="54">
        <v>23.15029287631814</v>
      </c>
      <c r="Q462" s="53">
        <v>19.291910730265108</v>
      </c>
      <c r="R462" s="53">
        <v>23.15029287631814</v>
      </c>
      <c r="S462" s="53">
        <v>13.504337511185581</v>
      </c>
      <c r="T462" s="54">
        <v>13.504337511185581</v>
      </c>
      <c r="U462" s="54">
        <v>5.7875732190795341</v>
      </c>
      <c r="V462" s="54">
        <v>9.6459553651325542</v>
      </c>
      <c r="W462" s="54">
        <v>5.7875732190795341</v>
      </c>
      <c r="X462" s="54">
        <v>57.87573219079534</v>
      </c>
      <c r="Y462" s="54">
        <v>30.867057168424179</v>
      </c>
      <c r="Z462" s="34"/>
      <c r="AA462" s="33">
        <v>3.7907908963189811</v>
      </c>
      <c r="AB462" s="33">
        <v>3.7907908963189811</v>
      </c>
      <c r="AC462" s="34">
        <v>1.2635969654396599</v>
      </c>
      <c r="AD462" s="33">
        <v>2.021755144703457</v>
      </c>
      <c r="AE462" s="34">
        <v>2.5271939308793199</v>
      </c>
      <c r="AF462" s="34">
        <v>1.5163163585275929</v>
      </c>
      <c r="AG462" s="33">
        <v>1.5163163585275929</v>
      </c>
      <c r="AH462" s="34">
        <v>3.032632717055185</v>
      </c>
      <c r="AI462" s="33">
        <v>2.5271939308793199</v>
      </c>
      <c r="AJ462" s="33">
        <v>3.032632717055185</v>
      </c>
      <c r="AK462" s="33">
        <v>1.7690357516155251</v>
      </c>
      <c r="AL462" s="34">
        <v>1.7690357516155251</v>
      </c>
      <c r="AM462" s="34">
        <v>0.75815817926379625</v>
      </c>
      <c r="AN462" s="34">
        <v>1.2635969654396599</v>
      </c>
      <c r="AO462" s="34">
        <v>0.75815817926379625</v>
      </c>
      <c r="AP462" s="34">
        <v>7.5815817926379623</v>
      </c>
      <c r="AQ462" s="34">
        <v>4.043510289406913</v>
      </c>
      <c r="AR462" s="39"/>
    </row>
    <row r="463" spans="1:44" ht="19.5" customHeight="1">
      <c r="A463" s="216"/>
      <c r="B463" s="217" t="s">
        <v>133</v>
      </c>
      <c r="C463" s="218"/>
      <c r="D463" s="217" t="s">
        <v>4823</v>
      </c>
      <c r="E463" s="219">
        <f>E461+E447+E441+E436+E424+E462</f>
        <v>38</v>
      </c>
      <c r="F463" s="220">
        <v>2702179.236971302</v>
      </c>
      <c r="G463" s="220">
        <v>683779.59442599223</v>
      </c>
      <c r="H463" s="220">
        <v>3385958.8313972941</v>
      </c>
      <c r="I463" s="221">
        <v>939.84736688989653</v>
      </c>
      <c r="J463" s="221">
        <v>939.84736688989653</v>
      </c>
      <c r="K463" s="222">
        <v>313.28245562996551</v>
      </c>
      <c r="L463" s="221">
        <v>501.2519290079448</v>
      </c>
      <c r="M463" s="222">
        <v>626.56491125993091</v>
      </c>
      <c r="N463" s="222">
        <v>375.93894675595863</v>
      </c>
      <c r="O463" s="221">
        <v>375.93894675595863</v>
      </c>
      <c r="P463" s="222">
        <v>751.87789351191725</v>
      </c>
      <c r="Q463" s="221">
        <v>626.56491125993091</v>
      </c>
      <c r="R463" s="221">
        <v>751.87789351191725</v>
      </c>
      <c r="S463" s="221">
        <v>438.59543788195168</v>
      </c>
      <c r="T463" s="222">
        <v>438.59543788195168</v>
      </c>
      <c r="U463" s="222">
        <v>187.96947337797931</v>
      </c>
      <c r="V463" s="222">
        <v>313.28245562996551</v>
      </c>
      <c r="W463" s="222">
        <v>187.96947337797931</v>
      </c>
      <c r="X463" s="222">
        <v>1879.6947337797931</v>
      </c>
      <c r="Y463" s="222">
        <v>1002.50385801589</v>
      </c>
      <c r="Z463" s="222"/>
      <c r="AA463" s="221">
        <v>237.82598969068141</v>
      </c>
      <c r="AB463" s="221">
        <v>237.82598969068141</v>
      </c>
      <c r="AC463" s="222">
        <v>79.27532989689378</v>
      </c>
      <c r="AD463" s="221">
        <v>126.8405278350301</v>
      </c>
      <c r="AE463" s="222">
        <v>158.55065979378759</v>
      </c>
      <c r="AF463" s="222">
        <v>95.130395876272544</v>
      </c>
      <c r="AG463" s="221">
        <v>95.130395876272544</v>
      </c>
      <c r="AH463" s="222">
        <v>190.26079175254509</v>
      </c>
      <c r="AI463" s="221">
        <v>158.55065979378759</v>
      </c>
      <c r="AJ463" s="221">
        <v>190.26079175254509</v>
      </c>
      <c r="AK463" s="221">
        <v>110.98546185565129</v>
      </c>
      <c r="AL463" s="222">
        <v>110.98546185565129</v>
      </c>
      <c r="AM463" s="222">
        <v>47.565197938136272</v>
      </c>
      <c r="AN463" s="222">
        <v>79.27532989689378</v>
      </c>
      <c r="AO463" s="222">
        <v>47.565197938136272</v>
      </c>
      <c r="AP463" s="222">
        <v>475.65197938136271</v>
      </c>
      <c r="AQ463" s="222">
        <v>253.68105567006009</v>
      </c>
      <c r="AR463" s="223"/>
    </row>
    <row r="464" spans="1:44" ht="19.5" customHeight="1">
      <c r="A464" s="32"/>
      <c r="B464" s="32"/>
      <c r="C464" s="32"/>
      <c r="D464" s="151"/>
      <c r="E464" s="32"/>
      <c r="F464" s="32"/>
      <c r="G464" s="32"/>
      <c r="H464" s="32">
        <v>0</v>
      </c>
      <c r="I464" s="53">
        <v>0</v>
      </c>
      <c r="J464" s="53">
        <v>0</v>
      </c>
      <c r="K464" s="54">
        <v>0</v>
      </c>
      <c r="L464" s="53">
        <v>0</v>
      </c>
      <c r="M464" s="54">
        <v>0</v>
      </c>
      <c r="N464" s="54">
        <v>0</v>
      </c>
      <c r="O464" s="53">
        <v>0</v>
      </c>
      <c r="P464" s="54">
        <v>0</v>
      </c>
      <c r="Q464" s="53">
        <v>0</v>
      </c>
      <c r="R464" s="53">
        <v>0</v>
      </c>
      <c r="S464" s="53">
        <v>0</v>
      </c>
      <c r="T464" s="54">
        <v>0</v>
      </c>
      <c r="U464" s="54">
        <v>0</v>
      </c>
      <c r="V464" s="54">
        <v>0</v>
      </c>
      <c r="W464" s="54">
        <v>0</v>
      </c>
      <c r="X464" s="54">
        <v>0</v>
      </c>
      <c r="Y464" s="54">
        <v>0</v>
      </c>
      <c r="Z464" s="54"/>
      <c r="AA464" s="53">
        <v>0</v>
      </c>
      <c r="AB464" s="53">
        <v>0</v>
      </c>
      <c r="AC464" s="54">
        <v>0</v>
      </c>
      <c r="AD464" s="53">
        <v>0</v>
      </c>
      <c r="AE464" s="54">
        <v>0</v>
      </c>
      <c r="AF464" s="54">
        <v>0</v>
      </c>
      <c r="AG464" s="53">
        <v>0</v>
      </c>
      <c r="AH464" s="54">
        <v>0</v>
      </c>
      <c r="AI464" s="53">
        <v>0</v>
      </c>
      <c r="AJ464" s="53">
        <v>0</v>
      </c>
      <c r="AK464" s="53">
        <v>0</v>
      </c>
      <c r="AL464" s="54">
        <v>0</v>
      </c>
      <c r="AM464" s="54">
        <v>0</v>
      </c>
      <c r="AN464" s="54">
        <v>0</v>
      </c>
      <c r="AO464" s="54">
        <v>0</v>
      </c>
      <c r="AP464" s="54">
        <v>0</v>
      </c>
      <c r="AQ464" s="54">
        <v>0</v>
      </c>
      <c r="AR464" s="37"/>
    </row>
    <row r="465" spans="1:44" ht="19.5" customHeight="1">
      <c r="A465" s="93"/>
      <c r="B465" s="224" t="s">
        <v>133</v>
      </c>
      <c r="C465" s="67" t="s">
        <v>4824</v>
      </c>
      <c r="D465" s="66" t="s">
        <v>4825</v>
      </c>
      <c r="E465" s="67">
        <f>E463</f>
        <v>38</v>
      </c>
      <c r="F465" s="68">
        <v>2702179.236971302</v>
      </c>
      <c r="G465" s="68">
        <v>683779.59442599223</v>
      </c>
      <c r="H465" s="68">
        <v>3385958.8313972941</v>
      </c>
      <c r="I465" s="33">
        <v>939.84736688989653</v>
      </c>
      <c r="J465" s="33">
        <v>939.84736688989653</v>
      </c>
      <c r="K465" s="34">
        <v>313.28245562996551</v>
      </c>
      <c r="L465" s="33">
        <v>501.2519290079448</v>
      </c>
      <c r="M465" s="34">
        <v>626.56491125993091</v>
      </c>
      <c r="N465" s="34">
        <v>375.93894675595863</v>
      </c>
      <c r="O465" s="33">
        <v>375.93894675595863</v>
      </c>
      <c r="P465" s="34">
        <v>751.87789351191725</v>
      </c>
      <c r="Q465" s="33">
        <v>626.56491125993091</v>
      </c>
      <c r="R465" s="33">
        <v>751.87789351191725</v>
      </c>
      <c r="S465" s="33">
        <v>438.59543788195168</v>
      </c>
      <c r="T465" s="34">
        <v>438.59543788195168</v>
      </c>
      <c r="U465" s="34">
        <v>187.96947337797931</v>
      </c>
      <c r="V465" s="34">
        <v>313.28245562996551</v>
      </c>
      <c r="W465" s="34">
        <v>187.96947337797931</v>
      </c>
      <c r="X465" s="34">
        <v>1879.6947337797931</v>
      </c>
      <c r="Y465" s="34">
        <v>1002.50385801589</v>
      </c>
      <c r="Z465" s="34"/>
      <c r="AA465" s="33">
        <v>237.82598969068141</v>
      </c>
      <c r="AB465" s="33">
        <v>237.82598969068141</v>
      </c>
      <c r="AC465" s="34">
        <v>79.27532989689378</v>
      </c>
      <c r="AD465" s="33">
        <v>126.8405278350301</v>
      </c>
      <c r="AE465" s="34">
        <v>158.55065979378759</v>
      </c>
      <c r="AF465" s="34">
        <v>95.130395876272544</v>
      </c>
      <c r="AG465" s="33">
        <v>95.130395876272544</v>
      </c>
      <c r="AH465" s="34">
        <v>190.26079175254509</v>
      </c>
      <c r="AI465" s="33">
        <v>158.55065979378759</v>
      </c>
      <c r="AJ465" s="33">
        <v>190.26079175254509</v>
      </c>
      <c r="AK465" s="33">
        <v>110.98546185565129</v>
      </c>
      <c r="AL465" s="34">
        <v>110.98546185565129</v>
      </c>
      <c r="AM465" s="34">
        <v>47.565197938136272</v>
      </c>
      <c r="AN465" s="34">
        <v>79.27532989689378</v>
      </c>
      <c r="AO465" s="34">
        <v>47.565197938136272</v>
      </c>
      <c r="AP465" s="34">
        <v>475.65197938136271</v>
      </c>
      <c r="AQ465" s="34">
        <v>253.68105567006009</v>
      </c>
      <c r="AR465" s="37"/>
    </row>
    <row r="466" spans="1:44" ht="19.5" customHeight="1">
      <c r="A466" s="225"/>
      <c r="B466" s="225"/>
      <c r="C466" s="225"/>
      <c r="D466" s="225"/>
      <c r="E466" s="225"/>
      <c r="F466" s="32">
        <v>2632179.236971302</v>
      </c>
      <c r="G466" s="32">
        <v>683779.59442599223</v>
      </c>
      <c r="H466" s="32">
        <v>3315958.8313972941</v>
      </c>
      <c r="I466" s="33">
        <v>915.50060455001869</v>
      </c>
      <c r="J466" s="33">
        <v>915.50060455001869</v>
      </c>
      <c r="K466" s="34">
        <v>305.16686818333949</v>
      </c>
      <c r="L466" s="33">
        <v>488.26698909334328</v>
      </c>
      <c r="M466" s="34">
        <v>610.33373636667898</v>
      </c>
      <c r="N466" s="34">
        <v>366.20024182000748</v>
      </c>
      <c r="O466" s="33">
        <v>366.20024182000748</v>
      </c>
      <c r="P466" s="34">
        <v>732.40048364001495</v>
      </c>
      <c r="Q466" s="33">
        <v>610.33373636667898</v>
      </c>
      <c r="R466" s="33">
        <v>732.40048364001495</v>
      </c>
      <c r="S466" s="33">
        <v>427.23361545667541</v>
      </c>
      <c r="T466" s="34">
        <v>427.23361545667541</v>
      </c>
      <c r="U466" s="34">
        <v>183.10012091000371</v>
      </c>
      <c r="V466" s="34">
        <v>305.16686818333949</v>
      </c>
      <c r="W466" s="34">
        <v>183.10012091000371</v>
      </c>
      <c r="X466" s="34">
        <v>1831.0012091000369</v>
      </c>
      <c r="Y466" s="34">
        <v>976.53397818668657</v>
      </c>
      <c r="Z466" s="54"/>
      <c r="AA466" s="53">
        <v>237.82598969068141</v>
      </c>
      <c r="AB466" s="53">
        <v>237.82598969068141</v>
      </c>
      <c r="AC466" s="54">
        <v>79.27532989689378</v>
      </c>
      <c r="AD466" s="53">
        <v>126.8405278350301</v>
      </c>
      <c r="AE466" s="54">
        <v>158.55065979378759</v>
      </c>
      <c r="AF466" s="54">
        <v>95.130395876272544</v>
      </c>
      <c r="AG466" s="53">
        <v>95.130395876272544</v>
      </c>
      <c r="AH466" s="54">
        <v>190.26079175254509</v>
      </c>
      <c r="AI466" s="53">
        <v>158.55065979378759</v>
      </c>
      <c r="AJ466" s="53">
        <v>190.26079175254509</v>
      </c>
      <c r="AK466" s="53">
        <v>110.98546185565129</v>
      </c>
      <c r="AL466" s="54">
        <v>110.98546185565129</v>
      </c>
      <c r="AM466" s="54">
        <v>47.565197938136272</v>
      </c>
      <c r="AN466" s="54">
        <v>79.27532989689378</v>
      </c>
      <c r="AO466" s="54">
        <v>47.565197938136272</v>
      </c>
      <c r="AP466" s="54">
        <v>475.65197938136271</v>
      </c>
      <c r="AQ466" s="54">
        <v>253.68105567006009</v>
      </c>
      <c r="AR466" s="39"/>
    </row>
    <row r="467" spans="1:44" ht="19.5" customHeight="1">
      <c r="A467" s="152" t="s">
        <v>4826</v>
      </c>
      <c r="B467" s="152"/>
      <c r="C467" s="226"/>
      <c r="D467" s="104"/>
      <c r="E467" s="32"/>
      <c r="F467" s="32">
        <v>70000</v>
      </c>
      <c r="G467" s="32">
        <v>0</v>
      </c>
      <c r="H467" s="32">
        <v>70000</v>
      </c>
      <c r="I467" s="227">
        <v>24.346762339877849</v>
      </c>
      <c r="J467" s="33">
        <v>24.346762339877849</v>
      </c>
      <c r="K467" s="34">
        <v>8.1155874466259483</v>
      </c>
      <c r="L467" s="33">
        <v>12.984939914601521</v>
      </c>
      <c r="M467" s="34">
        <v>16.2311748932519</v>
      </c>
      <c r="N467" s="34">
        <v>9.7387049359511391</v>
      </c>
      <c r="O467" s="33">
        <v>9.7387049359511391</v>
      </c>
      <c r="P467" s="34">
        <v>19.477409871902282</v>
      </c>
      <c r="Q467" s="33">
        <v>16.2311748932519</v>
      </c>
      <c r="R467" s="33">
        <v>19.477409871902282</v>
      </c>
      <c r="S467" s="33">
        <v>11.36182242527633</v>
      </c>
      <c r="T467" s="34">
        <v>11.36182242527633</v>
      </c>
      <c r="U467" s="34">
        <v>4.8693524679755704</v>
      </c>
      <c r="V467" s="34">
        <v>8.1155874466259483</v>
      </c>
      <c r="W467" s="34">
        <v>4.8693524679755704</v>
      </c>
      <c r="X467" s="34">
        <v>48.693524679755697</v>
      </c>
      <c r="Y467" s="34">
        <v>25.969879829203041</v>
      </c>
      <c r="Z467" s="34"/>
      <c r="AA467" s="33">
        <v>0</v>
      </c>
      <c r="AB467" s="33">
        <v>0</v>
      </c>
      <c r="AC467" s="34">
        <v>0</v>
      </c>
      <c r="AD467" s="33">
        <v>0</v>
      </c>
      <c r="AE467" s="34">
        <v>0</v>
      </c>
      <c r="AF467" s="34">
        <v>0</v>
      </c>
      <c r="AG467" s="33">
        <v>0</v>
      </c>
      <c r="AH467" s="34">
        <v>0</v>
      </c>
      <c r="AI467" s="33">
        <v>0</v>
      </c>
      <c r="AJ467" s="33">
        <v>0</v>
      </c>
      <c r="AK467" s="33">
        <v>0</v>
      </c>
      <c r="AL467" s="34">
        <v>0</v>
      </c>
      <c r="AM467" s="34">
        <v>0</v>
      </c>
      <c r="AN467" s="34">
        <v>0</v>
      </c>
      <c r="AO467" s="34">
        <v>0</v>
      </c>
      <c r="AP467" s="34">
        <v>0</v>
      </c>
      <c r="AQ467" s="34">
        <v>0</v>
      </c>
      <c r="AR467" s="37"/>
    </row>
    <row r="468" spans="1:44" ht="19.5" customHeight="1">
      <c r="A468" s="30">
        <v>1</v>
      </c>
      <c r="B468" s="56" t="s">
        <v>4827</v>
      </c>
      <c r="C468" s="30" t="s">
        <v>230</v>
      </c>
      <c r="D468" s="56" t="s">
        <v>4828</v>
      </c>
      <c r="E468" s="30"/>
      <c r="F468" s="32">
        <v>122637.1133713321</v>
      </c>
      <c r="G468" s="32">
        <v>21644.082688360701</v>
      </c>
      <c r="H468" s="32">
        <v>144281.1960596928</v>
      </c>
      <c r="I468" s="33">
        <v>42.654523618578253</v>
      </c>
      <c r="J468" s="33">
        <v>42.654523618578253</v>
      </c>
      <c r="K468" s="34">
        <v>14.21817453952608</v>
      </c>
      <c r="L468" s="33">
        <v>22.74907926324174</v>
      </c>
      <c r="M468" s="34">
        <v>28.43634907905216</v>
      </c>
      <c r="N468" s="34">
        <v>17.061809447431301</v>
      </c>
      <c r="O468" s="33">
        <v>17.061809447431301</v>
      </c>
      <c r="P468" s="34">
        <v>34.123618894862602</v>
      </c>
      <c r="Q468" s="33">
        <v>28.43634907905216</v>
      </c>
      <c r="R468" s="33">
        <v>34.123618894862602</v>
      </c>
      <c r="S468" s="33">
        <v>19.90544435533652</v>
      </c>
      <c r="T468" s="34">
        <v>19.90544435533652</v>
      </c>
      <c r="U468" s="34">
        <v>8.5309047237156506</v>
      </c>
      <c r="V468" s="34">
        <v>14.21817453952608</v>
      </c>
      <c r="W468" s="34">
        <v>8.5309047237156506</v>
      </c>
      <c r="X468" s="34">
        <v>85.309047237156506</v>
      </c>
      <c r="Y468" s="34">
        <v>45.498158526483472</v>
      </c>
      <c r="Z468" s="34"/>
      <c r="AA468" s="33">
        <v>7.5280476754026058</v>
      </c>
      <c r="AB468" s="33">
        <v>7.5280476754026058</v>
      </c>
      <c r="AC468" s="34">
        <v>2.5093492251342022</v>
      </c>
      <c r="AD468" s="33">
        <v>4.0149587602147232</v>
      </c>
      <c r="AE468" s="34">
        <v>5.0186984502684044</v>
      </c>
      <c r="AF468" s="34">
        <v>3.011219070161042</v>
      </c>
      <c r="AG468" s="33">
        <v>3.011219070161042</v>
      </c>
      <c r="AH468" s="34">
        <v>6.0224381403220848</v>
      </c>
      <c r="AI468" s="33">
        <v>5.0186984502684044</v>
      </c>
      <c r="AJ468" s="33">
        <v>6.0224381403220848</v>
      </c>
      <c r="AK468" s="33">
        <v>3.513088915187883</v>
      </c>
      <c r="AL468" s="34">
        <v>3.513088915187883</v>
      </c>
      <c r="AM468" s="34">
        <v>1.505609535080521</v>
      </c>
      <c r="AN468" s="34">
        <v>2.5093492251342022</v>
      </c>
      <c r="AO468" s="34">
        <v>1.505609535080521</v>
      </c>
      <c r="AP468" s="34">
        <v>15.05609535080521</v>
      </c>
      <c r="AQ468" s="34">
        <v>8.0299175204294464</v>
      </c>
      <c r="AR468" s="39"/>
    </row>
    <row r="469" spans="1:44" ht="19.5" customHeight="1">
      <c r="A469" s="30">
        <f t="shared" ref="A469:A477" si="50">A468+1</f>
        <v>2</v>
      </c>
      <c r="B469" s="41" t="s">
        <v>133</v>
      </c>
      <c r="C469" s="30" t="s">
        <v>94</v>
      </c>
      <c r="D469" s="56" t="s">
        <v>4829</v>
      </c>
      <c r="E469" s="30"/>
      <c r="F469" s="32">
        <v>0</v>
      </c>
      <c r="G469" s="32">
        <v>31829.53336523633</v>
      </c>
      <c r="H469" s="32">
        <v>31829.53336523633</v>
      </c>
      <c r="I469" s="54">
        <v>0</v>
      </c>
      <c r="J469" s="54">
        <v>0</v>
      </c>
      <c r="K469" s="54">
        <v>0</v>
      </c>
      <c r="L469" s="54">
        <v>0</v>
      </c>
      <c r="M469" s="54">
        <v>0</v>
      </c>
      <c r="N469" s="54">
        <v>0</v>
      </c>
      <c r="O469" s="54">
        <v>0</v>
      </c>
      <c r="P469" s="54">
        <v>0</v>
      </c>
      <c r="Q469" s="54">
        <v>0</v>
      </c>
      <c r="R469" s="54">
        <v>0</v>
      </c>
      <c r="S469" s="54">
        <v>0</v>
      </c>
      <c r="T469" s="54">
        <v>0</v>
      </c>
      <c r="U469" s="54">
        <v>0</v>
      </c>
      <c r="V469" s="54">
        <v>0</v>
      </c>
      <c r="W469" s="54">
        <v>0</v>
      </c>
      <c r="X469" s="54">
        <v>0</v>
      </c>
      <c r="Y469" s="54">
        <v>0</v>
      </c>
      <c r="Z469" s="34"/>
      <c r="AA469" s="34">
        <v>11.0706583461803</v>
      </c>
      <c r="AB469" s="34">
        <v>11.0706583461803</v>
      </c>
      <c r="AC469" s="34">
        <v>3.6902194487267672</v>
      </c>
      <c r="AD469" s="34">
        <v>5.9043511179628281</v>
      </c>
      <c r="AE469" s="34">
        <v>7.3804388974535344</v>
      </c>
      <c r="AF469" s="34">
        <v>4.4282633384721208</v>
      </c>
      <c r="AG469" s="34">
        <v>4.4282633384721208</v>
      </c>
      <c r="AH469" s="34">
        <v>8.8565266769442417</v>
      </c>
      <c r="AI469" s="34">
        <v>7.3804388974535344</v>
      </c>
      <c r="AJ469" s="34">
        <v>8.8565266769442417</v>
      </c>
      <c r="AK469" s="34">
        <v>5.1663072282174749</v>
      </c>
      <c r="AL469" s="34">
        <v>5.1663072282174749</v>
      </c>
      <c r="AM469" s="34">
        <v>2.21413166923606</v>
      </c>
      <c r="AN469" s="34">
        <v>3.6902194487267672</v>
      </c>
      <c r="AO469" s="34">
        <v>2.21413166923606</v>
      </c>
      <c r="AP469" s="34">
        <v>22.141316692360601</v>
      </c>
      <c r="AQ469" s="34">
        <v>11.80870223592566</v>
      </c>
      <c r="AR469" s="39"/>
    </row>
    <row r="470" spans="1:44" ht="19.5" customHeight="1">
      <c r="A470" s="30">
        <f t="shared" si="50"/>
        <v>3</v>
      </c>
      <c r="B470" s="41" t="s">
        <v>133</v>
      </c>
      <c r="C470" s="30" t="s">
        <v>94</v>
      </c>
      <c r="D470" s="56" t="s">
        <v>4830</v>
      </c>
      <c r="E470" s="30"/>
      <c r="F470" s="32">
        <v>19909.001664139701</v>
      </c>
      <c r="G470" s="32">
        <v>21644.082688360701</v>
      </c>
      <c r="H470" s="32">
        <v>41553.084352500402</v>
      </c>
      <c r="I470" s="33">
        <v>6.92456759915774</v>
      </c>
      <c r="J470" s="33">
        <v>6.92456759915774</v>
      </c>
      <c r="K470" s="34">
        <v>2.308189199719247</v>
      </c>
      <c r="L470" s="33">
        <v>3.6931027195507951</v>
      </c>
      <c r="M470" s="34">
        <v>4.616378399438493</v>
      </c>
      <c r="N470" s="34">
        <v>2.7698270396630962</v>
      </c>
      <c r="O470" s="33">
        <v>2.7698270396630962</v>
      </c>
      <c r="P470" s="34">
        <v>5.5396540793261924</v>
      </c>
      <c r="Q470" s="33">
        <v>4.616378399438493</v>
      </c>
      <c r="R470" s="33">
        <v>5.5396540793261924</v>
      </c>
      <c r="S470" s="33">
        <v>3.231464879606945</v>
      </c>
      <c r="T470" s="34">
        <v>3.231464879606945</v>
      </c>
      <c r="U470" s="34">
        <v>1.3849135198315481</v>
      </c>
      <c r="V470" s="34">
        <v>2.308189199719247</v>
      </c>
      <c r="W470" s="34">
        <v>1.3849135198315481</v>
      </c>
      <c r="X470" s="34">
        <v>13.84913519831548</v>
      </c>
      <c r="Y470" s="34">
        <v>7.3862054391015892</v>
      </c>
      <c r="Z470" s="54"/>
      <c r="AA470" s="33">
        <v>7.5280476754026058</v>
      </c>
      <c r="AB470" s="33">
        <v>7.5280476754026058</v>
      </c>
      <c r="AC470" s="34">
        <v>2.5093492251342022</v>
      </c>
      <c r="AD470" s="33">
        <v>4.0149587602147232</v>
      </c>
      <c r="AE470" s="34">
        <v>5.0186984502684044</v>
      </c>
      <c r="AF470" s="34">
        <v>3.011219070161042</v>
      </c>
      <c r="AG470" s="33">
        <v>3.011219070161042</v>
      </c>
      <c r="AH470" s="34">
        <v>6.0224381403220848</v>
      </c>
      <c r="AI470" s="33">
        <v>5.0186984502684044</v>
      </c>
      <c r="AJ470" s="33">
        <v>6.0224381403220848</v>
      </c>
      <c r="AK470" s="33">
        <v>3.513088915187883</v>
      </c>
      <c r="AL470" s="34">
        <v>3.513088915187883</v>
      </c>
      <c r="AM470" s="34">
        <v>1.505609535080521</v>
      </c>
      <c r="AN470" s="34">
        <v>2.5093492251342022</v>
      </c>
      <c r="AO470" s="34">
        <v>1.505609535080521</v>
      </c>
      <c r="AP470" s="34">
        <v>15.05609535080521</v>
      </c>
      <c r="AQ470" s="34">
        <v>8.0299175204294464</v>
      </c>
      <c r="AR470" s="39"/>
    </row>
    <row r="471" spans="1:44" ht="19.5" customHeight="1">
      <c r="A471" s="30">
        <f t="shared" si="50"/>
        <v>4</v>
      </c>
      <c r="B471" s="41" t="s">
        <v>133</v>
      </c>
      <c r="C471" s="30" t="s">
        <v>94</v>
      </c>
      <c r="D471" s="56" t="s">
        <v>4831</v>
      </c>
      <c r="E471" s="30"/>
      <c r="F471" s="32">
        <v>0</v>
      </c>
      <c r="G471" s="32">
        <v>31829.53336523633</v>
      </c>
      <c r="H471" s="32">
        <v>31829.53336523633</v>
      </c>
      <c r="I471" s="33">
        <v>0</v>
      </c>
      <c r="J471" s="33">
        <v>0</v>
      </c>
      <c r="K471" s="34">
        <v>0</v>
      </c>
      <c r="L471" s="33">
        <v>0</v>
      </c>
      <c r="M471" s="34">
        <v>0</v>
      </c>
      <c r="N471" s="34">
        <v>0</v>
      </c>
      <c r="O471" s="33">
        <v>0</v>
      </c>
      <c r="P471" s="34">
        <v>0</v>
      </c>
      <c r="Q471" s="33">
        <v>0</v>
      </c>
      <c r="R471" s="33">
        <v>0</v>
      </c>
      <c r="S471" s="33">
        <v>0</v>
      </c>
      <c r="T471" s="34">
        <v>0</v>
      </c>
      <c r="U471" s="34">
        <v>0</v>
      </c>
      <c r="V471" s="34">
        <v>0</v>
      </c>
      <c r="W471" s="34">
        <v>0</v>
      </c>
      <c r="X471" s="34">
        <v>0</v>
      </c>
      <c r="Y471" s="34">
        <v>0</v>
      </c>
      <c r="Z471" s="34"/>
      <c r="AA471" s="33">
        <v>11.0706583461803</v>
      </c>
      <c r="AB471" s="33">
        <v>11.0706583461803</v>
      </c>
      <c r="AC471" s="34">
        <v>3.6902194487267672</v>
      </c>
      <c r="AD471" s="33">
        <v>5.9043511179628281</v>
      </c>
      <c r="AE471" s="34">
        <v>7.3804388974535344</v>
      </c>
      <c r="AF471" s="34">
        <v>4.4282633384721208</v>
      </c>
      <c r="AG471" s="33">
        <v>4.4282633384721208</v>
      </c>
      <c r="AH471" s="34">
        <v>8.8565266769442417</v>
      </c>
      <c r="AI471" s="33">
        <v>7.3804388974535344</v>
      </c>
      <c r="AJ471" s="33">
        <v>8.8565266769442417</v>
      </c>
      <c r="AK471" s="33">
        <v>5.1663072282174749</v>
      </c>
      <c r="AL471" s="34">
        <v>5.1663072282174749</v>
      </c>
      <c r="AM471" s="34">
        <v>2.21413166923606</v>
      </c>
      <c r="AN471" s="34">
        <v>3.6902194487267672</v>
      </c>
      <c r="AO471" s="34">
        <v>2.21413166923606</v>
      </c>
      <c r="AP471" s="34">
        <v>22.141316692360601</v>
      </c>
      <c r="AQ471" s="34">
        <v>11.80870223592566</v>
      </c>
      <c r="AR471" s="37"/>
    </row>
    <row r="472" spans="1:44" ht="19.5" customHeight="1">
      <c r="A472" s="30">
        <f t="shared" si="50"/>
        <v>5</v>
      </c>
      <c r="B472" s="56" t="s">
        <v>4832</v>
      </c>
      <c r="C472" s="30" t="s">
        <v>230</v>
      </c>
      <c r="D472" s="56" t="s">
        <v>4833</v>
      </c>
      <c r="E472" s="30"/>
      <c r="F472" s="32">
        <v>120723.20884092709</v>
      </c>
      <c r="G472" s="32">
        <v>21644.082688360701</v>
      </c>
      <c r="H472" s="32">
        <v>142367.29152928779</v>
      </c>
      <c r="I472" s="33">
        <v>41.988846779392759</v>
      </c>
      <c r="J472" s="33">
        <v>41.988846779392759</v>
      </c>
      <c r="K472" s="34">
        <v>13.99628225979759</v>
      </c>
      <c r="L472" s="33">
        <v>22.39405161567614</v>
      </c>
      <c r="M472" s="34">
        <v>27.99256451959517</v>
      </c>
      <c r="N472" s="34">
        <v>16.7955387117571</v>
      </c>
      <c r="O472" s="33">
        <v>16.7955387117571</v>
      </c>
      <c r="P472" s="34">
        <v>33.591077423514207</v>
      </c>
      <c r="Q472" s="33">
        <v>27.99256451959517</v>
      </c>
      <c r="R472" s="33">
        <v>33.591077423514207</v>
      </c>
      <c r="S472" s="33">
        <v>19.594795163716618</v>
      </c>
      <c r="T472" s="34">
        <v>19.594795163716618</v>
      </c>
      <c r="U472" s="34">
        <v>8.3977693558785518</v>
      </c>
      <c r="V472" s="34">
        <v>13.99628225979759</v>
      </c>
      <c r="W472" s="34">
        <v>8.3977693558785518</v>
      </c>
      <c r="X472" s="34">
        <v>83.977693558785518</v>
      </c>
      <c r="Y472" s="34">
        <v>44.788103231352281</v>
      </c>
      <c r="Z472" s="34"/>
      <c r="AA472" s="33">
        <v>7.5280476754026058</v>
      </c>
      <c r="AB472" s="33">
        <v>7.5280476754026058</v>
      </c>
      <c r="AC472" s="34">
        <v>2.5093492251342022</v>
      </c>
      <c r="AD472" s="33">
        <v>4.0149587602147232</v>
      </c>
      <c r="AE472" s="34">
        <v>5.0186984502684044</v>
      </c>
      <c r="AF472" s="34">
        <v>3.011219070161042</v>
      </c>
      <c r="AG472" s="33">
        <v>3.011219070161042</v>
      </c>
      <c r="AH472" s="34">
        <v>6.0224381403220848</v>
      </c>
      <c r="AI472" s="33">
        <v>5.0186984502684044</v>
      </c>
      <c r="AJ472" s="33">
        <v>6.0224381403220848</v>
      </c>
      <c r="AK472" s="33">
        <v>3.513088915187883</v>
      </c>
      <c r="AL472" s="34">
        <v>3.513088915187883</v>
      </c>
      <c r="AM472" s="34">
        <v>1.505609535080521</v>
      </c>
      <c r="AN472" s="34">
        <v>2.5093492251342022</v>
      </c>
      <c r="AO472" s="34">
        <v>1.505609535080521</v>
      </c>
      <c r="AP472" s="34">
        <v>15.05609535080521</v>
      </c>
      <c r="AQ472" s="34">
        <v>8.0299175204294464</v>
      </c>
      <c r="AR472" s="39"/>
    </row>
    <row r="473" spans="1:44" ht="19.5" customHeight="1">
      <c r="A473" s="30">
        <f t="shared" si="50"/>
        <v>6</v>
      </c>
      <c r="B473" s="56" t="s">
        <v>4834</v>
      </c>
      <c r="C473" s="30" t="s">
        <v>159</v>
      </c>
      <c r="D473" s="56" t="s">
        <v>4835</v>
      </c>
      <c r="E473" s="30"/>
      <c r="F473" s="32">
        <v>110505.4930492767</v>
      </c>
      <c r="G473" s="32">
        <v>5411.0206720901751</v>
      </c>
      <c r="H473" s="32">
        <v>115916.51372136681</v>
      </c>
      <c r="I473" s="33">
        <v>38.435013950310889</v>
      </c>
      <c r="J473" s="33">
        <v>38.435013950310889</v>
      </c>
      <c r="K473" s="34">
        <v>12.811671316770299</v>
      </c>
      <c r="L473" s="33">
        <v>20.498674106832471</v>
      </c>
      <c r="M473" s="34">
        <v>25.623342633540592</v>
      </c>
      <c r="N473" s="34">
        <v>15.37400558012436</v>
      </c>
      <c r="O473" s="33">
        <v>15.37400558012436</v>
      </c>
      <c r="P473" s="34">
        <v>30.748011160248719</v>
      </c>
      <c r="Q473" s="33">
        <v>25.623342633540592</v>
      </c>
      <c r="R473" s="33">
        <v>30.748011160248719</v>
      </c>
      <c r="S473" s="33">
        <v>17.936339843478411</v>
      </c>
      <c r="T473" s="34">
        <v>17.936339843478411</v>
      </c>
      <c r="U473" s="34">
        <v>7.6870027900621789</v>
      </c>
      <c r="V473" s="34">
        <v>12.811671316770299</v>
      </c>
      <c r="W473" s="34">
        <v>7.6870027900621789</v>
      </c>
      <c r="X473" s="34">
        <v>76.870027900621778</v>
      </c>
      <c r="Y473" s="34">
        <v>40.997348213664949</v>
      </c>
      <c r="Z473" s="34"/>
      <c r="AA473" s="33">
        <v>1.882011918850651</v>
      </c>
      <c r="AB473" s="33">
        <v>1.882011918850651</v>
      </c>
      <c r="AC473" s="34">
        <v>0.62733730628355044</v>
      </c>
      <c r="AD473" s="33">
        <v>1.003739690053681</v>
      </c>
      <c r="AE473" s="34">
        <v>1.2546746125671011</v>
      </c>
      <c r="AF473" s="34">
        <v>0.7528047675402606</v>
      </c>
      <c r="AG473" s="33">
        <v>0.7528047675402606</v>
      </c>
      <c r="AH473" s="34">
        <v>1.505609535080521</v>
      </c>
      <c r="AI473" s="33">
        <v>1.2546746125671011</v>
      </c>
      <c r="AJ473" s="33">
        <v>1.505609535080521</v>
      </c>
      <c r="AK473" s="33">
        <v>0.87827222879697076</v>
      </c>
      <c r="AL473" s="34">
        <v>0.87827222879697076</v>
      </c>
      <c r="AM473" s="34">
        <v>0.3764023837701303</v>
      </c>
      <c r="AN473" s="34">
        <v>0.62733730628355044</v>
      </c>
      <c r="AO473" s="34">
        <v>0.3764023837701303</v>
      </c>
      <c r="AP473" s="34">
        <v>3.7640238377013029</v>
      </c>
      <c r="AQ473" s="34">
        <v>2.007479380107362</v>
      </c>
      <c r="AR473" s="39"/>
    </row>
    <row r="474" spans="1:44" ht="19.5" customHeight="1">
      <c r="A474" s="30">
        <f t="shared" si="50"/>
        <v>7</v>
      </c>
      <c r="B474" s="56" t="s">
        <v>4836</v>
      </c>
      <c r="C474" s="63" t="s">
        <v>1822</v>
      </c>
      <c r="D474" s="56" t="s">
        <v>4837</v>
      </c>
      <c r="E474" s="30"/>
      <c r="F474" s="32">
        <v>31356.677621020041</v>
      </c>
      <c r="G474" s="32">
        <v>10609.844455078781</v>
      </c>
      <c r="H474" s="32">
        <v>41966.522076098823</v>
      </c>
      <c r="I474" s="33">
        <v>10.90619396867344</v>
      </c>
      <c r="J474" s="33">
        <v>10.90619396867344</v>
      </c>
      <c r="K474" s="34">
        <v>3.6353979895578141</v>
      </c>
      <c r="L474" s="33">
        <v>5.8166367832925037</v>
      </c>
      <c r="M474" s="34">
        <v>7.2707959791156282</v>
      </c>
      <c r="N474" s="34">
        <v>4.3624775874693782</v>
      </c>
      <c r="O474" s="33">
        <v>4.3624775874693782</v>
      </c>
      <c r="P474" s="34">
        <v>8.7249551749387564</v>
      </c>
      <c r="Q474" s="33">
        <v>7.2707959791156282</v>
      </c>
      <c r="R474" s="33">
        <v>8.7249551749387564</v>
      </c>
      <c r="S474" s="33">
        <v>5.0895571853809409</v>
      </c>
      <c r="T474" s="34">
        <v>5.0895571853809409</v>
      </c>
      <c r="U474" s="34">
        <v>2.1812387937346891</v>
      </c>
      <c r="V474" s="34">
        <v>3.6353979895578141</v>
      </c>
      <c r="W474" s="34">
        <v>2.1812387937346891</v>
      </c>
      <c r="X474" s="34">
        <v>21.812387937346891</v>
      </c>
      <c r="Y474" s="34">
        <v>11.633273566585011</v>
      </c>
      <c r="Z474" s="54"/>
      <c r="AA474" s="33">
        <v>3.6902194487267681</v>
      </c>
      <c r="AB474" s="33">
        <v>3.6902194487267681</v>
      </c>
      <c r="AC474" s="34">
        <v>1.230073149575589</v>
      </c>
      <c r="AD474" s="33">
        <v>1.9681170393209431</v>
      </c>
      <c r="AE474" s="34">
        <v>2.460146299151178</v>
      </c>
      <c r="AF474" s="34">
        <v>1.476087779490707</v>
      </c>
      <c r="AG474" s="33">
        <v>1.476087779490707</v>
      </c>
      <c r="AH474" s="34">
        <v>2.952175558981414</v>
      </c>
      <c r="AI474" s="33">
        <v>2.460146299151178</v>
      </c>
      <c r="AJ474" s="33">
        <v>2.952175558981414</v>
      </c>
      <c r="AK474" s="33">
        <v>1.722102409405825</v>
      </c>
      <c r="AL474" s="34">
        <v>1.722102409405825</v>
      </c>
      <c r="AM474" s="34">
        <v>0.73804388974535351</v>
      </c>
      <c r="AN474" s="34">
        <v>1.230073149575589</v>
      </c>
      <c r="AO474" s="34">
        <v>0.73804388974535351</v>
      </c>
      <c r="AP474" s="34">
        <v>7.3804388974535353</v>
      </c>
      <c r="AQ474" s="34">
        <v>3.9362340786418848</v>
      </c>
      <c r="AR474" s="39"/>
    </row>
    <row r="475" spans="1:44" ht="19.5" customHeight="1">
      <c r="A475" s="30">
        <f t="shared" si="50"/>
        <v>8</v>
      </c>
      <c r="B475" s="56" t="s">
        <v>133</v>
      </c>
      <c r="C475" s="51" t="s">
        <v>80</v>
      </c>
      <c r="D475" s="56" t="s">
        <v>1757</v>
      </c>
      <c r="E475" s="30"/>
      <c r="F475" s="32">
        <v>0</v>
      </c>
      <c r="G475" s="32">
        <v>5304.9222275393877</v>
      </c>
      <c r="H475" s="32">
        <v>5304.9222275393877</v>
      </c>
      <c r="I475" s="33">
        <v>0</v>
      </c>
      <c r="J475" s="33">
        <v>0</v>
      </c>
      <c r="K475" s="34">
        <v>0</v>
      </c>
      <c r="L475" s="33">
        <v>0</v>
      </c>
      <c r="M475" s="34">
        <v>0</v>
      </c>
      <c r="N475" s="34">
        <v>0</v>
      </c>
      <c r="O475" s="33">
        <v>0</v>
      </c>
      <c r="P475" s="34">
        <v>0</v>
      </c>
      <c r="Q475" s="33">
        <v>0</v>
      </c>
      <c r="R475" s="33">
        <v>0</v>
      </c>
      <c r="S475" s="33">
        <v>0</v>
      </c>
      <c r="T475" s="34">
        <v>0</v>
      </c>
      <c r="U475" s="34">
        <v>0</v>
      </c>
      <c r="V475" s="34">
        <v>0</v>
      </c>
      <c r="W475" s="34">
        <v>0</v>
      </c>
      <c r="X475" s="34">
        <v>0</v>
      </c>
      <c r="Y475" s="34">
        <v>0</v>
      </c>
      <c r="Z475" s="34"/>
      <c r="AA475" s="33">
        <v>1.8451097243633841</v>
      </c>
      <c r="AB475" s="33">
        <v>1.8451097243633841</v>
      </c>
      <c r="AC475" s="34">
        <v>0.6150365747877945</v>
      </c>
      <c r="AD475" s="33">
        <v>0.98405851966047131</v>
      </c>
      <c r="AE475" s="34">
        <v>1.230073149575589</v>
      </c>
      <c r="AF475" s="34">
        <v>0.73804388974535351</v>
      </c>
      <c r="AG475" s="33">
        <v>0.73804388974535351</v>
      </c>
      <c r="AH475" s="34">
        <v>1.476087779490707</v>
      </c>
      <c r="AI475" s="33">
        <v>1.230073149575589</v>
      </c>
      <c r="AJ475" s="33">
        <v>1.476087779490707</v>
      </c>
      <c r="AK475" s="33">
        <v>0.86105120470291241</v>
      </c>
      <c r="AL475" s="34">
        <v>0.86105120470291241</v>
      </c>
      <c r="AM475" s="34">
        <v>0.36902194487267681</v>
      </c>
      <c r="AN475" s="34">
        <v>0.6150365747877945</v>
      </c>
      <c r="AO475" s="34">
        <v>0.36902194487267681</v>
      </c>
      <c r="AP475" s="34">
        <v>3.6902194487267681</v>
      </c>
      <c r="AQ475" s="34">
        <v>1.9681170393209431</v>
      </c>
      <c r="AR475" s="37"/>
    </row>
    <row r="476" spans="1:44" ht="19.5" customHeight="1">
      <c r="A476" s="30">
        <f t="shared" si="50"/>
        <v>9</v>
      </c>
      <c r="B476" s="56" t="s">
        <v>4838</v>
      </c>
      <c r="C476" s="51" t="s">
        <v>1098</v>
      </c>
      <c r="D476" s="56" t="s">
        <v>4839</v>
      </c>
      <c r="E476" s="30"/>
      <c r="F476" s="32">
        <v>31356.677621020041</v>
      </c>
      <c r="G476" s="32">
        <v>10609.844455078781</v>
      </c>
      <c r="H476" s="32">
        <v>41966.522076098823</v>
      </c>
      <c r="I476" s="33">
        <v>10.90619396867344</v>
      </c>
      <c r="J476" s="33">
        <v>10.90619396867344</v>
      </c>
      <c r="K476" s="34">
        <v>3.6353979895578141</v>
      </c>
      <c r="L476" s="33">
        <v>5.8166367832925037</v>
      </c>
      <c r="M476" s="34">
        <v>7.2707959791156282</v>
      </c>
      <c r="N476" s="34">
        <v>4.3624775874693782</v>
      </c>
      <c r="O476" s="33">
        <v>4.3624775874693782</v>
      </c>
      <c r="P476" s="34">
        <v>8.7249551749387564</v>
      </c>
      <c r="Q476" s="33">
        <v>7.2707959791156282</v>
      </c>
      <c r="R476" s="33">
        <v>8.7249551749387564</v>
      </c>
      <c r="S476" s="33">
        <v>5.0895571853809409</v>
      </c>
      <c r="T476" s="34">
        <v>5.0895571853809409</v>
      </c>
      <c r="U476" s="34">
        <v>2.1812387937346891</v>
      </c>
      <c r="V476" s="34">
        <v>3.6353979895578141</v>
      </c>
      <c r="W476" s="34">
        <v>2.1812387937346891</v>
      </c>
      <c r="X476" s="34">
        <v>21.812387937346891</v>
      </c>
      <c r="Y476" s="34">
        <v>11.633273566585011</v>
      </c>
      <c r="Z476" s="34"/>
      <c r="AA476" s="33">
        <v>3.6902194487267681</v>
      </c>
      <c r="AB476" s="33">
        <v>3.6902194487267681</v>
      </c>
      <c r="AC476" s="34">
        <v>1.230073149575589</v>
      </c>
      <c r="AD476" s="33">
        <v>1.9681170393209431</v>
      </c>
      <c r="AE476" s="34">
        <v>2.460146299151178</v>
      </c>
      <c r="AF476" s="34">
        <v>1.476087779490707</v>
      </c>
      <c r="AG476" s="33">
        <v>1.476087779490707</v>
      </c>
      <c r="AH476" s="34">
        <v>2.952175558981414</v>
      </c>
      <c r="AI476" s="33">
        <v>2.460146299151178</v>
      </c>
      <c r="AJ476" s="33">
        <v>2.952175558981414</v>
      </c>
      <c r="AK476" s="33">
        <v>1.722102409405825</v>
      </c>
      <c r="AL476" s="34">
        <v>1.722102409405825</v>
      </c>
      <c r="AM476" s="34">
        <v>0.73804388974535351</v>
      </c>
      <c r="AN476" s="34">
        <v>1.230073149575589</v>
      </c>
      <c r="AO476" s="34">
        <v>0.73804388974535351</v>
      </c>
      <c r="AP476" s="34">
        <v>7.3804388974535353</v>
      </c>
      <c r="AQ476" s="34">
        <v>3.9362340786418848</v>
      </c>
      <c r="AR476" s="39"/>
    </row>
    <row r="477" spans="1:44" ht="19.5" customHeight="1">
      <c r="A477" s="30">
        <f t="shared" si="50"/>
        <v>10</v>
      </c>
      <c r="B477" s="56" t="s">
        <v>133</v>
      </c>
      <c r="C477" s="51" t="s">
        <v>1098</v>
      </c>
      <c r="D477" s="16" t="s">
        <v>4840</v>
      </c>
      <c r="E477" s="30"/>
      <c r="F477" s="32">
        <v>0</v>
      </c>
      <c r="G477" s="32">
        <v>0</v>
      </c>
      <c r="H477" s="32">
        <v>0</v>
      </c>
      <c r="I477" s="53">
        <v>0</v>
      </c>
      <c r="J477" s="53">
        <v>0</v>
      </c>
      <c r="K477" s="54">
        <v>0</v>
      </c>
      <c r="L477" s="53">
        <v>0</v>
      </c>
      <c r="M477" s="54">
        <v>0</v>
      </c>
      <c r="N477" s="54">
        <v>0</v>
      </c>
      <c r="O477" s="53">
        <v>0</v>
      </c>
      <c r="P477" s="54">
        <v>0</v>
      </c>
      <c r="Q477" s="53">
        <v>0</v>
      </c>
      <c r="R477" s="53">
        <v>0</v>
      </c>
      <c r="S477" s="53">
        <v>0</v>
      </c>
      <c r="T477" s="54">
        <v>0</v>
      </c>
      <c r="U477" s="54">
        <v>0</v>
      </c>
      <c r="V477" s="54">
        <v>0</v>
      </c>
      <c r="W477" s="54">
        <v>0</v>
      </c>
      <c r="X477" s="54">
        <v>0</v>
      </c>
      <c r="Y477" s="54">
        <v>0</v>
      </c>
      <c r="Z477" s="34"/>
      <c r="AA477" s="33">
        <v>0</v>
      </c>
      <c r="AB477" s="33">
        <v>0</v>
      </c>
      <c r="AC477" s="34">
        <v>0</v>
      </c>
      <c r="AD477" s="33">
        <v>0</v>
      </c>
      <c r="AE477" s="34">
        <v>0</v>
      </c>
      <c r="AF477" s="34">
        <v>0</v>
      </c>
      <c r="AG477" s="33">
        <v>0</v>
      </c>
      <c r="AH477" s="34">
        <v>0</v>
      </c>
      <c r="AI477" s="33">
        <v>0</v>
      </c>
      <c r="AJ477" s="33">
        <v>0</v>
      </c>
      <c r="AK477" s="33">
        <v>0</v>
      </c>
      <c r="AL477" s="34">
        <v>0</v>
      </c>
      <c r="AM477" s="34">
        <v>0</v>
      </c>
      <c r="AN477" s="34">
        <v>0</v>
      </c>
      <c r="AO477" s="34">
        <v>0</v>
      </c>
      <c r="AP477" s="34">
        <v>0</v>
      </c>
      <c r="AQ477" s="34">
        <v>0</v>
      </c>
      <c r="AR477" s="39"/>
    </row>
    <row r="478" spans="1:44" ht="19.5" customHeight="1">
      <c r="A478" s="51"/>
      <c r="B478" s="63" t="s">
        <v>4841</v>
      </c>
      <c r="C478" s="51" t="s">
        <v>185</v>
      </c>
      <c r="D478" s="63" t="s">
        <v>4842</v>
      </c>
      <c r="E478" s="51">
        <v>6</v>
      </c>
      <c r="F478" s="52">
        <v>436488.17216771567</v>
      </c>
      <c r="G478" s="52">
        <v>160526.94660534189</v>
      </c>
      <c r="H478" s="52">
        <v>597015.11877305759</v>
      </c>
      <c r="I478" s="138">
        <v>151.8153398847866</v>
      </c>
      <c r="J478" s="138">
        <v>151.8153398847866</v>
      </c>
      <c r="K478" s="228">
        <v>50.605113294928849</v>
      </c>
      <c r="L478" s="138">
        <v>80.968181271886166</v>
      </c>
      <c r="M478" s="228">
        <v>101.2102265898577</v>
      </c>
      <c r="N478" s="228">
        <v>60.726135953914621</v>
      </c>
      <c r="O478" s="138">
        <v>60.726135953914621</v>
      </c>
      <c r="P478" s="228">
        <v>121.4522719078292</v>
      </c>
      <c r="Q478" s="138">
        <v>101.2102265898577</v>
      </c>
      <c r="R478" s="138">
        <v>121.4522719078292</v>
      </c>
      <c r="S478" s="138">
        <v>70.847158612900387</v>
      </c>
      <c r="T478" s="228">
        <v>70.847158612900387</v>
      </c>
      <c r="U478" s="228">
        <v>30.363067976957311</v>
      </c>
      <c r="V478" s="228">
        <v>50.605113294928849</v>
      </c>
      <c r="W478" s="228">
        <v>30.363067976957311</v>
      </c>
      <c r="X478" s="228">
        <v>303.63067976957308</v>
      </c>
      <c r="Y478" s="228">
        <v>161.9363625437723</v>
      </c>
      <c r="Z478" s="229"/>
      <c r="AA478" s="230">
        <v>55.833020259235987</v>
      </c>
      <c r="AB478" s="230">
        <v>55.833020259235987</v>
      </c>
      <c r="AC478" s="229">
        <v>18.611006753078659</v>
      </c>
      <c r="AD478" s="230">
        <v>29.77761080492586</v>
      </c>
      <c r="AE478" s="229">
        <v>37.222013506157317</v>
      </c>
      <c r="AF478" s="229">
        <v>22.3332081036944</v>
      </c>
      <c r="AG478" s="230">
        <v>22.3332081036944</v>
      </c>
      <c r="AH478" s="229">
        <v>44.666416207388792</v>
      </c>
      <c r="AI478" s="230">
        <v>37.222013506157317</v>
      </c>
      <c r="AJ478" s="230">
        <v>44.666416207388792</v>
      </c>
      <c r="AK478" s="230">
        <v>26.05540945431013</v>
      </c>
      <c r="AL478" s="229">
        <v>26.05540945431013</v>
      </c>
      <c r="AM478" s="229">
        <v>11.1666040518472</v>
      </c>
      <c r="AN478" s="229">
        <v>18.611006753078659</v>
      </c>
      <c r="AO478" s="229">
        <v>11.1666040518472</v>
      </c>
      <c r="AP478" s="229">
        <v>111.666040518472</v>
      </c>
      <c r="AQ478" s="229">
        <v>59.555221609851721</v>
      </c>
      <c r="AR478" s="39"/>
    </row>
    <row r="479" spans="1:44" ht="19.5" customHeight="1">
      <c r="A479" s="26">
        <f>A477+1</f>
        <v>11</v>
      </c>
      <c r="B479" s="28" t="s">
        <v>4843</v>
      </c>
      <c r="C479" s="26" t="s">
        <v>1986</v>
      </c>
      <c r="D479" s="28" t="s">
        <v>4844</v>
      </c>
      <c r="E479" s="30"/>
      <c r="F479" s="32">
        <v>125000</v>
      </c>
      <c r="G479" s="32">
        <v>27325.654394055389</v>
      </c>
      <c r="H479" s="32">
        <v>152325.6543940554</v>
      </c>
      <c r="I479" s="33">
        <v>43.476361321210447</v>
      </c>
      <c r="J479" s="33">
        <v>43.476361321210447</v>
      </c>
      <c r="K479" s="34">
        <v>14.492120440403481</v>
      </c>
      <c r="L479" s="33">
        <v>23.187392704645571</v>
      </c>
      <c r="M479" s="34">
        <v>28.984240880806961</v>
      </c>
      <c r="N479" s="34">
        <v>17.390544528484181</v>
      </c>
      <c r="O479" s="33">
        <v>17.390544528484181</v>
      </c>
      <c r="P479" s="34">
        <v>34.781089056968362</v>
      </c>
      <c r="Q479" s="33">
        <v>28.984240880806961</v>
      </c>
      <c r="R479" s="33">
        <v>34.781089056968362</v>
      </c>
      <c r="S479" s="33">
        <v>20.288968616564869</v>
      </c>
      <c r="T479" s="34">
        <v>20.288968616564869</v>
      </c>
      <c r="U479" s="34">
        <v>8.6952722642420888</v>
      </c>
      <c r="V479" s="34">
        <v>14.492120440403481</v>
      </c>
      <c r="W479" s="34">
        <v>8.6952722642420888</v>
      </c>
      <c r="X479" s="34">
        <v>86.952722642420895</v>
      </c>
      <c r="Y479" s="34">
        <v>46.374785409291142</v>
      </c>
      <c r="Z479" s="34"/>
      <c r="AA479" s="33">
        <v>9.5041601901957886</v>
      </c>
      <c r="AB479" s="33">
        <v>9.5041601901957886</v>
      </c>
      <c r="AC479" s="34">
        <v>3.16805339673193</v>
      </c>
      <c r="AD479" s="33">
        <v>5.0688854347710874</v>
      </c>
      <c r="AE479" s="34">
        <v>6.3361067934638591</v>
      </c>
      <c r="AF479" s="34">
        <v>3.8016640760783158</v>
      </c>
      <c r="AG479" s="33">
        <v>3.8016640760783158</v>
      </c>
      <c r="AH479" s="34">
        <v>7.6033281521566316</v>
      </c>
      <c r="AI479" s="33">
        <v>6.3361067934638591</v>
      </c>
      <c r="AJ479" s="33">
        <v>7.6033281521566316</v>
      </c>
      <c r="AK479" s="33">
        <v>4.4352747554247021</v>
      </c>
      <c r="AL479" s="34">
        <v>4.4352747554247021</v>
      </c>
      <c r="AM479" s="34">
        <v>1.9008320380391579</v>
      </c>
      <c r="AN479" s="34">
        <v>3.16805339673193</v>
      </c>
      <c r="AO479" s="34">
        <v>1.9008320380391579</v>
      </c>
      <c r="AP479" s="34">
        <v>19.008320380391581</v>
      </c>
      <c r="AQ479" s="34">
        <v>10.13777086954217</v>
      </c>
      <c r="AR479" s="39"/>
    </row>
    <row r="480" spans="1:44" ht="19.5" customHeight="1">
      <c r="A480" s="26">
        <f>A479+1</f>
        <v>12</v>
      </c>
      <c r="B480" s="41" t="s">
        <v>133</v>
      </c>
      <c r="C480" s="30" t="s">
        <v>94</v>
      </c>
      <c r="D480" s="28" t="s">
        <v>4845</v>
      </c>
      <c r="E480" s="30"/>
      <c r="F480" s="32">
        <v>0</v>
      </c>
      <c r="G480" s="32">
        <v>0</v>
      </c>
      <c r="H480" s="32">
        <v>0</v>
      </c>
      <c r="I480" s="53">
        <v>0</v>
      </c>
      <c r="J480" s="53">
        <v>0</v>
      </c>
      <c r="K480" s="54">
        <v>0</v>
      </c>
      <c r="L480" s="53">
        <v>0</v>
      </c>
      <c r="M480" s="54">
        <v>0</v>
      </c>
      <c r="N480" s="54">
        <v>0</v>
      </c>
      <c r="O480" s="53">
        <v>0</v>
      </c>
      <c r="P480" s="54">
        <v>0</v>
      </c>
      <c r="Q480" s="53">
        <v>0</v>
      </c>
      <c r="R480" s="53">
        <v>0</v>
      </c>
      <c r="S480" s="53">
        <v>0</v>
      </c>
      <c r="T480" s="54">
        <v>0</v>
      </c>
      <c r="U480" s="54">
        <v>0</v>
      </c>
      <c r="V480" s="54">
        <v>0</v>
      </c>
      <c r="W480" s="54">
        <v>0</v>
      </c>
      <c r="X480" s="54">
        <v>0</v>
      </c>
      <c r="Y480" s="54">
        <v>0</v>
      </c>
      <c r="Z480" s="34"/>
      <c r="AA480" s="33">
        <v>0</v>
      </c>
      <c r="AB480" s="33">
        <v>0</v>
      </c>
      <c r="AC480" s="34">
        <v>0</v>
      </c>
      <c r="AD480" s="33">
        <v>0</v>
      </c>
      <c r="AE480" s="34">
        <v>0</v>
      </c>
      <c r="AF480" s="34">
        <v>0</v>
      </c>
      <c r="AG480" s="33">
        <v>0</v>
      </c>
      <c r="AH480" s="34">
        <v>0</v>
      </c>
      <c r="AI480" s="33">
        <v>0</v>
      </c>
      <c r="AJ480" s="33">
        <v>0</v>
      </c>
      <c r="AK480" s="33">
        <v>0</v>
      </c>
      <c r="AL480" s="34">
        <v>0</v>
      </c>
      <c r="AM480" s="34">
        <v>0</v>
      </c>
      <c r="AN480" s="34">
        <v>0</v>
      </c>
      <c r="AO480" s="34">
        <v>0</v>
      </c>
      <c r="AP480" s="34">
        <v>0</v>
      </c>
      <c r="AQ480" s="34">
        <v>0</v>
      </c>
      <c r="AR480" s="39"/>
    </row>
    <row r="481" spans="1:44" ht="19.5" customHeight="1">
      <c r="A481" s="49"/>
      <c r="B481" s="50" t="s">
        <v>4843</v>
      </c>
      <c r="C481" s="49" t="s">
        <v>230</v>
      </c>
      <c r="D481" s="50" t="s">
        <v>4846</v>
      </c>
      <c r="E481" s="51">
        <v>2</v>
      </c>
      <c r="F481" s="52">
        <v>125000</v>
      </c>
      <c r="G481" s="52">
        <v>27325.654394055389</v>
      </c>
      <c r="H481" s="52">
        <v>152325.6543940554</v>
      </c>
      <c r="I481" s="33">
        <v>43.476361321210447</v>
      </c>
      <c r="J481" s="33">
        <v>43.476361321210447</v>
      </c>
      <c r="K481" s="34">
        <v>14.492120440403481</v>
      </c>
      <c r="L481" s="33">
        <v>23.187392704645571</v>
      </c>
      <c r="M481" s="34">
        <v>28.984240880806961</v>
      </c>
      <c r="N481" s="34">
        <v>17.390544528484181</v>
      </c>
      <c r="O481" s="33">
        <v>17.390544528484181</v>
      </c>
      <c r="P481" s="34">
        <v>34.781089056968362</v>
      </c>
      <c r="Q481" s="33">
        <v>28.984240880806961</v>
      </c>
      <c r="R481" s="33">
        <v>34.781089056968362</v>
      </c>
      <c r="S481" s="33">
        <v>20.288968616564869</v>
      </c>
      <c r="T481" s="34">
        <v>20.288968616564869</v>
      </c>
      <c r="U481" s="34">
        <v>8.6952722642420888</v>
      </c>
      <c r="V481" s="34">
        <v>14.492120440403481</v>
      </c>
      <c r="W481" s="34">
        <v>8.6952722642420888</v>
      </c>
      <c r="X481" s="34">
        <v>86.952722642420895</v>
      </c>
      <c r="Y481" s="34">
        <v>46.374785409291142</v>
      </c>
      <c r="Z481" s="34"/>
      <c r="AA481" s="33">
        <v>9.5041601901957886</v>
      </c>
      <c r="AB481" s="33">
        <v>9.5041601901957886</v>
      </c>
      <c r="AC481" s="34">
        <v>3.16805339673193</v>
      </c>
      <c r="AD481" s="33">
        <v>5.0688854347710874</v>
      </c>
      <c r="AE481" s="34">
        <v>6.3361067934638591</v>
      </c>
      <c r="AF481" s="34">
        <v>3.8016640760783158</v>
      </c>
      <c r="AG481" s="33">
        <v>3.8016640760783158</v>
      </c>
      <c r="AH481" s="34">
        <v>7.6033281521566316</v>
      </c>
      <c r="AI481" s="33">
        <v>6.3361067934638591</v>
      </c>
      <c r="AJ481" s="33">
        <v>7.6033281521566316</v>
      </c>
      <c r="AK481" s="33">
        <v>4.4352747554247021</v>
      </c>
      <c r="AL481" s="34">
        <v>4.4352747554247021</v>
      </c>
      <c r="AM481" s="34">
        <v>1.9008320380391579</v>
      </c>
      <c r="AN481" s="34">
        <v>3.16805339673193</v>
      </c>
      <c r="AO481" s="34">
        <v>1.9008320380391579</v>
      </c>
      <c r="AP481" s="34">
        <v>19.008320380391581</v>
      </c>
      <c r="AQ481" s="34">
        <v>10.13777086954217</v>
      </c>
      <c r="AR481" s="39"/>
    </row>
    <row r="482" spans="1:44" ht="19.5" customHeight="1">
      <c r="A482" s="26">
        <f>A480+1</f>
        <v>13</v>
      </c>
      <c r="B482" s="41" t="s">
        <v>133</v>
      </c>
      <c r="C482" s="26" t="s">
        <v>94</v>
      </c>
      <c r="D482" s="28" t="s">
        <v>4847</v>
      </c>
      <c r="E482" s="30"/>
      <c r="F482" s="32">
        <v>0</v>
      </c>
      <c r="G482" s="32">
        <v>0</v>
      </c>
      <c r="H482" s="32">
        <v>0</v>
      </c>
      <c r="I482" s="33">
        <v>0</v>
      </c>
      <c r="J482" s="33">
        <v>0</v>
      </c>
      <c r="K482" s="34">
        <v>0</v>
      </c>
      <c r="L482" s="33">
        <v>0</v>
      </c>
      <c r="M482" s="34">
        <v>0</v>
      </c>
      <c r="N482" s="34">
        <v>0</v>
      </c>
      <c r="O482" s="33">
        <v>0</v>
      </c>
      <c r="P482" s="34">
        <v>0</v>
      </c>
      <c r="Q482" s="33">
        <v>0</v>
      </c>
      <c r="R482" s="33">
        <v>0</v>
      </c>
      <c r="S482" s="33">
        <v>0</v>
      </c>
      <c r="T482" s="34">
        <v>0</v>
      </c>
      <c r="U482" s="34">
        <v>0</v>
      </c>
      <c r="V482" s="34">
        <v>0</v>
      </c>
      <c r="W482" s="34">
        <v>0</v>
      </c>
      <c r="X482" s="34">
        <v>0</v>
      </c>
      <c r="Y482" s="34">
        <v>0</v>
      </c>
      <c r="Z482" s="34"/>
      <c r="AA482" s="33">
        <v>0</v>
      </c>
      <c r="AB482" s="33">
        <v>0</v>
      </c>
      <c r="AC482" s="34">
        <v>0</v>
      </c>
      <c r="AD482" s="33">
        <v>0</v>
      </c>
      <c r="AE482" s="34">
        <v>0</v>
      </c>
      <c r="AF482" s="34">
        <v>0</v>
      </c>
      <c r="AG482" s="33">
        <v>0</v>
      </c>
      <c r="AH482" s="34">
        <v>0</v>
      </c>
      <c r="AI482" s="33">
        <v>0</v>
      </c>
      <c r="AJ482" s="33">
        <v>0</v>
      </c>
      <c r="AK482" s="33">
        <v>0</v>
      </c>
      <c r="AL482" s="34">
        <v>0</v>
      </c>
      <c r="AM482" s="34">
        <v>0</v>
      </c>
      <c r="AN482" s="34">
        <v>0</v>
      </c>
      <c r="AO482" s="34">
        <v>0</v>
      </c>
      <c r="AP482" s="34">
        <v>0</v>
      </c>
      <c r="AQ482" s="34">
        <v>0</v>
      </c>
      <c r="AR482" s="39"/>
    </row>
    <row r="483" spans="1:44" ht="19.5" customHeight="1">
      <c r="A483" s="26">
        <f>A482+1</f>
        <v>14</v>
      </c>
      <c r="B483" s="28" t="s">
        <v>4848</v>
      </c>
      <c r="C483" s="50" t="s">
        <v>1822</v>
      </c>
      <c r="D483" s="28" t="s">
        <v>2004</v>
      </c>
      <c r="E483" s="30"/>
      <c r="F483" s="32">
        <v>10452.225873673349</v>
      </c>
      <c r="G483" s="32">
        <v>15914.766682618159</v>
      </c>
      <c r="H483" s="32">
        <v>26366.992556291509</v>
      </c>
      <c r="I483" s="231">
        <v>3.635397989557815</v>
      </c>
      <c r="J483" s="33">
        <v>3.635397989557815</v>
      </c>
      <c r="K483" s="34">
        <v>1.2117993298526051</v>
      </c>
      <c r="L483" s="33">
        <v>1.938878927764168</v>
      </c>
      <c r="M483" s="34">
        <v>2.4235986597052102</v>
      </c>
      <c r="N483" s="34">
        <v>1.4541591958231259</v>
      </c>
      <c r="O483" s="33">
        <v>1.4541591958231259</v>
      </c>
      <c r="P483" s="34">
        <v>2.9083183916462518</v>
      </c>
      <c r="Q483" s="33">
        <v>2.4235986597052102</v>
      </c>
      <c r="R483" s="33">
        <v>2.9083183916462518</v>
      </c>
      <c r="S483" s="33">
        <v>1.696519061793647</v>
      </c>
      <c r="T483" s="34">
        <v>1.696519061793647</v>
      </c>
      <c r="U483" s="34">
        <v>0.72707959791156307</v>
      </c>
      <c r="V483" s="34">
        <v>1.2117993298526051</v>
      </c>
      <c r="W483" s="34">
        <v>0.72707959791156307</v>
      </c>
      <c r="X483" s="34">
        <v>7.27079597911563</v>
      </c>
      <c r="Y483" s="34">
        <v>3.8777578555283361</v>
      </c>
      <c r="Z483" s="34"/>
      <c r="AA483" s="33">
        <v>5.535329173090151</v>
      </c>
      <c r="AB483" s="33">
        <v>5.535329173090151</v>
      </c>
      <c r="AC483" s="34">
        <v>1.8451097243633841</v>
      </c>
      <c r="AD483" s="33">
        <v>2.952175558981414</v>
      </c>
      <c r="AE483" s="34">
        <v>3.6902194487267672</v>
      </c>
      <c r="AF483" s="34">
        <v>2.21413166923606</v>
      </c>
      <c r="AG483" s="33">
        <v>2.21413166923606</v>
      </c>
      <c r="AH483" s="34">
        <v>4.4282633384721208</v>
      </c>
      <c r="AI483" s="33">
        <v>3.6902194487267672</v>
      </c>
      <c r="AJ483" s="33">
        <v>4.4282633384721208</v>
      </c>
      <c r="AK483" s="33">
        <v>2.583153614108737</v>
      </c>
      <c r="AL483" s="34">
        <v>2.583153614108737</v>
      </c>
      <c r="AM483" s="34">
        <v>1.10706583461803</v>
      </c>
      <c r="AN483" s="34">
        <v>1.8451097243633841</v>
      </c>
      <c r="AO483" s="34">
        <v>1.10706583461803</v>
      </c>
      <c r="AP483" s="34">
        <v>11.0706583461803</v>
      </c>
      <c r="AQ483" s="34">
        <v>5.9043511179628281</v>
      </c>
      <c r="AR483" s="39"/>
    </row>
    <row r="484" spans="1:44" ht="19.5" customHeight="1">
      <c r="A484" s="49"/>
      <c r="B484" s="50" t="s">
        <v>133</v>
      </c>
      <c r="C484" s="49" t="s">
        <v>389</v>
      </c>
      <c r="D484" s="50" t="s">
        <v>4849</v>
      </c>
      <c r="E484" s="51">
        <v>1</v>
      </c>
      <c r="F484" s="52">
        <v>10452.225873673349</v>
      </c>
      <c r="G484" s="52">
        <v>15914.766682618159</v>
      </c>
      <c r="H484" s="52">
        <v>26366.992556291509</v>
      </c>
      <c r="I484" s="53">
        <v>3.635397989557815</v>
      </c>
      <c r="J484" s="53">
        <v>3.635397989557815</v>
      </c>
      <c r="K484" s="54">
        <v>1.2117993298526051</v>
      </c>
      <c r="L484" s="53">
        <v>1.938878927764168</v>
      </c>
      <c r="M484" s="54">
        <v>2.4235986597052102</v>
      </c>
      <c r="N484" s="54">
        <v>1.4541591958231259</v>
      </c>
      <c r="O484" s="53">
        <v>1.4541591958231259</v>
      </c>
      <c r="P484" s="54">
        <v>2.9083183916462518</v>
      </c>
      <c r="Q484" s="53">
        <v>2.4235986597052102</v>
      </c>
      <c r="R484" s="53">
        <v>2.9083183916462518</v>
      </c>
      <c r="S484" s="53">
        <v>1.696519061793647</v>
      </c>
      <c r="T484" s="54">
        <v>1.696519061793647</v>
      </c>
      <c r="U484" s="54">
        <v>0.72707959791156307</v>
      </c>
      <c r="V484" s="54">
        <v>1.2117993298526051</v>
      </c>
      <c r="W484" s="54">
        <v>0.72707959791156307</v>
      </c>
      <c r="X484" s="54">
        <v>7.27079597911563</v>
      </c>
      <c r="Y484" s="54">
        <v>3.8777578555283361</v>
      </c>
      <c r="Z484" s="54"/>
      <c r="AA484" s="53">
        <v>5.535329173090151</v>
      </c>
      <c r="AB484" s="53">
        <v>5.535329173090151</v>
      </c>
      <c r="AC484" s="54">
        <v>1.8451097243633841</v>
      </c>
      <c r="AD484" s="53">
        <v>2.952175558981414</v>
      </c>
      <c r="AE484" s="54">
        <v>3.6902194487267672</v>
      </c>
      <c r="AF484" s="54">
        <v>2.21413166923606</v>
      </c>
      <c r="AG484" s="53">
        <v>2.21413166923606</v>
      </c>
      <c r="AH484" s="54">
        <v>4.4282633384721208</v>
      </c>
      <c r="AI484" s="53">
        <v>3.6902194487267672</v>
      </c>
      <c r="AJ484" s="53">
        <v>4.4282633384721208</v>
      </c>
      <c r="AK484" s="53">
        <v>2.583153614108737</v>
      </c>
      <c r="AL484" s="54">
        <v>2.583153614108737</v>
      </c>
      <c r="AM484" s="54">
        <v>1.10706583461803</v>
      </c>
      <c r="AN484" s="54">
        <v>1.8451097243633841</v>
      </c>
      <c r="AO484" s="54">
        <v>1.10706583461803</v>
      </c>
      <c r="AP484" s="54">
        <v>11.0706583461803</v>
      </c>
      <c r="AQ484" s="54">
        <v>5.9043511179628281</v>
      </c>
      <c r="AR484" s="37"/>
    </row>
    <row r="485" spans="1:44" ht="19.5" customHeight="1">
      <c r="A485" s="140"/>
      <c r="B485" s="141" t="s">
        <v>133</v>
      </c>
      <c r="C485" s="140" t="s">
        <v>389</v>
      </c>
      <c r="D485" s="141" t="s">
        <v>4849</v>
      </c>
      <c r="E485" s="85">
        <f>E484+E481</f>
        <v>3</v>
      </c>
      <c r="F485" s="144">
        <v>135452.22587367331</v>
      </c>
      <c r="G485" s="144">
        <v>43240.421076673549</v>
      </c>
      <c r="H485" s="144">
        <v>178692.64695034691</v>
      </c>
      <c r="I485" s="33">
        <v>47.11175931076825</v>
      </c>
      <c r="J485" s="33">
        <v>47.11175931076825</v>
      </c>
      <c r="K485" s="34">
        <v>15.70391977025608</v>
      </c>
      <c r="L485" s="33">
        <v>25.126271632409729</v>
      </c>
      <c r="M485" s="34">
        <v>31.40783954051216</v>
      </c>
      <c r="N485" s="34">
        <v>18.844703724307301</v>
      </c>
      <c r="O485" s="33">
        <v>18.844703724307301</v>
      </c>
      <c r="P485" s="34">
        <v>37.689407448614602</v>
      </c>
      <c r="Q485" s="33">
        <v>31.40783954051216</v>
      </c>
      <c r="R485" s="33">
        <v>37.689407448614602</v>
      </c>
      <c r="S485" s="33">
        <v>21.98548767835852</v>
      </c>
      <c r="T485" s="34">
        <v>21.98548767835852</v>
      </c>
      <c r="U485" s="34">
        <v>9.4223518621536506</v>
      </c>
      <c r="V485" s="34">
        <v>15.70391977025608</v>
      </c>
      <c r="W485" s="34">
        <v>9.4223518621536506</v>
      </c>
      <c r="X485" s="34">
        <v>94.223518621536499</v>
      </c>
      <c r="Y485" s="34">
        <v>50.252543264819472</v>
      </c>
      <c r="Z485" s="54"/>
      <c r="AA485" s="33">
        <v>15.03948936328594</v>
      </c>
      <c r="AB485" s="33">
        <v>15.03948936328594</v>
      </c>
      <c r="AC485" s="34">
        <v>5.0131631210953129</v>
      </c>
      <c r="AD485" s="33">
        <v>8.021060993752501</v>
      </c>
      <c r="AE485" s="34">
        <v>10.026326242190629</v>
      </c>
      <c r="AF485" s="34">
        <v>6.0157957453143762</v>
      </c>
      <c r="AG485" s="33">
        <v>6.0157957453143762</v>
      </c>
      <c r="AH485" s="34">
        <v>12.031591490628751</v>
      </c>
      <c r="AI485" s="33">
        <v>10.026326242190629</v>
      </c>
      <c r="AJ485" s="33">
        <v>12.031591490628751</v>
      </c>
      <c r="AK485" s="33">
        <v>7.0184283695334386</v>
      </c>
      <c r="AL485" s="34">
        <v>7.0184283695334386</v>
      </c>
      <c r="AM485" s="34">
        <v>3.0078978726571881</v>
      </c>
      <c r="AN485" s="34">
        <v>5.0131631210953129</v>
      </c>
      <c r="AO485" s="34">
        <v>3.0078978726571881</v>
      </c>
      <c r="AP485" s="34">
        <v>30.078978726571879</v>
      </c>
      <c r="AQ485" s="34">
        <v>16.042121987504999</v>
      </c>
      <c r="AR485" s="37"/>
    </row>
    <row r="486" spans="1:44" ht="19.5" customHeight="1">
      <c r="A486" s="55">
        <f>A483+1</f>
        <v>15</v>
      </c>
      <c r="B486" s="28" t="s">
        <v>4850</v>
      </c>
      <c r="C486" s="26" t="s">
        <v>94</v>
      </c>
      <c r="D486" s="28" t="s">
        <v>4851</v>
      </c>
      <c r="E486" s="30"/>
      <c r="F486" s="32">
        <v>120723.20884092709</v>
      </c>
      <c r="G486" s="32">
        <v>21644.082688360701</v>
      </c>
      <c r="H486" s="32">
        <v>142367.29152928779</v>
      </c>
      <c r="I486" s="33">
        <v>41.988846779392759</v>
      </c>
      <c r="J486" s="33">
        <v>41.988846779392759</v>
      </c>
      <c r="K486" s="34">
        <v>13.99628225979759</v>
      </c>
      <c r="L486" s="33">
        <v>22.39405161567614</v>
      </c>
      <c r="M486" s="34">
        <v>27.99256451959517</v>
      </c>
      <c r="N486" s="34">
        <v>16.7955387117571</v>
      </c>
      <c r="O486" s="33">
        <v>16.7955387117571</v>
      </c>
      <c r="P486" s="34">
        <v>33.591077423514207</v>
      </c>
      <c r="Q486" s="33">
        <v>27.99256451959517</v>
      </c>
      <c r="R486" s="33">
        <v>33.591077423514207</v>
      </c>
      <c r="S486" s="33">
        <v>19.594795163716618</v>
      </c>
      <c r="T486" s="34">
        <v>19.594795163716618</v>
      </c>
      <c r="U486" s="34">
        <v>8.3977693558785518</v>
      </c>
      <c r="V486" s="34">
        <v>13.99628225979759</v>
      </c>
      <c r="W486" s="34">
        <v>8.3977693558785518</v>
      </c>
      <c r="X486" s="34">
        <v>83.977693558785518</v>
      </c>
      <c r="Y486" s="34">
        <v>44.788103231352281</v>
      </c>
      <c r="Z486" s="54"/>
      <c r="AA486" s="33">
        <v>7.5280476754026058</v>
      </c>
      <c r="AB486" s="33">
        <v>7.5280476754026058</v>
      </c>
      <c r="AC486" s="34">
        <v>2.5093492251342022</v>
      </c>
      <c r="AD486" s="33">
        <v>4.0149587602147232</v>
      </c>
      <c r="AE486" s="34">
        <v>5.0186984502684044</v>
      </c>
      <c r="AF486" s="34">
        <v>3.011219070161042</v>
      </c>
      <c r="AG486" s="33">
        <v>3.011219070161042</v>
      </c>
      <c r="AH486" s="34">
        <v>6.0224381403220848</v>
      </c>
      <c r="AI486" s="33">
        <v>5.0186984502684044</v>
      </c>
      <c r="AJ486" s="33">
        <v>6.0224381403220848</v>
      </c>
      <c r="AK486" s="33">
        <v>3.513088915187883</v>
      </c>
      <c r="AL486" s="34">
        <v>3.513088915187883</v>
      </c>
      <c r="AM486" s="34">
        <v>1.505609535080521</v>
      </c>
      <c r="AN486" s="34">
        <v>2.5093492251342022</v>
      </c>
      <c r="AO486" s="34">
        <v>1.505609535080521</v>
      </c>
      <c r="AP486" s="34">
        <v>15.05609535080521</v>
      </c>
      <c r="AQ486" s="34">
        <v>8.0299175204294464</v>
      </c>
      <c r="AR486" s="37"/>
    </row>
    <row r="487" spans="1:44" ht="19.5" customHeight="1">
      <c r="A487" s="55">
        <f t="shared" ref="A487:A489" si="51">A486+1</f>
        <v>16</v>
      </c>
      <c r="B487" s="41" t="s">
        <v>133</v>
      </c>
      <c r="C487" s="30" t="s">
        <v>94</v>
      </c>
      <c r="D487" s="28" t="s">
        <v>4852</v>
      </c>
      <c r="E487" s="30"/>
      <c r="F487" s="32">
        <v>0</v>
      </c>
      <c r="G487" s="32">
        <v>0</v>
      </c>
      <c r="H487" s="32">
        <v>0</v>
      </c>
      <c r="I487" s="33">
        <v>0</v>
      </c>
      <c r="J487" s="33">
        <v>0</v>
      </c>
      <c r="K487" s="34">
        <v>0</v>
      </c>
      <c r="L487" s="33">
        <v>0</v>
      </c>
      <c r="M487" s="34">
        <v>0</v>
      </c>
      <c r="N487" s="34">
        <v>0</v>
      </c>
      <c r="O487" s="33">
        <v>0</v>
      </c>
      <c r="P487" s="34">
        <v>0</v>
      </c>
      <c r="Q487" s="33">
        <v>0</v>
      </c>
      <c r="R487" s="33">
        <v>0</v>
      </c>
      <c r="S487" s="33">
        <v>0</v>
      </c>
      <c r="T487" s="34">
        <v>0</v>
      </c>
      <c r="U487" s="34">
        <v>0</v>
      </c>
      <c r="V487" s="34">
        <v>0</v>
      </c>
      <c r="W487" s="34">
        <v>0</v>
      </c>
      <c r="X487" s="34">
        <v>0</v>
      </c>
      <c r="Y487" s="34">
        <v>0</v>
      </c>
      <c r="Z487" s="34"/>
      <c r="AA487" s="33">
        <v>0</v>
      </c>
      <c r="AB487" s="33">
        <v>0</v>
      </c>
      <c r="AC487" s="34">
        <v>0</v>
      </c>
      <c r="AD487" s="33">
        <v>0</v>
      </c>
      <c r="AE487" s="34">
        <v>0</v>
      </c>
      <c r="AF487" s="34">
        <v>0</v>
      </c>
      <c r="AG487" s="33">
        <v>0</v>
      </c>
      <c r="AH487" s="34">
        <v>0</v>
      </c>
      <c r="AI487" s="33">
        <v>0</v>
      </c>
      <c r="AJ487" s="33">
        <v>0</v>
      </c>
      <c r="AK487" s="33">
        <v>0</v>
      </c>
      <c r="AL487" s="34">
        <v>0</v>
      </c>
      <c r="AM487" s="34">
        <v>0</v>
      </c>
      <c r="AN487" s="34">
        <v>0</v>
      </c>
      <c r="AO487" s="34">
        <v>0</v>
      </c>
      <c r="AP487" s="34">
        <v>0</v>
      </c>
      <c r="AQ487" s="34">
        <v>0</v>
      </c>
      <c r="AR487" s="37"/>
    </row>
    <row r="488" spans="1:44" ht="19.5" customHeight="1">
      <c r="A488" s="55">
        <f t="shared" si="51"/>
        <v>17</v>
      </c>
      <c r="B488" s="28" t="s">
        <v>4853</v>
      </c>
      <c r="C488" s="58" t="s">
        <v>132</v>
      </c>
      <c r="D488" s="28" t="s">
        <v>4854</v>
      </c>
      <c r="E488" s="30"/>
      <c r="F488" s="32">
        <v>94070.0328630601</v>
      </c>
      <c r="G488" s="32">
        <v>50439.377820315101</v>
      </c>
      <c r="H488" s="32">
        <v>144509.4106833752</v>
      </c>
      <c r="I488" s="33">
        <v>32.718581906020333</v>
      </c>
      <c r="J488" s="33">
        <v>32.718581906020333</v>
      </c>
      <c r="K488" s="34">
        <v>10.90619396867344</v>
      </c>
      <c r="L488" s="33">
        <v>17.449910349877509</v>
      </c>
      <c r="M488" s="34">
        <v>21.812387937346891</v>
      </c>
      <c r="N488" s="34">
        <v>13.087432762408129</v>
      </c>
      <c r="O488" s="33">
        <v>13.087432762408129</v>
      </c>
      <c r="P488" s="34">
        <v>26.174865524816269</v>
      </c>
      <c r="Q488" s="33">
        <v>21.812387937346891</v>
      </c>
      <c r="R488" s="33">
        <v>26.174865524816269</v>
      </c>
      <c r="S488" s="33">
        <v>15.26867155614282</v>
      </c>
      <c r="T488" s="34">
        <v>15.26867155614282</v>
      </c>
      <c r="U488" s="34">
        <v>6.5437163812040664</v>
      </c>
      <c r="V488" s="34">
        <v>10.90619396867344</v>
      </c>
      <c r="W488" s="34">
        <v>6.5437163812040664</v>
      </c>
      <c r="X488" s="34">
        <v>65.437163812040666</v>
      </c>
      <c r="Y488" s="34">
        <v>34.899820699755018</v>
      </c>
      <c r="Z488" s="34"/>
      <c r="AA488" s="33">
        <v>17.54336491946454</v>
      </c>
      <c r="AB488" s="33">
        <v>17.54336491946454</v>
      </c>
      <c r="AC488" s="34">
        <v>5.8477883064881793</v>
      </c>
      <c r="AD488" s="33">
        <v>9.3564612903810875</v>
      </c>
      <c r="AE488" s="34">
        <v>11.69557661297636</v>
      </c>
      <c r="AF488" s="34">
        <v>7.0173459677858157</v>
      </c>
      <c r="AG488" s="33">
        <v>7.0173459677858157</v>
      </c>
      <c r="AH488" s="34">
        <v>14.03469193557163</v>
      </c>
      <c r="AI488" s="33">
        <v>11.69557661297636</v>
      </c>
      <c r="AJ488" s="33">
        <v>14.03469193557163</v>
      </c>
      <c r="AK488" s="33">
        <v>8.1869036290834512</v>
      </c>
      <c r="AL488" s="34">
        <v>8.1869036290834512</v>
      </c>
      <c r="AM488" s="34">
        <v>3.5086729838929078</v>
      </c>
      <c r="AN488" s="34">
        <v>5.8477883064881793</v>
      </c>
      <c r="AO488" s="34">
        <v>3.5086729838929078</v>
      </c>
      <c r="AP488" s="34">
        <v>35.086729838929081</v>
      </c>
      <c r="AQ488" s="34">
        <v>18.712922580762179</v>
      </c>
      <c r="AR488" s="39"/>
    </row>
    <row r="489" spans="1:44" ht="19.5" customHeight="1">
      <c r="A489" s="55">
        <f t="shared" si="51"/>
        <v>18</v>
      </c>
      <c r="B489" s="28" t="s">
        <v>2052</v>
      </c>
      <c r="C489" s="26" t="s">
        <v>230</v>
      </c>
      <c r="D489" s="28" t="s">
        <v>4855</v>
      </c>
      <c r="E489" s="30"/>
      <c r="F489" s="32">
        <v>135445.55138250359</v>
      </c>
      <c r="G489" s="32">
        <v>15822.041344180399</v>
      </c>
      <c r="H489" s="32">
        <v>151267.592726684</v>
      </c>
      <c r="I489" s="53">
        <v>47.109437850050398</v>
      </c>
      <c r="J489" s="53">
        <v>47.109437850050398</v>
      </c>
      <c r="K489" s="54">
        <v>15.7031459500168</v>
      </c>
      <c r="L489" s="53">
        <v>25.125033520026879</v>
      </c>
      <c r="M489" s="54">
        <v>31.406291900033601</v>
      </c>
      <c r="N489" s="54">
        <v>18.84377514002016</v>
      </c>
      <c r="O489" s="53">
        <v>18.84377514002016</v>
      </c>
      <c r="P489" s="54">
        <v>37.687550280040327</v>
      </c>
      <c r="Q489" s="53">
        <v>31.406291900033601</v>
      </c>
      <c r="R489" s="53">
        <v>37.687550280040327</v>
      </c>
      <c r="S489" s="53">
        <v>21.984404330023519</v>
      </c>
      <c r="T489" s="54">
        <v>21.984404330023519</v>
      </c>
      <c r="U489" s="54">
        <v>9.4218875700100817</v>
      </c>
      <c r="V489" s="54">
        <v>15.7031459500168</v>
      </c>
      <c r="W489" s="54">
        <v>9.4218875700100817</v>
      </c>
      <c r="X489" s="54">
        <v>94.21887570010081</v>
      </c>
      <c r="Y489" s="54">
        <v>50.250067040053757</v>
      </c>
      <c r="Z489" s="34"/>
      <c r="AA489" s="33">
        <v>5.5030782905497384</v>
      </c>
      <c r="AB489" s="33">
        <v>5.5030782905497384</v>
      </c>
      <c r="AC489" s="34">
        <v>1.834359430183246</v>
      </c>
      <c r="AD489" s="33">
        <v>2.9349750882931929</v>
      </c>
      <c r="AE489" s="34">
        <v>3.6687188603664911</v>
      </c>
      <c r="AF489" s="34">
        <v>2.2012313162198951</v>
      </c>
      <c r="AG489" s="33">
        <v>2.2012313162198951</v>
      </c>
      <c r="AH489" s="34">
        <v>4.4024626324397902</v>
      </c>
      <c r="AI489" s="33">
        <v>3.6687188603664911</v>
      </c>
      <c r="AJ489" s="33">
        <v>4.4024626324397902</v>
      </c>
      <c r="AK489" s="33">
        <v>2.5681032022565442</v>
      </c>
      <c r="AL489" s="34">
        <v>2.5681032022565442</v>
      </c>
      <c r="AM489" s="34">
        <v>1.100615658109948</v>
      </c>
      <c r="AN489" s="34">
        <v>1.834359430183246</v>
      </c>
      <c r="AO489" s="34">
        <v>1.100615658109948</v>
      </c>
      <c r="AP489" s="34">
        <v>11.00615658109948</v>
      </c>
      <c r="AQ489" s="34">
        <v>5.8699501765863866</v>
      </c>
      <c r="AR489" s="59"/>
    </row>
    <row r="490" spans="1:44" ht="19.5" customHeight="1">
      <c r="A490" s="49"/>
      <c r="B490" s="50" t="s">
        <v>4856</v>
      </c>
      <c r="C490" s="49" t="s">
        <v>185</v>
      </c>
      <c r="D490" s="50" t="s">
        <v>4857</v>
      </c>
      <c r="E490" s="51">
        <v>4</v>
      </c>
      <c r="F490" s="52">
        <v>350238.79308649083</v>
      </c>
      <c r="G490" s="52">
        <v>87905.501852856207</v>
      </c>
      <c r="H490" s="52">
        <v>438144.29493934702</v>
      </c>
      <c r="I490" s="53">
        <v>121.8168665354635</v>
      </c>
      <c r="J490" s="53">
        <v>121.8168665354635</v>
      </c>
      <c r="K490" s="54">
        <v>40.605622178487828</v>
      </c>
      <c r="L490" s="53">
        <v>64.968995485580535</v>
      </c>
      <c r="M490" s="54">
        <v>81.211244356975655</v>
      </c>
      <c r="N490" s="54">
        <v>48.726746614185402</v>
      </c>
      <c r="O490" s="53">
        <v>48.726746614185402</v>
      </c>
      <c r="P490" s="54">
        <v>97.453493228370803</v>
      </c>
      <c r="Q490" s="53">
        <v>81.211244356975655</v>
      </c>
      <c r="R490" s="53">
        <v>97.453493228370803</v>
      </c>
      <c r="S490" s="53">
        <v>56.847871049882968</v>
      </c>
      <c r="T490" s="54">
        <v>56.847871049882968</v>
      </c>
      <c r="U490" s="54">
        <v>24.363373307092701</v>
      </c>
      <c r="V490" s="54">
        <v>40.605622178487828</v>
      </c>
      <c r="W490" s="54">
        <v>24.363373307092701</v>
      </c>
      <c r="X490" s="54">
        <v>243.63373307092701</v>
      </c>
      <c r="Y490" s="54">
        <v>129.9379909711611</v>
      </c>
      <c r="Z490" s="34"/>
      <c r="AA490" s="33">
        <v>30.574490885416878</v>
      </c>
      <c r="AB490" s="33">
        <v>30.574490885416878</v>
      </c>
      <c r="AC490" s="34">
        <v>10.19149696180563</v>
      </c>
      <c r="AD490" s="33">
        <v>16.306395138889009</v>
      </c>
      <c r="AE490" s="34">
        <v>20.382993923611249</v>
      </c>
      <c r="AF490" s="34">
        <v>12.22979635416675</v>
      </c>
      <c r="AG490" s="33">
        <v>12.22979635416675</v>
      </c>
      <c r="AH490" s="34">
        <v>24.45959270833351</v>
      </c>
      <c r="AI490" s="33">
        <v>20.382993923611249</v>
      </c>
      <c r="AJ490" s="33">
        <v>24.45959270833351</v>
      </c>
      <c r="AK490" s="33">
        <v>14.26809574652788</v>
      </c>
      <c r="AL490" s="34">
        <v>14.26809574652788</v>
      </c>
      <c r="AM490" s="34">
        <v>6.1148981770833766</v>
      </c>
      <c r="AN490" s="34">
        <v>10.19149696180563</v>
      </c>
      <c r="AO490" s="34">
        <v>6.1148981770833766</v>
      </c>
      <c r="AP490" s="34">
        <v>61.148981770833757</v>
      </c>
      <c r="AQ490" s="34">
        <v>32.612790277778011</v>
      </c>
      <c r="AR490" s="39"/>
    </row>
    <row r="491" spans="1:44" ht="19.5" customHeight="1">
      <c r="A491" s="65"/>
      <c r="B491" s="66" t="s">
        <v>133</v>
      </c>
      <c r="C491" s="65"/>
      <c r="D491" s="66" t="s">
        <v>4858</v>
      </c>
      <c r="E491" s="67">
        <f>E490+E485+E478</f>
        <v>13</v>
      </c>
      <c r="F491" s="68">
        <v>922179.19112787989</v>
      </c>
      <c r="G491" s="68">
        <v>291672.8695348716</v>
      </c>
      <c r="H491" s="68">
        <v>1213852.060662752</v>
      </c>
      <c r="I491" s="33">
        <v>320.74396573101831</v>
      </c>
      <c r="J491" s="33">
        <v>320.74396573101831</v>
      </c>
      <c r="K491" s="34">
        <v>106.9146552436728</v>
      </c>
      <c r="L491" s="33">
        <v>171.06344838987641</v>
      </c>
      <c r="M491" s="34">
        <v>213.82931048734551</v>
      </c>
      <c r="N491" s="34">
        <v>128.29758629240729</v>
      </c>
      <c r="O491" s="33">
        <v>128.29758629240729</v>
      </c>
      <c r="P491" s="34">
        <v>256.59517258481458</v>
      </c>
      <c r="Q491" s="33">
        <v>213.82931048734551</v>
      </c>
      <c r="R491" s="33">
        <v>256.59517258481458</v>
      </c>
      <c r="S491" s="33">
        <v>149.68051734114189</v>
      </c>
      <c r="T491" s="34">
        <v>149.68051734114189</v>
      </c>
      <c r="U491" s="34">
        <v>64.148793146203658</v>
      </c>
      <c r="V491" s="34">
        <v>106.9146552436728</v>
      </c>
      <c r="W491" s="34">
        <v>64.148793146203658</v>
      </c>
      <c r="X491" s="34">
        <v>641.48793146203661</v>
      </c>
      <c r="Y491" s="34">
        <v>342.12689677975288</v>
      </c>
      <c r="Z491" s="54"/>
      <c r="AA491" s="53">
        <v>101.4470005079388</v>
      </c>
      <c r="AB491" s="53">
        <v>101.4470005079388</v>
      </c>
      <c r="AC491" s="54">
        <v>33.815666835979599</v>
      </c>
      <c r="AD491" s="53">
        <v>54.105066937567358</v>
      </c>
      <c r="AE491" s="54">
        <v>67.631333671959197</v>
      </c>
      <c r="AF491" s="54">
        <v>40.578800203175533</v>
      </c>
      <c r="AG491" s="53">
        <v>40.578800203175533</v>
      </c>
      <c r="AH491" s="54">
        <v>81.157600406351051</v>
      </c>
      <c r="AI491" s="53">
        <v>67.631333671959197</v>
      </c>
      <c r="AJ491" s="53">
        <v>81.157600406351051</v>
      </c>
      <c r="AK491" s="53">
        <v>47.341933570371452</v>
      </c>
      <c r="AL491" s="54">
        <v>47.341933570371452</v>
      </c>
      <c r="AM491" s="54">
        <v>20.289400101587759</v>
      </c>
      <c r="AN491" s="54">
        <v>33.815666835979599</v>
      </c>
      <c r="AO491" s="54">
        <v>20.289400101587759</v>
      </c>
      <c r="AP491" s="54">
        <v>202.89400101587759</v>
      </c>
      <c r="AQ491" s="54">
        <v>108.2101338751347</v>
      </c>
      <c r="AR491" s="39"/>
    </row>
    <row r="492" spans="1:44" ht="19.5" customHeight="1">
      <c r="A492" s="34"/>
      <c r="B492" s="34"/>
      <c r="C492" s="34"/>
      <c r="D492" s="151"/>
      <c r="E492" s="34"/>
      <c r="F492" s="32"/>
      <c r="G492" s="32"/>
      <c r="H492" s="32">
        <v>0</v>
      </c>
      <c r="I492" s="33">
        <v>0</v>
      </c>
      <c r="J492" s="33">
        <v>0</v>
      </c>
      <c r="K492" s="34">
        <v>0</v>
      </c>
      <c r="L492" s="33">
        <v>0</v>
      </c>
      <c r="M492" s="34">
        <v>0</v>
      </c>
      <c r="N492" s="34">
        <v>0</v>
      </c>
      <c r="O492" s="33">
        <v>0</v>
      </c>
      <c r="P492" s="34">
        <v>0</v>
      </c>
      <c r="Q492" s="33">
        <v>0</v>
      </c>
      <c r="R492" s="33">
        <v>0</v>
      </c>
      <c r="S492" s="33">
        <v>0</v>
      </c>
      <c r="T492" s="34">
        <v>0</v>
      </c>
      <c r="U492" s="34">
        <v>0</v>
      </c>
      <c r="V492" s="34">
        <v>0</v>
      </c>
      <c r="W492" s="34">
        <v>0</v>
      </c>
      <c r="X492" s="34">
        <v>0</v>
      </c>
      <c r="Y492" s="34">
        <v>0</v>
      </c>
      <c r="Z492" s="34"/>
      <c r="AA492" s="33">
        <v>0</v>
      </c>
      <c r="AB492" s="33">
        <v>0</v>
      </c>
      <c r="AC492" s="34">
        <v>0</v>
      </c>
      <c r="AD492" s="33">
        <v>0</v>
      </c>
      <c r="AE492" s="34">
        <v>0</v>
      </c>
      <c r="AF492" s="34">
        <v>0</v>
      </c>
      <c r="AG492" s="33">
        <v>0</v>
      </c>
      <c r="AH492" s="34">
        <v>0</v>
      </c>
      <c r="AI492" s="33">
        <v>0</v>
      </c>
      <c r="AJ492" s="33">
        <v>0</v>
      </c>
      <c r="AK492" s="33">
        <v>0</v>
      </c>
      <c r="AL492" s="34">
        <v>0</v>
      </c>
      <c r="AM492" s="34">
        <v>0</v>
      </c>
      <c r="AN492" s="34">
        <v>0</v>
      </c>
      <c r="AO492" s="34">
        <v>0</v>
      </c>
      <c r="AP492" s="34">
        <v>0</v>
      </c>
      <c r="AQ492" s="34">
        <v>0</v>
      </c>
      <c r="AR492" s="37"/>
    </row>
    <row r="493" spans="1:44" ht="19.5" customHeight="1">
      <c r="A493" s="184" t="s">
        <v>4859</v>
      </c>
      <c r="B493" s="102"/>
      <c r="C493" s="102"/>
      <c r="D493" s="101"/>
      <c r="E493" s="185"/>
      <c r="F493" s="32"/>
      <c r="G493" s="32"/>
      <c r="H493" s="32">
        <v>0</v>
      </c>
      <c r="I493" s="33">
        <v>0</v>
      </c>
      <c r="J493" s="33">
        <v>0</v>
      </c>
      <c r="K493" s="34">
        <v>0</v>
      </c>
      <c r="L493" s="33">
        <v>0</v>
      </c>
      <c r="M493" s="34">
        <v>0</v>
      </c>
      <c r="N493" s="34">
        <v>0</v>
      </c>
      <c r="O493" s="33">
        <v>0</v>
      </c>
      <c r="P493" s="34">
        <v>0</v>
      </c>
      <c r="Q493" s="33">
        <v>0</v>
      </c>
      <c r="R493" s="33">
        <v>0</v>
      </c>
      <c r="S493" s="33">
        <v>0</v>
      </c>
      <c r="T493" s="34">
        <v>0</v>
      </c>
      <c r="U493" s="34">
        <v>0</v>
      </c>
      <c r="V493" s="34">
        <v>0</v>
      </c>
      <c r="W493" s="34">
        <v>0</v>
      </c>
      <c r="X493" s="34">
        <v>0</v>
      </c>
      <c r="Y493" s="34">
        <v>0</v>
      </c>
      <c r="Z493" s="34"/>
      <c r="AA493" s="33">
        <v>0</v>
      </c>
      <c r="AB493" s="33">
        <v>0</v>
      </c>
      <c r="AC493" s="34">
        <v>0</v>
      </c>
      <c r="AD493" s="33">
        <v>0</v>
      </c>
      <c r="AE493" s="34">
        <v>0</v>
      </c>
      <c r="AF493" s="34">
        <v>0</v>
      </c>
      <c r="AG493" s="33">
        <v>0</v>
      </c>
      <c r="AH493" s="34">
        <v>0</v>
      </c>
      <c r="AI493" s="33">
        <v>0</v>
      </c>
      <c r="AJ493" s="33">
        <v>0</v>
      </c>
      <c r="AK493" s="33">
        <v>0</v>
      </c>
      <c r="AL493" s="34">
        <v>0</v>
      </c>
      <c r="AM493" s="34">
        <v>0</v>
      </c>
      <c r="AN493" s="34">
        <v>0</v>
      </c>
      <c r="AO493" s="34">
        <v>0</v>
      </c>
      <c r="AP493" s="34">
        <v>0</v>
      </c>
      <c r="AQ493" s="34">
        <v>0</v>
      </c>
      <c r="AR493" s="39"/>
    </row>
    <row r="494" spans="1:44" ht="19.5" customHeight="1">
      <c r="A494" s="26">
        <v>1</v>
      </c>
      <c r="B494" s="28" t="s">
        <v>4860</v>
      </c>
      <c r="C494" s="26" t="s">
        <v>230</v>
      </c>
      <c r="D494" s="101" t="s">
        <v>4861</v>
      </c>
      <c r="E494" s="185"/>
      <c r="F494" s="32">
        <v>120031</v>
      </c>
      <c r="G494" s="32">
        <v>21219.688910157551</v>
      </c>
      <c r="H494" s="32">
        <v>141250.68891015751</v>
      </c>
      <c r="I494" s="33">
        <v>41.748089005969682</v>
      </c>
      <c r="J494" s="33">
        <v>41.748089005969682</v>
      </c>
      <c r="K494" s="34">
        <v>13.916029668656559</v>
      </c>
      <c r="L494" s="33">
        <v>22.265647469850499</v>
      </c>
      <c r="M494" s="34">
        <v>27.832059337313119</v>
      </c>
      <c r="N494" s="34">
        <v>16.699235602387869</v>
      </c>
      <c r="O494" s="33">
        <v>16.699235602387869</v>
      </c>
      <c r="P494" s="34">
        <v>33.398471204775753</v>
      </c>
      <c r="Q494" s="33">
        <v>27.832059337313119</v>
      </c>
      <c r="R494" s="33">
        <v>33.398471204775753</v>
      </c>
      <c r="S494" s="33">
        <v>19.48244153611919</v>
      </c>
      <c r="T494" s="34">
        <v>19.48244153611919</v>
      </c>
      <c r="U494" s="34">
        <v>8.3496178011939364</v>
      </c>
      <c r="V494" s="34">
        <v>13.916029668656559</v>
      </c>
      <c r="W494" s="34">
        <v>8.3496178011939364</v>
      </c>
      <c r="X494" s="34">
        <v>83.496178011939364</v>
      </c>
      <c r="Y494" s="34">
        <v>44.531294939700999</v>
      </c>
      <c r="Z494" s="34"/>
      <c r="AA494" s="33">
        <v>7.3804388974535353</v>
      </c>
      <c r="AB494" s="33">
        <v>7.3804388974535353</v>
      </c>
      <c r="AC494" s="34">
        <v>2.460146299151178</v>
      </c>
      <c r="AD494" s="33">
        <v>3.9362340786418848</v>
      </c>
      <c r="AE494" s="34">
        <v>4.920292598302356</v>
      </c>
      <c r="AF494" s="34">
        <v>2.952175558981414</v>
      </c>
      <c r="AG494" s="33">
        <v>2.952175558981414</v>
      </c>
      <c r="AH494" s="34">
        <v>5.9043511179628281</v>
      </c>
      <c r="AI494" s="33">
        <v>4.920292598302356</v>
      </c>
      <c r="AJ494" s="33">
        <v>5.9043511179628281</v>
      </c>
      <c r="AK494" s="33">
        <v>3.4442048188116501</v>
      </c>
      <c r="AL494" s="34">
        <v>3.4442048188116501</v>
      </c>
      <c r="AM494" s="34">
        <v>1.476087779490707</v>
      </c>
      <c r="AN494" s="34">
        <v>2.460146299151178</v>
      </c>
      <c r="AO494" s="34">
        <v>1.476087779490707</v>
      </c>
      <c r="AP494" s="34">
        <v>14.760877794907071</v>
      </c>
      <c r="AQ494" s="34">
        <v>7.8724681572837696</v>
      </c>
      <c r="AR494" s="39"/>
    </row>
    <row r="495" spans="1:44" ht="19.5" customHeight="1">
      <c r="A495" s="26">
        <f t="shared" ref="A495:A496" si="52">A494+1</f>
        <v>2</v>
      </c>
      <c r="B495" s="41" t="s">
        <v>133</v>
      </c>
      <c r="C495" s="26" t="s">
        <v>94</v>
      </c>
      <c r="D495" s="101" t="s">
        <v>4862</v>
      </c>
      <c r="E495" s="185"/>
      <c r="F495" s="32">
        <v>0</v>
      </c>
      <c r="G495" s="32">
        <v>0</v>
      </c>
      <c r="H495" s="32">
        <v>0</v>
      </c>
      <c r="I495" s="53">
        <v>0</v>
      </c>
      <c r="J495" s="53">
        <v>0</v>
      </c>
      <c r="K495" s="54">
        <v>0</v>
      </c>
      <c r="L495" s="53">
        <v>0</v>
      </c>
      <c r="M495" s="54">
        <v>0</v>
      </c>
      <c r="N495" s="54">
        <v>0</v>
      </c>
      <c r="O495" s="53">
        <v>0</v>
      </c>
      <c r="P495" s="54">
        <v>0</v>
      </c>
      <c r="Q495" s="53">
        <v>0</v>
      </c>
      <c r="R495" s="53">
        <v>0</v>
      </c>
      <c r="S495" s="53">
        <v>0</v>
      </c>
      <c r="T495" s="54">
        <v>0</v>
      </c>
      <c r="U495" s="54">
        <v>0</v>
      </c>
      <c r="V495" s="54">
        <v>0</v>
      </c>
      <c r="W495" s="54">
        <v>0</v>
      </c>
      <c r="X495" s="54">
        <v>0</v>
      </c>
      <c r="Y495" s="54">
        <v>0</v>
      </c>
      <c r="Z495" s="54"/>
      <c r="AA495" s="53">
        <v>0</v>
      </c>
      <c r="AB495" s="53">
        <v>0</v>
      </c>
      <c r="AC495" s="54">
        <v>0</v>
      </c>
      <c r="AD495" s="53">
        <v>0</v>
      </c>
      <c r="AE495" s="54">
        <v>0</v>
      </c>
      <c r="AF495" s="54">
        <v>0</v>
      </c>
      <c r="AG495" s="53">
        <v>0</v>
      </c>
      <c r="AH495" s="54">
        <v>0</v>
      </c>
      <c r="AI495" s="53">
        <v>0</v>
      </c>
      <c r="AJ495" s="53">
        <v>0</v>
      </c>
      <c r="AK495" s="53">
        <v>0</v>
      </c>
      <c r="AL495" s="54">
        <v>0</v>
      </c>
      <c r="AM495" s="54">
        <v>0</v>
      </c>
      <c r="AN495" s="54">
        <v>0</v>
      </c>
      <c r="AO495" s="54">
        <v>0</v>
      </c>
      <c r="AP495" s="54">
        <v>0</v>
      </c>
      <c r="AQ495" s="54">
        <v>0</v>
      </c>
      <c r="AR495" s="39"/>
    </row>
    <row r="496" spans="1:44" ht="19.5" customHeight="1">
      <c r="A496" s="185">
        <f t="shared" si="52"/>
        <v>3</v>
      </c>
      <c r="B496" s="101" t="s">
        <v>4863</v>
      </c>
      <c r="C496" s="58" t="s">
        <v>362</v>
      </c>
      <c r="D496" s="101" t="s">
        <v>4864</v>
      </c>
      <c r="E496" s="185"/>
      <c r="F496" s="32">
        <v>121820.6925576628</v>
      </c>
      <c r="G496" s="32">
        <v>21644.082688360701</v>
      </c>
      <c r="H496" s="32">
        <v>143464.77524602349</v>
      </c>
      <c r="I496" s="33">
        <v>42.370563568296333</v>
      </c>
      <c r="J496" s="33">
        <v>42.370563568296333</v>
      </c>
      <c r="K496" s="34">
        <v>14.123521189432109</v>
      </c>
      <c r="L496" s="33">
        <v>22.597633903091371</v>
      </c>
      <c r="M496" s="34">
        <v>28.247042378864212</v>
      </c>
      <c r="N496" s="34">
        <v>16.94822542731853</v>
      </c>
      <c r="O496" s="33">
        <v>16.94822542731853</v>
      </c>
      <c r="P496" s="34">
        <v>33.89645085463706</v>
      </c>
      <c r="Q496" s="33">
        <v>28.247042378864212</v>
      </c>
      <c r="R496" s="33">
        <v>33.89645085463706</v>
      </c>
      <c r="S496" s="33">
        <v>19.772929665204948</v>
      </c>
      <c r="T496" s="34">
        <v>19.772929665204948</v>
      </c>
      <c r="U496" s="34">
        <v>8.4741127136592649</v>
      </c>
      <c r="V496" s="34">
        <v>14.123521189432109</v>
      </c>
      <c r="W496" s="34">
        <v>8.4741127136592649</v>
      </c>
      <c r="X496" s="34">
        <v>84.741127136592652</v>
      </c>
      <c r="Y496" s="34">
        <v>45.195267806182748</v>
      </c>
      <c r="Z496" s="34"/>
      <c r="AA496" s="33">
        <v>7.5280476754026058</v>
      </c>
      <c r="AB496" s="33">
        <v>7.5280476754026058</v>
      </c>
      <c r="AC496" s="34">
        <v>2.5093492251342022</v>
      </c>
      <c r="AD496" s="33">
        <v>4.0149587602147232</v>
      </c>
      <c r="AE496" s="34">
        <v>5.0186984502684044</v>
      </c>
      <c r="AF496" s="34">
        <v>3.011219070161042</v>
      </c>
      <c r="AG496" s="33">
        <v>3.011219070161042</v>
      </c>
      <c r="AH496" s="34">
        <v>6.0224381403220848</v>
      </c>
      <c r="AI496" s="33">
        <v>5.0186984502684044</v>
      </c>
      <c r="AJ496" s="33">
        <v>6.0224381403220848</v>
      </c>
      <c r="AK496" s="33">
        <v>3.513088915187883</v>
      </c>
      <c r="AL496" s="34">
        <v>3.513088915187883</v>
      </c>
      <c r="AM496" s="34">
        <v>1.505609535080521</v>
      </c>
      <c r="AN496" s="34">
        <v>2.5093492251342022</v>
      </c>
      <c r="AO496" s="34">
        <v>1.505609535080521</v>
      </c>
      <c r="AP496" s="34">
        <v>15.05609535080521</v>
      </c>
      <c r="AQ496" s="34">
        <v>8.0299175204294464</v>
      </c>
      <c r="AR496" s="39"/>
    </row>
    <row r="497" spans="1:44" ht="19.5" customHeight="1">
      <c r="A497" s="49"/>
      <c r="B497" s="50" t="s">
        <v>2052</v>
      </c>
      <c r="C497" s="232" t="s">
        <v>389</v>
      </c>
      <c r="D497" s="137" t="s">
        <v>4865</v>
      </c>
      <c r="E497" s="232">
        <v>3</v>
      </c>
      <c r="F497" s="52">
        <v>241851.69255766281</v>
      </c>
      <c r="G497" s="52">
        <v>42863.771598518251</v>
      </c>
      <c r="H497" s="52">
        <v>284715.46415618109</v>
      </c>
      <c r="I497" s="33">
        <v>84.118652574266022</v>
      </c>
      <c r="J497" s="33">
        <v>84.118652574266022</v>
      </c>
      <c r="K497" s="34">
        <v>28.039550858088671</v>
      </c>
      <c r="L497" s="33">
        <v>44.863281372941877</v>
      </c>
      <c r="M497" s="34">
        <v>56.079101716177327</v>
      </c>
      <c r="N497" s="34">
        <v>33.647461029706413</v>
      </c>
      <c r="O497" s="33">
        <v>33.647461029706413</v>
      </c>
      <c r="P497" s="34">
        <v>67.294922059412812</v>
      </c>
      <c r="Q497" s="33">
        <v>56.079101716177327</v>
      </c>
      <c r="R497" s="33">
        <v>67.294922059412812</v>
      </c>
      <c r="S497" s="33">
        <v>39.255371201324138</v>
      </c>
      <c r="T497" s="34">
        <v>39.255371201324138</v>
      </c>
      <c r="U497" s="34">
        <v>16.823730514853199</v>
      </c>
      <c r="V497" s="34">
        <v>28.039550858088671</v>
      </c>
      <c r="W497" s="34">
        <v>16.823730514853199</v>
      </c>
      <c r="X497" s="34">
        <v>168.23730514853199</v>
      </c>
      <c r="Y497" s="34">
        <v>89.726562745883754</v>
      </c>
      <c r="Z497" s="34"/>
      <c r="AA497" s="33">
        <v>14.908486572856139</v>
      </c>
      <c r="AB497" s="33">
        <v>14.908486572856139</v>
      </c>
      <c r="AC497" s="34">
        <v>4.9694955242853798</v>
      </c>
      <c r="AD497" s="33">
        <v>7.9511928388566089</v>
      </c>
      <c r="AE497" s="34">
        <v>9.9389910485707595</v>
      </c>
      <c r="AF497" s="34">
        <v>5.9633946291424564</v>
      </c>
      <c r="AG497" s="33">
        <v>5.9633946291424564</v>
      </c>
      <c r="AH497" s="34">
        <v>11.926789258284909</v>
      </c>
      <c r="AI497" s="33">
        <v>9.9389910485707595</v>
      </c>
      <c r="AJ497" s="33">
        <v>11.926789258284909</v>
      </c>
      <c r="AK497" s="33">
        <v>6.9572937339995322</v>
      </c>
      <c r="AL497" s="34">
        <v>6.9572937339995322</v>
      </c>
      <c r="AM497" s="34">
        <v>2.9816973145712282</v>
      </c>
      <c r="AN497" s="34">
        <v>4.9694955242853798</v>
      </c>
      <c r="AO497" s="34">
        <v>2.9816973145712282</v>
      </c>
      <c r="AP497" s="34">
        <v>29.816973145712279</v>
      </c>
      <c r="AQ497" s="34">
        <v>15.90238567771322</v>
      </c>
      <c r="AR497" s="37"/>
    </row>
    <row r="498" spans="1:44" ht="19.5" customHeight="1">
      <c r="A498" s="207">
        <f>A496+1</f>
        <v>4</v>
      </c>
      <c r="B498" s="101" t="s">
        <v>4866</v>
      </c>
      <c r="C498" s="185" t="s">
        <v>230</v>
      </c>
      <c r="D498" s="101" t="s">
        <v>4867</v>
      </c>
      <c r="E498" s="185"/>
      <c r="F498" s="32">
        <v>102505</v>
      </c>
      <c r="G498" s="32">
        <v>16233.062016270531</v>
      </c>
      <c r="H498" s="32">
        <v>118738.0620162705</v>
      </c>
      <c r="I498" s="33">
        <v>35.652355337845407</v>
      </c>
      <c r="J498" s="33">
        <v>35.652355337845407</v>
      </c>
      <c r="K498" s="34">
        <v>11.88411844594847</v>
      </c>
      <c r="L498" s="33">
        <v>19.014589513517549</v>
      </c>
      <c r="M498" s="34">
        <v>23.76823689189694</v>
      </c>
      <c r="N498" s="34">
        <v>14.26094213513816</v>
      </c>
      <c r="O498" s="33">
        <v>14.26094213513816</v>
      </c>
      <c r="P498" s="34">
        <v>28.521884270276331</v>
      </c>
      <c r="Q498" s="33">
        <v>23.76823689189694</v>
      </c>
      <c r="R498" s="33">
        <v>28.521884270276331</v>
      </c>
      <c r="S498" s="33">
        <v>16.637765824327861</v>
      </c>
      <c r="T498" s="34">
        <v>16.637765824327861</v>
      </c>
      <c r="U498" s="34">
        <v>7.1304710675690819</v>
      </c>
      <c r="V498" s="34">
        <v>11.88411844594847</v>
      </c>
      <c r="W498" s="34">
        <v>7.1304710675690819</v>
      </c>
      <c r="X498" s="34">
        <v>71.304710675690814</v>
      </c>
      <c r="Y498" s="34">
        <v>38.029179027035113</v>
      </c>
      <c r="Z498" s="34"/>
      <c r="AA498" s="33">
        <v>5.6460357565519539</v>
      </c>
      <c r="AB498" s="33">
        <v>5.6460357565519539</v>
      </c>
      <c r="AC498" s="34">
        <v>1.882011918850651</v>
      </c>
      <c r="AD498" s="33">
        <v>3.011219070161042</v>
      </c>
      <c r="AE498" s="34">
        <v>3.764023837701302</v>
      </c>
      <c r="AF498" s="34">
        <v>2.258414302620781</v>
      </c>
      <c r="AG498" s="33">
        <v>2.258414302620781</v>
      </c>
      <c r="AH498" s="34">
        <v>4.5168286052415629</v>
      </c>
      <c r="AI498" s="33">
        <v>3.764023837701302</v>
      </c>
      <c r="AJ498" s="33">
        <v>4.5168286052415629</v>
      </c>
      <c r="AK498" s="33">
        <v>2.6348166863909119</v>
      </c>
      <c r="AL498" s="34">
        <v>2.6348166863909119</v>
      </c>
      <c r="AM498" s="34">
        <v>1.129207151310391</v>
      </c>
      <c r="AN498" s="34">
        <v>1.882011918850651</v>
      </c>
      <c r="AO498" s="34">
        <v>1.129207151310391</v>
      </c>
      <c r="AP498" s="34">
        <v>11.29207151310391</v>
      </c>
      <c r="AQ498" s="34">
        <v>6.0224381403220839</v>
      </c>
      <c r="AR498" s="39"/>
    </row>
    <row r="499" spans="1:44" ht="19.5" customHeight="1">
      <c r="A499" s="207">
        <f t="shared" ref="A499:A502" si="53">A498+1</f>
        <v>5</v>
      </c>
      <c r="B499" s="101" t="s">
        <v>4868</v>
      </c>
      <c r="C499" s="185" t="s">
        <v>230</v>
      </c>
      <c r="D499" s="101" t="s">
        <v>4869</v>
      </c>
      <c r="E499" s="185"/>
      <c r="F499" s="32">
        <v>102505</v>
      </c>
      <c r="G499" s="32">
        <v>16233.062016270531</v>
      </c>
      <c r="H499" s="32">
        <v>118738.0620162705</v>
      </c>
      <c r="I499" s="33">
        <v>35.652355337845407</v>
      </c>
      <c r="J499" s="33">
        <v>35.652355337845407</v>
      </c>
      <c r="K499" s="34">
        <v>11.88411844594847</v>
      </c>
      <c r="L499" s="33">
        <v>19.014589513517549</v>
      </c>
      <c r="M499" s="34">
        <v>23.76823689189694</v>
      </c>
      <c r="N499" s="34">
        <v>14.26094213513816</v>
      </c>
      <c r="O499" s="33">
        <v>14.26094213513816</v>
      </c>
      <c r="P499" s="34">
        <v>28.521884270276331</v>
      </c>
      <c r="Q499" s="33">
        <v>23.76823689189694</v>
      </c>
      <c r="R499" s="33">
        <v>28.521884270276331</v>
      </c>
      <c r="S499" s="33">
        <v>16.637765824327861</v>
      </c>
      <c r="T499" s="34">
        <v>16.637765824327861</v>
      </c>
      <c r="U499" s="34">
        <v>7.1304710675690819</v>
      </c>
      <c r="V499" s="34">
        <v>11.88411844594847</v>
      </c>
      <c r="W499" s="34">
        <v>7.1304710675690819</v>
      </c>
      <c r="X499" s="34">
        <v>71.304710675690814</v>
      </c>
      <c r="Y499" s="34">
        <v>38.029179027035113</v>
      </c>
      <c r="Z499" s="34"/>
      <c r="AA499" s="33">
        <v>5.6460357565519539</v>
      </c>
      <c r="AB499" s="33">
        <v>5.6460357565519539</v>
      </c>
      <c r="AC499" s="34">
        <v>1.882011918850651</v>
      </c>
      <c r="AD499" s="33">
        <v>3.011219070161042</v>
      </c>
      <c r="AE499" s="34">
        <v>3.764023837701302</v>
      </c>
      <c r="AF499" s="34">
        <v>2.258414302620781</v>
      </c>
      <c r="AG499" s="33">
        <v>2.258414302620781</v>
      </c>
      <c r="AH499" s="34">
        <v>4.5168286052415629</v>
      </c>
      <c r="AI499" s="33">
        <v>3.764023837701302</v>
      </c>
      <c r="AJ499" s="33">
        <v>4.5168286052415629</v>
      </c>
      <c r="AK499" s="33">
        <v>2.6348166863909119</v>
      </c>
      <c r="AL499" s="34">
        <v>2.6348166863909119</v>
      </c>
      <c r="AM499" s="34">
        <v>1.129207151310391</v>
      </c>
      <c r="AN499" s="34">
        <v>1.882011918850651</v>
      </c>
      <c r="AO499" s="34">
        <v>1.129207151310391</v>
      </c>
      <c r="AP499" s="34">
        <v>11.29207151310391</v>
      </c>
      <c r="AQ499" s="34">
        <v>6.0224381403220839</v>
      </c>
      <c r="AR499" s="39"/>
    </row>
    <row r="500" spans="1:44" ht="19.5" customHeight="1">
      <c r="A500" s="207">
        <f t="shared" si="53"/>
        <v>6</v>
      </c>
      <c r="B500" s="101" t="s">
        <v>4870</v>
      </c>
      <c r="C500" s="185" t="s">
        <v>159</v>
      </c>
      <c r="D500" s="101" t="s">
        <v>4871</v>
      </c>
      <c r="E500" s="185"/>
      <c r="F500" s="32">
        <v>102505</v>
      </c>
      <c r="G500" s="32">
        <v>16233.062016270531</v>
      </c>
      <c r="H500" s="32">
        <v>118738.0620162705</v>
      </c>
      <c r="I500" s="33">
        <v>35.652355337845407</v>
      </c>
      <c r="J500" s="33">
        <v>35.652355337845407</v>
      </c>
      <c r="K500" s="34">
        <v>11.88411844594847</v>
      </c>
      <c r="L500" s="33">
        <v>19.014589513517549</v>
      </c>
      <c r="M500" s="34">
        <v>23.76823689189694</v>
      </c>
      <c r="N500" s="34">
        <v>14.26094213513816</v>
      </c>
      <c r="O500" s="33">
        <v>14.26094213513816</v>
      </c>
      <c r="P500" s="34">
        <v>28.521884270276331</v>
      </c>
      <c r="Q500" s="33">
        <v>23.76823689189694</v>
      </c>
      <c r="R500" s="33">
        <v>28.521884270276331</v>
      </c>
      <c r="S500" s="33">
        <v>16.637765824327861</v>
      </c>
      <c r="T500" s="34">
        <v>16.637765824327861</v>
      </c>
      <c r="U500" s="34">
        <v>7.1304710675690819</v>
      </c>
      <c r="V500" s="34">
        <v>11.88411844594847</v>
      </c>
      <c r="W500" s="34">
        <v>7.1304710675690819</v>
      </c>
      <c r="X500" s="34">
        <v>71.304710675690814</v>
      </c>
      <c r="Y500" s="34">
        <v>38.029179027035113</v>
      </c>
      <c r="Z500" s="34"/>
      <c r="AA500" s="33">
        <v>5.6460357565519539</v>
      </c>
      <c r="AB500" s="33">
        <v>5.6460357565519539</v>
      </c>
      <c r="AC500" s="34">
        <v>1.882011918850651</v>
      </c>
      <c r="AD500" s="33">
        <v>3.011219070161042</v>
      </c>
      <c r="AE500" s="34">
        <v>3.764023837701302</v>
      </c>
      <c r="AF500" s="34">
        <v>2.258414302620781</v>
      </c>
      <c r="AG500" s="33">
        <v>2.258414302620781</v>
      </c>
      <c r="AH500" s="34">
        <v>4.5168286052415629</v>
      </c>
      <c r="AI500" s="33">
        <v>3.764023837701302</v>
      </c>
      <c r="AJ500" s="33">
        <v>4.5168286052415629</v>
      </c>
      <c r="AK500" s="33">
        <v>2.6348166863909119</v>
      </c>
      <c r="AL500" s="34">
        <v>2.6348166863909119</v>
      </c>
      <c r="AM500" s="34">
        <v>1.129207151310391</v>
      </c>
      <c r="AN500" s="34">
        <v>1.882011918850651</v>
      </c>
      <c r="AO500" s="34">
        <v>1.129207151310391</v>
      </c>
      <c r="AP500" s="34">
        <v>11.29207151310391</v>
      </c>
      <c r="AQ500" s="34">
        <v>6.0224381403220839</v>
      </c>
      <c r="AR500" s="39"/>
    </row>
    <row r="501" spans="1:44" ht="19.5" customHeight="1">
      <c r="A501" s="207">
        <f t="shared" si="53"/>
        <v>7</v>
      </c>
      <c r="B501" s="41" t="s">
        <v>133</v>
      </c>
      <c r="C501" s="26" t="s">
        <v>94</v>
      </c>
      <c r="D501" s="101" t="s">
        <v>4872</v>
      </c>
      <c r="E501" s="185"/>
      <c r="F501" s="32">
        <v>14452</v>
      </c>
      <c r="G501" s="32">
        <v>21219.688910157551</v>
      </c>
      <c r="H501" s="32">
        <v>35671.688910157551</v>
      </c>
      <c r="I501" s="53">
        <v>5.0265629905130664</v>
      </c>
      <c r="J501" s="53">
        <v>5.0265629905130664</v>
      </c>
      <c r="K501" s="54">
        <v>1.675520996837689</v>
      </c>
      <c r="L501" s="53">
        <v>2.6808335949403022</v>
      </c>
      <c r="M501" s="54">
        <v>3.351041993675377</v>
      </c>
      <c r="N501" s="54">
        <v>2.0106251962052268</v>
      </c>
      <c r="O501" s="53">
        <v>2.0106251962052268</v>
      </c>
      <c r="P501" s="54">
        <v>4.0212503924104537</v>
      </c>
      <c r="Q501" s="53">
        <v>3.351041993675377</v>
      </c>
      <c r="R501" s="53">
        <v>4.0212503924104537</v>
      </c>
      <c r="S501" s="53">
        <v>2.3457293955727638</v>
      </c>
      <c r="T501" s="54">
        <v>2.3457293955727638</v>
      </c>
      <c r="U501" s="54">
        <v>1.005312598102613</v>
      </c>
      <c r="V501" s="54">
        <v>1.675520996837689</v>
      </c>
      <c r="W501" s="54">
        <v>1.005312598102613</v>
      </c>
      <c r="X501" s="54">
        <v>10.053125981026129</v>
      </c>
      <c r="Y501" s="54">
        <v>5.3616671898806043</v>
      </c>
      <c r="Z501" s="54"/>
      <c r="AA501" s="53">
        <v>7.3804388974535353</v>
      </c>
      <c r="AB501" s="53">
        <v>7.3804388974535353</v>
      </c>
      <c r="AC501" s="54">
        <v>2.460146299151178</v>
      </c>
      <c r="AD501" s="53">
        <v>3.9362340786418848</v>
      </c>
      <c r="AE501" s="54">
        <v>4.920292598302356</v>
      </c>
      <c r="AF501" s="54">
        <v>2.952175558981414</v>
      </c>
      <c r="AG501" s="53">
        <v>2.952175558981414</v>
      </c>
      <c r="AH501" s="54">
        <v>5.9043511179628281</v>
      </c>
      <c r="AI501" s="53">
        <v>4.920292598302356</v>
      </c>
      <c r="AJ501" s="53">
        <v>5.9043511179628281</v>
      </c>
      <c r="AK501" s="53">
        <v>3.4442048188116501</v>
      </c>
      <c r="AL501" s="54">
        <v>3.4442048188116501</v>
      </c>
      <c r="AM501" s="54">
        <v>1.476087779490707</v>
      </c>
      <c r="AN501" s="54">
        <v>2.460146299151178</v>
      </c>
      <c r="AO501" s="54">
        <v>1.476087779490707</v>
      </c>
      <c r="AP501" s="54">
        <v>14.760877794907071</v>
      </c>
      <c r="AQ501" s="54">
        <v>7.8724681572837696</v>
      </c>
      <c r="AR501" s="39"/>
    </row>
    <row r="502" spans="1:44" ht="19.5" customHeight="1">
      <c r="A502" s="55">
        <f t="shared" si="53"/>
        <v>8</v>
      </c>
      <c r="B502" s="41" t="s">
        <v>133</v>
      </c>
      <c r="C502" s="26" t="s">
        <v>94</v>
      </c>
      <c r="D502" s="28" t="s">
        <v>4873</v>
      </c>
      <c r="E502" s="30"/>
      <c r="F502" s="32">
        <v>0</v>
      </c>
      <c r="G502" s="32">
        <v>22811.165578419372</v>
      </c>
      <c r="H502" s="32">
        <v>22811.165578419372</v>
      </c>
      <c r="I502" s="53">
        <v>0</v>
      </c>
      <c r="J502" s="53">
        <v>0</v>
      </c>
      <c r="K502" s="54">
        <v>0</v>
      </c>
      <c r="L502" s="53">
        <v>0</v>
      </c>
      <c r="M502" s="54">
        <v>0</v>
      </c>
      <c r="N502" s="54">
        <v>0</v>
      </c>
      <c r="O502" s="53">
        <v>0</v>
      </c>
      <c r="P502" s="54">
        <v>0</v>
      </c>
      <c r="Q502" s="53">
        <v>0</v>
      </c>
      <c r="R502" s="53">
        <v>0</v>
      </c>
      <c r="S502" s="53">
        <v>0</v>
      </c>
      <c r="T502" s="54">
        <v>0</v>
      </c>
      <c r="U502" s="54">
        <v>0</v>
      </c>
      <c r="V502" s="54">
        <v>0</v>
      </c>
      <c r="W502" s="54">
        <v>0</v>
      </c>
      <c r="X502" s="54">
        <v>0</v>
      </c>
      <c r="Y502" s="54">
        <v>0</v>
      </c>
      <c r="Z502" s="34"/>
      <c r="AA502" s="33">
        <v>7.9339718147625513</v>
      </c>
      <c r="AB502" s="33">
        <v>7.9339718147625513</v>
      </c>
      <c r="AC502" s="34">
        <v>2.644657271587517</v>
      </c>
      <c r="AD502" s="33">
        <v>4.2314516345400266</v>
      </c>
      <c r="AE502" s="34">
        <v>5.289314543175033</v>
      </c>
      <c r="AF502" s="34">
        <v>3.1735887259050211</v>
      </c>
      <c r="AG502" s="33">
        <v>3.1735887259050211</v>
      </c>
      <c r="AH502" s="34">
        <v>6.3471774518100412</v>
      </c>
      <c r="AI502" s="33">
        <v>5.289314543175033</v>
      </c>
      <c r="AJ502" s="33">
        <v>6.3471774518100412</v>
      </c>
      <c r="AK502" s="33">
        <v>3.7025201802225238</v>
      </c>
      <c r="AL502" s="34">
        <v>3.7025201802225238</v>
      </c>
      <c r="AM502" s="34">
        <v>1.5867943629525101</v>
      </c>
      <c r="AN502" s="34">
        <v>2.644657271587517</v>
      </c>
      <c r="AO502" s="34">
        <v>1.5867943629525101</v>
      </c>
      <c r="AP502" s="34">
        <v>15.867943629525101</v>
      </c>
      <c r="AQ502" s="34">
        <v>8.462903269080055</v>
      </c>
      <c r="AR502" s="39"/>
    </row>
    <row r="503" spans="1:44" ht="19.5" customHeight="1">
      <c r="A503" s="232"/>
      <c r="B503" s="137" t="s">
        <v>4874</v>
      </c>
      <c r="C503" s="232" t="s">
        <v>997</v>
      </c>
      <c r="D503" s="137" t="s">
        <v>4875</v>
      </c>
      <c r="E503" s="232">
        <v>5</v>
      </c>
      <c r="F503" s="52">
        <v>321967</v>
      </c>
      <c r="G503" s="52">
        <v>92730.040537388501</v>
      </c>
      <c r="H503" s="52">
        <v>414697.04053738847</v>
      </c>
      <c r="I503" s="33">
        <v>111.98362900404931</v>
      </c>
      <c r="J503" s="33">
        <v>111.98362900404931</v>
      </c>
      <c r="K503" s="34">
        <v>37.327876334683097</v>
      </c>
      <c r="L503" s="33">
        <v>59.724602135492958</v>
      </c>
      <c r="M503" s="34">
        <v>74.655752669366194</v>
      </c>
      <c r="N503" s="34">
        <v>44.793451601619722</v>
      </c>
      <c r="O503" s="33">
        <v>44.793451601619722</v>
      </c>
      <c r="P503" s="34">
        <v>89.586903203239444</v>
      </c>
      <c r="Q503" s="33">
        <v>74.655752669366194</v>
      </c>
      <c r="R503" s="33">
        <v>89.586903203239444</v>
      </c>
      <c r="S503" s="33">
        <v>52.25902686855634</v>
      </c>
      <c r="T503" s="34">
        <v>52.25902686855634</v>
      </c>
      <c r="U503" s="34">
        <v>22.396725800809861</v>
      </c>
      <c r="V503" s="34">
        <v>37.327876334683097</v>
      </c>
      <c r="W503" s="34">
        <v>22.396725800809861</v>
      </c>
      <c r="X503" s="34">
        <v>223.96725800809861</v>
      </c>
      <c r="Y503" s="34">
        <v>119.4492042709859</v>
      </c>
      <c r="Z503" s="34"/>
      <c r="AA503" s="33">
        <v>32.252517981871947</v>
      </c>
      <c r="AB503" s="33">
        <v>32.252517981871947</v>
      </c>
      <c r="AC503" s="34">
        <v>10.750839327290651</v>
      </c>
      <c r="AD503" s="33">
        <v>17.201342923665042</v>
      </c>
      <c r="AE503" s="34">
        <v>21.501678654581301</v>
      </c>
      <c r="AF503" s="34">
        <v>12.90100719274878</v>
      </c>
      <c r="AG503" s="33">
        <v>12.90100719274878</v>
      </c>
      <c r="AH503" s="34">
        <v>25.802014385497561</v>
      </c>
      <c r="AI503" s="33">
        <v>21.501678654581301</v>
      </c>
      <c r="AJ503" s="33">
        <v>25.802014385497561</v>
      </c>
      <c r="AK503" s="33">
        <v>15.05117505820691</v>
      </c>
      <c r="AL503" s="34">
        <v>15.05117505820691</v>
      </c>
      <c r="AM503" s="34">
        <v>6.4505035963743902</v>
      </c>
      <c r="AN503" s="34">
        <v>10.750839327290651</v>
      </c>
      <c r="AO503" s="34">
        <v>6.4505035963743902</v>
      </c>
      <c r="AP503" s="34">
        <v>64.505035963743893</v>
      </c>
      <c r="AQ503" s="34">
        <v>34.402685847330083</v>
      </c>
      <c r="AR503" s="37"/>
    </row>
    <row r="504" spans="1:44" ht="19.5" customHeight="1">
      <c r="A504" s="123"/>
      <c r="B504" s="122" t="s">
        <v>4874</v>
      </c>
      <c r="C504" s="123" t="s">
        <v>997</v>
      </c>
      <c r="D504" s="122" t="s">
        <v>4875</v>
      </c>
      <c r="E504" s="123">
        <f>E503+E497</f>
        <v>8</v>
      </c>
      <c r="F504" s="144">
        <v>563818.69255766284</v>
      </c>
      <c r="G504" s="144">
        <v>135593.81213590669</v>
      </c>
      <c r="H504" s="144">
        <v>699412.50469356962</v>
      </c>
      <c r="I504" s="33">
        <v>196.10228157831531</v>
      </c>
      <c r="J504" s="33">
        <v>196.10228157831531</v>
      </c>
      <c r="K504" s="34">
        <v>65.367427192771771</v>
      </c>
      <c r="L504" s="33">
        <v>104.5878835084348</v>
      </c>
      <c r="M504" s="34">
        <v>130.73485438554351</v>
      </c>
      <c r="N504" s="34">
        <v>78.440912631326128</v>
      </c>
      <c r="O504" s="33">
        <v>78.440912631326128</v>
      </c>
      <c r="P504" s="34">
        <v>156.88182526265231</v>
      </c>
      <c r="Q504" s="33">
        <v>130.73485438554351</v>
      </c>
      <c r="R504" s="33">
        <v>156.88182526265231</v>
      </c>
      <c r="S504" s="33">
        <v>91.514398069880485</v>
      </c>
      <c r="T504" s="34">
        <v>91.514398069880485</v>
      </c>
      <c r="U504" s="34">
        <v>39.220456315663057</v>
      </c>
      <c r="V504" s="34">
        <v>65.367427192771771</v>
      </c>
      <c r="W504" s="34">
        <v>39.220456315663057</v>
      </c>
      <c r="X504" s="34">
        <v>392.20456315663063</v>
      </c>
      <c r="Y504" s="34">
        <v>209.17576701686971</v>
      </c>
      <c r="Z504" s="54"/>
      <c r="AA504" s="33">
        <v>47.161004554728088</v>
      </c>
      <c r="AB504" s="33">
        <v>47.161004554728088</v>
      </c>
      <c r="AC504" s="34">
        <v>15.72033485157603</v>
      </c>
      <c r="AD504" s="33">
        <v>25.152535762521641</v>
      </c>
      <c r="AE504" s="34">
        <v>31.44066970315205</v>
      </c>
      <c r="AF504" s="34">
        <v>18.864401821891239</v>
      </c>
      <c r="AG504" s="33">
        <v>18.864401821891239</v>
      </c>
      <c r="AH504" s="34">
        <v>37.72880364378247</v>
      </c>
      <c r="AI504" s="33">
        <v>31.44066970315205</v>
      </c>
      <c r="AJ504" s="33">
        <v>37.72880364378247</v>
      </c>
      <c r="AK504" s="33">
        <v>22.00846879220644</v>
      </c>
      <c r="AL504" s="34">
        <v>22.00846879220644</v>
      </c>
      <c r="AM504" s="34">
        <v>9.4322009109456175</v>
      </c>
      <c r="AN504" s="34">
        <v>15.72033485157603</v>
      </c>
      <c r="AO504" s="34">
        <v>9.4322009109456175</v>
      </c>
      <c r="AP504" s="34">
        <v>94.322009109456175</v>
      </c>
      <c r="AQ504" s="34">
        <v>50.305071525043289</v>
      </c>
      <c r="AR504" s="39"/>
    </row>
    <row r="505" spans="1:44" ht="19.5" customHeight="1">
      <c r="A505" s="55">
        <f>A502+1</f>
        <v>9</v>
      </c>
      <c r="B505" s="129" t="s">
        <v>133</v>
      </c>
      <c r="C505" s="26" t="s">
        <v>94</v>
      </c>
      <c r="D505" s="28" t="s">
        <v>4876</v>
      </c>
      <c r="E505" s="185"/>
      <c r="F505" s="32">
        <v>5226.1129368366728</v>
      </c>
      <c r="G505" s="32">
        <v>0</v>
      </c>
      <c r="H505" s="32">
        <v>5226.1129368366728</v>
      </c>
      <c r="I505" s="33">
        <v>1.817698994778908</v>
      </c>
      <c r="J505" s="33">
        <v>1.817698994778908</v>
      </c>
      <c r="K505" s="34">
        <v>0.60589966492630243</v>
      </c>
      <c r="L505" s="33">
        <v>0.96943946388208402</v>
      </c>
      <c r="M505" s="34">
        <v>1.2117993298526051</v>
      </c>
      <c r="N505" s="34">
        <v>0.72707959791156307</v>
      </c>
      <c r="O505" s="33">
        <v>0.72707959791156307</v>
      </c>
      <c r="P505" s="34">
        <v>1.4541591958231259</v>
      </c>
      <c r="Q505" s="33">
        <v>1.2117993298526051</v>
      </c>
      <c r="R505" s="33">
        <v>1.4541591958231259</v>
      </c>
      <c r="S505" s="33">
        <v>0.84825953089682349</v>
      </c>
      <c r="T505" s="34">
        <v>0.84825953089682349</v>
      </c>
      <c r="U505" s="34">
        <v>0.36353979895578148</v>
      </c>
      <c r="V505" s="34">
        <v>0.60589966492630243</v>
      </c>
      <c r="W505" s="34">
        <v>0.36353979895578148</v>
      </c>
      <c r="X505" s="34">
        <v>3.635397989557815</v>
      </c>
      <c r="Y505" s="34">
        <v>1.938878927764168</v>
      </c>
      <c r="Z505" s="34"/>
      <c r="AA505" s="33">
        <v>0</v>
      </c>
      <c r="AB505" s="33">
        <v>0</v>
      </c>
      <c r="AC505" s="34">
        <v>0</v>
      </c>
      <c r="AD505" s="33">
        <v>0</v>
      </c>
      <c r="AE505" s="34">
        <v>0</v>
      </c>
      <c r="AF505" s="34">
        <v>0</v>
      </c>
      <c r="AG505" s="33">
        <v>0</v>
      </c>
      <c r="AH505" s="34">
        <v>0</v>
      </c>
      <c r="AI505" s="33">
        <v>0</v>
      </c>
      <c r="AJ505" s="33">
        <v>0</v>
      </c>
      <c r="AK505" s="33">
        <v>0</v>
      </c>
      <c r="AL505" s="34">
        <v>0</v>
      </c>
      <c r="AM505" s="34">
        <v>0</v>
      </c>
      <c r="AN505" s="34">
        <v>0</v>
      </c>
      <c r="AO505" s="34">
        <v>0</v>
      </c>
      <c r="AP505" s="34">
        <v>0</v>
      </c>
      <c r="AQ505" s="34">
        <v>0</v>
      </c>
      <c r="AR505" s="39"/>
    </row>
    <row r="506" spans="1:44" ht="19.5" customHeight="1">
      <c r="A506" s="55">
        <f t="shared" ref="A506:A509" si="54">A505+1</f>
        <v>10</v>
      </c>
      <c r="B506" s="28" t="s">
        <v>4877</v>
      </c>
      <c r="C506" s="26" t="s">
        <v>94</v>
      </c>
      <c r="D506" s="28" t="s">
        <v>4878</v>
      </c>
      <c r="E506" s="185"/>
      <c r="F506" s="32">
        <v>105000</v>
      </c>
      <c r="G506" s="32">
        <v>30000</v>
      </c>
      <c r="H506" s="32">
        <v>135000</v>
      </c>
      <c r="I506" s="33">
        <v>36.520143509816769</v>
      </c>
      <c r="J506" s="33">
        <v>36.520143509816769</v>
      </c>
      <c r="K506" s="34">
        <v>12.173381169938921</v>
      </c>
      <c r="L506" s="33">
        <v>19.477409871902282</v>
      </c>
      <c r="M506" s="34">
        <v>24.346762339877841</v>
      </c>
      <c r="N506" s="34">
        <v>14.608057403926709</v>
      </c>
      <c r="O506" s="33">
        <v>14.608057403926709</v>
      </c>
      <c r="P506" s="34">
        <v>29.216114807853419</v>
      </c>
      <c r="Q506" s="33">
        <v>24.346762339877841</v>
      </c>
      <c r="R506" s="33">
        <v>29.216114807853419</v>
      </c>
      <c r="S506" s="33">
        <v>17.042733637914491</v>
      </c>
      <c r="T506" s="34">
        <v>17.042733637914491</v>
      </c>
      <c r="U506" s="34">
        <v>7.3040287019633539</v>
      </c>
      <c r="V506" s="34">
        <v>12.173381169938921</v>
      </c>
      <c r="W506" s="34">
        <v>7.3040287019633539</v>
      </c>
      <c r="X506" s="34">
        <v>73.040287019633539</v>
      </c>
      <c r="Y506" s="34">
        <v>38.954819743804563</v>
      </c>
      <c r="Z506" s="34"/>
      <c r="AA506" s="33">
        <v>10.43432671709051</v>
      </c>
      <c r="AB506" s="33">
        <v>10.43432671709051</v>
      </c>
      <c r="AC506" s="34">
        <v>3.4781089056968351</v>
      </c>
      <c r="AD506" s="33">
        <v>5.564974249114937</v>
      </c>
      <c r="AE506" s="34">
        <v>6.9562178113936701</v>
      </c>
      <c r="AF506" s="34">
        <v>4.173730686836203</v>
      </c>
      <c r="AG506" s="33">
        <v>4.173730686836203</v>
      </c>
      <c r="AH506" s="34">
        <v>8.3474613736724059</v>
      </c>
      <c r="AI506" s="33">
        <v>6.9562178113936701</v>
      </c>
      <c r="AJ506" s="33">
        <v>8.3474613736724059</v>
      </c>
      <c r="AK506" s="33">
        <v>4.8693524679755704</v>
      </c>
      <c r="AL506" s="34">
        <v>4.8693524679755704</v>
      </c>
      <c r="AM506" s="34">
        <v>2.086865343418101</v>
      </c>
      <c r="AN506" s="34">
        <v>3.4781089056968351</v>
      </c>
      <c r="AO506" s="34">
        <v>2.086865343418101</v>
      </c>
      <c r="AP506" s="34">
        <v>20.868653434181009</v>
      </c>
      <c r="AQ506" s="34">
        <v>11.12994849822987</v>
      </c>
      <c r="AR506" s="39"/>
    </row>
    <row r="507" spans="1:44" ht="19.5" customHeight="1">
      <c r="A507" s="55">
        <f t="shared" si="54"/>
        <v>11</v>
      </c>
      <c r="B507" s="155" t="s">
        <v>133</v>
      </c>
      <c r="C507" s="154" t="s">
        <v>94</v>
      </c>
      <c r="D507" s="28" t="s">
        <v>4879</v>
      </c>
      <c r="E507" s="185"/>
      <c r="F507" s="32">
        <v>10452.225873673349</v>
      </c>
      <c r="G507" s="32">
        <v>0</v>
      </c>
      <c r="H507" s="32">
        <v>10452.225873673349</v>
      </c>
      <c r="I507" s="33">
        <v>3.635397989557815</v>
      </c>
      <c r="J507" s="33">
        <v>3.635397989557815</v>
      </c>
      <c r="K507" s="34">
        <v>1.2117993298526051</v>
      </c>
      <c r="L507" s="33">
        <v>1.938878927764168</v>
      </c>
      <c r="M507" s="34">
        <v>2.4235986597052102</v>
      </c>
      <c r="N507" s="34">
        <v>1.4541591958231259</v>
      </c>
      <c r="O507" s="33">
        <v>1.4541591958231259</v>
      </c>
      <c r="P507" s="34">
        <v>2.9083183916462518</v>
      </c>
      <c r="Q507" s="33">
        <v>2.4235986597052102</v>
      </c>
      <c r="R507" s="33">
        <v>2.9083183916462518</v>
      </c>
      <c r="S507" s="33">
        <v>1.696519061793647</v>
      </c>
      <c r="T507" s="34">
        <v>1.696519061793647</v>
      </c>
      <c r="U507" s="34">
        <v>0.72707959791156307</v>
      </c>
      <c r="V507" s="34">
        <v>1.2117993298526051</v>
      </c>
      <c r="W507" s="34">
        <v>0.72707959791156307</v>
      </c>
      <c r="X507" s="34">
        <v>7.27079597911563</v>
      </c>
      <c r="Y507" s="34">
        <v>3.8777578555283361</v>
      </c>
      <c r="Z507" s="34"/>
      <c r="AA507" s="33">
        <v>0</v>
      </c>
      <c r="AB507" s="33">
        <v>0</v>
      </c>
      <c r="AC507" s="34">
        <v>0</v>
      </c>
      <c r="AD507" s="33">
        <v>0</v>
      </c>
      <c r="AE507" s="34">
        <v>0</v>
      </c>
      <c r="AF507" s="34">
        <v>0</v>
      </c>
      <c r="AG507" s="33">
        <v>0</v>
      </c>
      <c r="AH507" s="34">
        <v>0</v>
      </c>
      <c r="AI507" s="33">
        <v>0</v>
      </c>
      <c r="AJ507" s="33">
        <v>0</v>
      </c>
      <c r="AK507" s="33">
        <v>0</v>
      </c>
      <c r="AL507" s="34">
        <v>0</v>
      </c>
      <c r="AM507" s="34">
        <v>0</v>
      </c>
      <c r="AN507" s="34">
        <v>0</v>
      </c>
      <c r="AO507" s="34">
        <v>0</v>
      </c>
      <c r="AP507" s="34">
        <v>0</v>
      </c>
      <c r="AQ507" s="34">
        <v>0</v>
      </c>
      <c r="AR507" s="39"/>
    </row>
    <row r="508" spans="1:44" ht="19.5" customHeight="1">
      <c r="A508" s="55">
        <f t="shared" si="54"/>
        <v>12</v>
      </c>
      <c r="B508" s="28" t="s">
        <v>2063</v>
      </c>
      <c r="C508" s="26" t="s">
        <v>230</v>
      </c>
      <c r="D508" s="28" t="s">
        <v>4880</v>
      </c>
      <c r="E508" s="185"/>
      <c r="F508" s="32">
        <v>125370</v>
      </c>
      <c r="G508" s="32">
        <v>44586.810338023053</v>
      </c>
      <c r="H508" s="32">
        <v>169956.81033802309</v>
      </c>
      <c r="I508" s="53">
        <v>43.605051350721233</v>
      </c>
      <c r="J508" s="53">
        <v>43.605051350721233</v>
      </c>
      <c r="K508" s="54">
        <v>14.535017116907071</v>
      </c>
      <c r="L508" s="53">
        <v>23.256027387051319</v>
      </c>
      <c r="M508" s="54">
        <v>29.070034233814152</v>
      </c>
      <c r="N508" s="54">
        <v>17.442020540288489</v>
      </c>
      <c r="O508" s="53">
        <v>17.442020540288489</v>
      </c>
      <c r="P508" s="54">
        <v>34.884041080576978</v>
      </c>
      <c r="Q508" s="53">
        <v>29.070034233814152</v>
      </c>
      <c r="R508" s="53">
        <v>34.884041080576978</v>
      </c>
      <c r="S508" s="53">
        <v>20.349023963669911</v>
      </c>
      <c r="T508" s="54">
        <v>20.349023963669911</v>
      </c>
      <c r="U508" s="54">
        <v>8.7210102701442462</v>
      </c>
      <c r="V508" s="54">
        <v>14.535017116907071</v>
      </c>
      <c r="W508" s="54">
        <v>8.7210102701442462</v>
      </c>
      <c r="X508" s="54">
        <v>87.210102701442452</v>
      </c>
      <c r="Y508" s="54">
        <v>46.512054774102637</v>
      </c>
      <c r="Z508" s="34"/>
      <c r="AA508" s="33">
        <v>15.50777821132937</v>
      </c>
      <c r="AB508" s="33">
        <v>15.50777821132937</v>
      </c>
      <c r="AC508" s="34">
        <v>5.1692594037764552</v>
      </c>
      <c r="AD508" s="33">
        <v>8.2708150460423298</v>
      </c>
      <c r="AE508" s="34">
        <v>10.33851880755291</v>
      </c>
      <c r="AF508" s="34">
        <v>6.2031112845317473</v>
      </c>
      <c r="AG508" s="33">
        <v>6.2031112845317473</v>
      </c>
      <c r="AH508" s="34">
        <v>12.406222569063489</v>
      </c>
      <c r="AI508" s="33">
        <v>10.33851880755291</v>
      </c>
      <c r="AJ508" s="33">
        <v>12.406222569063489</v>
      </c>
      <c r="AK508" s="33">
        <v>7.2369631652870394</v>
      </c>
      <c r="AL508" s="34">
        <v>7.2369631652870394</v>
      </c>
      <c r="AM508" s="34">
        <v>3.1015556422658741</v>
      </c>
      <c r="AN508" s="34">
        <v>5.1692594037764552</v>
      </c>
      <c r="AO508" s="34">
        <v>3.1015556422658741</v>
      </c>
      <c r="AP508" s="34">
        <v>31.015556422658729</v>
      </c>
      <c r="AQ508" s="34">
        <v>16.54163009208466</v>
      </c>
      <c r="AR508" s="39"/>
    </row>
    <row r="509" spans="1:44" ht="19.5" customHeight="1">
      <c r="A509" s="55">
        <f t="shared" si="54"/>
        <v>13</v>
      </c>
      <c r="B509" s="41" t="s">
        <v>133</v>
      </c>
      <c r="C509" s="26" t="s">
        <v>94</v>
      </c>
      <c r="D509" s="114" t="s">
        <v>4881</v>
      </c>
      <c r="E509" s="185"/>
      <c r="F509" s="32">
        <v>34076.168873153103</v>
      </c>
      <c r="G509" s="32">
        <v>39013.459045770171</v>
      </c>
      <c r="H509" s="32">
        <v>73089.627918923274</v>
      </c>
      <c r="I509" s="33">
        <v>11.85206264297431</v>
      </c>
      <c r="J509" s="33">
        <v>11.85206264297431</v>
      </c>
      <c r="K509" s="34">
        <v>3.9506875476581031</v>
      </c>
      <c r="L509" s="33">
        <v>6.3211000762529652</v>
      </c>
      <c r="M509" s="34">
        <v>7.9013750953162063</v>
      </c>
      <c r="N509" s="34">
        <v>4.7408250571897241</v>
      </c>
      <c r="O509" s="33">
        <v>4.7408250571897241</v>
      </c>
      <c r="P509" s="34">
        <v>9.4816501143794483</v>
      </c>
      <c r="Q509" s="33">
        <v>7.9013750953162063</v>
      </c>
      <c r="R509" s="33">
        <v>9.4816501143794483</v>
      </c>
      <c r="S509" s="33">
        <v>5.5309625667213451</v>
      </c>
      <c r="T509" s="34">
        <v>5.5309625667213451</v>
      </c>
      <c r="U509" s="34">
        <v>2.3704125285948621</v>
      </c>
      <c r="V509" s="34">
        <v>3.9506875476581031</v>
      </c>
      <c r="W509" s="34">
        <v>2.3704125285948621</v>
      </c>
      <c r="X509" s="34">
        <v>23.704125285948621</v>
      </c>
      <c r="Y509" s="34">
        <v>12.64220015250593</v>
      </c>
      <c r="Z509" s="34"/>
      <c r="AA509" s="33">
        <v>13.569305934913199</v>
      </c>
      <c r="AB509" s="33">
        <v>13.569305934913199</v>
      </c>
      <c r="AC509" s="34">
        <v>4.5231019783043998</v>
      </c>
      <c r="AD509" s="33">
        <v>7.2369631652870394</v>
      </c>
      <c r="AE509" s="34">
        <v>9.0462039566087995</v>
      </c>
      <c r="AF509" s="34">
        <v>5.4277223739652802</v>
      </c>
      <c r="AG509" s="33">
        <v>5.4277223739652802</v>
      </c>
      <c r="AH509" s="34">
        <v>10.85544474793056</v>
      </c>
      <c r="AI509" s="33">
        <v>9.0462039566087995</v>
      </c>
      <c r="AJ509" s="33">
        <v>10.85544474793056</v>
      </c>
      <c r="AK509" s="33">
        <v>6.3323427696261598</v>
      </c>
      <c r="AL509" s="34">
        <v>6.3323427696261598</v>
      </c>
      <c r="AM509" s="34">
        <v>2.7138611869826401</v>
      </c>
      <c r="AN509" s="34">
        <v>4.5231019783043998</v>
      </c>
      <c r="AO509" s="34">
        <v>2.7138611869826401</v>
      </c>
      <c r="AP509" s="34">
        <v>27.138611869826399</v>
      </c>
      <c r="AQ509" s="34">
        <v>14.473926330574081</v>
      </c>
      <c r="AR509" s="39"/>
    </row>
    <row r="510" spans="1:44" ht="19.5" customHeight="1">
      <c r="A510" s="49"/>
      <c r="B510" s="50" t="s">
        <v>133</v>
      </c>
      <c r="C510" s="49" t="s">
        <v>389</v>
      </c>
      <c r="D510" s="50" t="s">
        <v>4882</v>
      </c>
      <c r="E510" s="232">
        <v>5</v>
      </c>
      <c r="F510" s="52">
        <v>280124.50768366311</v>
      </c>
      <c r="G510" s="52">
        <v>113600.2693837932</v>
      </c>
      <c r="H510" s="52">
        <v>393724.77706745628</v>
      </c>
      <c r="I510" s="33">
        <v>97.43035448784903</v>
      </c>
      <c r="J510" s="33">
        <v>97.43035448784903</v>
      </c>
      <c r="K510" s="34">
        <v>32.476784829283012</v>
      </c>
      <c r="L510" s="33">
        <v>51.962855726852823</v>
      </c>
      <c r="M510" s="34">
        <v>64.953569658566011</v>
      </c>
      <c r="N510" s="34">
        <v>38.972141795139613</v>
      </c>
      <c r="O510" s="33">
        <v>38.972141795139613</v>
      </c>
      <c r="P510" s="34">
        <v>77.944283590279227</v>
      </c>
      <c r="Q510" s="33">
        <v>64.953569658566011</v>
      </c>
      <c r="R510" s="33">
        <v>77.944283590279227</v>
      </c>
      <c r="S510" s="33">
        <v>45.467498760996207</v>
      </c>
      <c r="T510" s="34">
        <v>45.467498760996207</v>
      </c>
      <c r="U510" s="34">
        <v>19.48607089756981</v>
      </c>
      <c r="V510" s="34">
        <v>32.476784829283012</v>
      </c>
      <c r="W510" s="34">
        <v>19.48607089756981</v>
      </c>
      <c r="X510" s="34">
        <v>194.86070897569809</v>
      </c>
      <c r="Y510" s="34">
        <v>103.9257114537056</v>
      </c>
      <c r="Z510" s="54"/>
      <c r="AA510" s="33">
        <v>39.511410863333069</v>
      </c>
      <c r="AB510" s="33">
        <v>39.511410863333069</v>
      </c>
      <c r="AC510" s="34">
        <v>13.17047028777769</v>
      </c>
      <c r="AD510" s="33">
        <v>21.07275246044431</v>
      </c>
      <c r="AE510" s="34">
        <v>26.340940575555379</v>
      </c>
      <c r="AF510" s="34">
        <v>15.80456434533323</v>
      </c>
      <c r="AG510" s="33">
        <v>15.80456434533323</v>
      </c>
      <c r="AH510" s="34">
        <v>31.609128690666459</v>
      </c>
      <c r="AI510" s="33">
        <v>26.340940575555379</v>
      </c>
      <c r="AJ510" s="33">
        <v>31.609128690666459</v>
      </c>
      <c r="AK510" s="33">
        <v>18.43865840288877</v>
      </c>
      <c r="AL510" s="34">
        <v>18.43865840288877</v>
      </c>
      <c r="AM510" s="34">
        <v>7.9022821726666148</v>
      </c>
      <c r="AN510" s="34">
        <v>13.17047028777769</v>
      </c>
      <c r="AO510" s="34">
        <v>7.9022821726666148</v>
      </c>
      <c r="AP510" s="34">
        <v>79.022821726666137</v>
      </c>
      <c r="AQ510" s="34">
        <v>42.145504920888612</v>
      </c>
      <c r="AR510" s="37"/>
    </row>
    <row r="511" spans="1:44" ht="19.5" customHeight="1">
      <c r="A511" s="55">
        <f>A509+1</f>
        <v>14</v>
      </c>
      <c r="B511" s="102" t="s">
        <v>4883</v>
      </c>
      <c r="C511" s="185" t="s">
        <v>230</v>
      </c>
      <c r="D511" s="233" t="s">
        <v>4884</v>
      </c>
      <c r="E511" s="185"/>
      <c r="F511" s="32">
        <v>120723.20884092709</v>
      </c>
      <c r="G511" s="32">
        <v>21644.082688360701</v>
      </c>
      <c r="H511" s="32">
        <v>142367.29152928779</v>
      </c>
      <c r="I511" s="33">
        <v>41.988846779392759</v>
      </c>
      <c r="J511" s="33">
        <v>41.988846779392759</v>
      </c>
      <c r="K511" s="34">
        <v>13.99628225979759</v>
      </c>
      <c r="L511" s="33">
        <v>22.39405161567614</v>
      </c>
      <c r="M511" s="34">
        <v>27.99256451959517</v>
      </c>
      <c r="N511" s="34">
        <v>16.7955387117571</v>
      </c>
      <c r="O511" s="33">
        <v>16.7955387117571</v>
      </c>
      <c r="P511" s="34">
        <v>33.591077423514207</v>
      </c>
      <c r="Q511" s="33">
        <v>27.99256451959517</v>
      </c>
      <c r="R511" s="33">
        <v>33.591077423514207</v>
      </c>
      <c r="S511" s="33">
        <v>19.594795163716618</v>
      </c>
      <c r="T511" s="34">
        <v>19.594795163716618</v>
      </c>
      <c r="U511" s="34">
        <v>8.3977693558785518</v>
      </c>
      <c r="V511" s="34">
        <v>13.99628225979759</v>
      </c>
      <c r="W511" s="34">
        <v>8.3977693558785518</v>
      </c>
      <c r="X511" s="34">
        <v>83.977693558785518</v>
      </c>
      <c r="Y511" s="34">
        <v>44.788103231352281</v>
      </c>
      <c r="Z511" s="34"/>
      <c r="AA511" s="33">
        <v>7.5280476754026058</v>
      </c>
      <c r="AB511" s="33">
        <v>7.5280476754026058</v>
      </c>
      <c r="AC511" s="34">
        <v>2.5093492251342022</v>
      </c>
      <c r="AD511" s="33">
        <v>4.0149587602147232</v>
      </c>
      <c r="AE511" s="34">
        <v>5.0186984502684044</v>
      </c>
      <c r="AF511" s="34">
        <v>3.011219070161042</v>
      </c>
      <c r="AG511" s="33">
        <v>3.011219070161042</v>
      </c>
      <c r="AH511" s="34">
        <v>6.0224381403220848</v>
      </c>
      <c r="AI511" s="33">
        <v>5.0186984502684044</v>
      </c>
      <c r="AJ511" s="33">
        <v>6.0224381403220848</v>
      </c>
      <c r="AK511" s="33">
        <v>3.513088915187883</v>
      </c>
      <c r="AL511" s="34">
        <v>3.513088915187883</v>
      </c>
      <c r="AM511" s="34">
        <v>1.505609535080521</v>
      </c>
      <c r="AN511" s="34">
        <v>2.5093492251342022</v>
      </c>
      <c r="AO511" s="34">
        <v>1.505609535080521</v>
      </c>
      <c r="AP511" s="34">
        <v>15.05609535080521</v>
      </c>
      <c r="AQ511" s="34">
        <v>8.0299175204294464</v>
      </c>
      <c r="AR511" s="39"/>
    </row>
    <row r="512" spans="1:44" ht="19.5" customHeight="1">
      <c r="A512" s="55">
        <f t="shared" ref="A512:A514" si="55">A511+1</f>
        <v>15</v>
      </c>
      <c r="B512" s="41" t="s">
        <v>133</v>
      </c>
      <c r="C512" s="26" t="s">
        <v>94</v>
      </c>
      <c r="D512" s="136" t="s">
        <v>4885</v>
      </c>
      <c r="E512" s="185"/>
      <c r="F512" s="32">
        <v>10452.225873673349</v>
      </c>
      <c r="G512" s="32">
        <v>21219.688910157551</v>
      </c>
      <c r="H512" s="32">
        <v>31671.9147838309</v>
      </c>
      <c r="I512" s="33">
        <v>3.635397989557815</v>
      </c>
      <c r="J512" s="33">
        <v>3.635397989557815</v>
      </c>
      <c r="K512" s="34">
        <v>1.2117993298526051</v>
      </c>
      <c r="L512" s="33">
        <v>1.938878927764168</v>
      </c>
      <c r="M512" s="34">
        <v>2.4235986597052102</v>
      </c>
      <c r="N512" s="34">
        <v>1.4541591958231259</v>
      </c>
      <c r="O512" s="33">
        <v>1.4541591958231259</v>
      </c>
      <c r="P512" s="34">
        <v>2.9083183916462518</v>
      </c>
      <c r="Q512" s="33">
        <v>2.4235986597052102</v>
      </c>
      <c r="R512" s="33">
        <v>2.9083183916462518</v>
      </c>
      <c r="S512" s="33">
        <v>1.696519061793647</v>
      </c>
      <c r="T512" s="34">
        <v>1.696519061793647</v>
      </c>
      <c r="U512" s="34">
        <v>0.72707959791156307</v>
      </c>
      <c r="V512" s="34">
        <v>1.2117993298526051</v>
      </c>
      <c r="W512" s="34">
        <v>0.72707959791156307</v>
      </c>
      <c r="X512" s="34">
        <v>7.27079597911563</v>
      </c>
      <c r="Y512" s="34">
        <v>3.8777578555283361</v>
      </c>
      <c r="Z512" s="34"/>
      <c r="AA512" s="33">
        <v>7.3804388974535353</v>
      </c>
      <c r="AB512" s="33">
        <v>7.3804388974535353</v>
      </c>
      <c r="AC512" s="34">
        <v>2.460146299151178</v>
      </c>
      <c r="AD512" s="33">
        <v>3.9362340786418848</v>
      </c>
      <c r="AE512" s="34">
        <v>4.920292598302356</v>
      </c>
      <c r="AF512" s="34">
        <v>2.952175558981414</v>
      </c>
      <c r="AG512" s="33">
        <v>2.952175558981414</v>
      </c>
      <c r="AH512" s="34">
        <v>5.9043511179628281</v>
      </c>
      <c r="AI512" s="33">
        <v>4.920292598302356</v>
      </c>
      <c r="AJ512" s="33">
        <v>5.9043511179628281</v>
      </c>
      <c r="AK512" s="33">
        <v>3.4442048188116501</v>
      </c>
      <c r="AL512" s="34">
        <v>3.4442048188116501</v>
      </c>
      <c r="AM512" s="34">
        <v>1.476087779490707</v>
      </c>
      <c r="AN512" s="34">
        <v>2.460146299151178</v>
      </c>
      <c r="AO512" s="34">
        <v>1.476087779490707</v>
      </c>
      <c r="AP512" s="34">
        <v>14.760877794907071</v>
      </c>
      <c r="AQ512" s="34">
        <v>7.8724681572837696</v>
      </c>
      <c r="AR512" s="37"/>
    </row>
    <row r="513" spans="1:44" ht="19.5" customHeight="1">
      <c r="A513" s="55">
        <f t="shared" si="55"/>
        <v>16</v>
      </c>
      <c r="B513" s="41" t="s">
        <v>133</v>
      </c>
      <c r="C513" s="26" t="s">
        <v>94</v>
      </c>
      <c r="D513" s="28" t="s">
        <v>4886</v>
      </c>
      <c r="E513" s="185"/>
      <c r="F513" s="32">
        <v>10452.225873673349</v>
      </c>
      <c r="G513" s="32">
        <v>21219.688910157551</v>
      </c>
      <c r="H513" s="32">
        <v>31671.9147838309</v>
      </c>
      <c r="I513" s="53">
        <v>3.635397989557815</v>
      </c>
      <c r="J513" s="53">
        <v>3.635397989557815</v>
      </c>
      <c r="K513" s="54">
        <v>1.2117993298526051</v>
      </c>
      <c r="L513" s="53">
        <v>1.938878927764168</v>
      </c>
      <c r="M513" s="54">
        <v>2.4235986597052102</v>
      </c>
      <c r="N513" s="54">
        <v>1.4541591958231259</v>
      </c>
      <c r="O513" s="53">
        <v>1.4541591958231259</v>
      </c>
      <c r="P513" s="54">
        <v>2.9083183916462518</v>
      </c>
      <c r="Q513" s="53">
        <v>2.4235986597052102</v>
      </c>
      <c r="R513" s="53">
        <v>2.9083183916462518</v>
      </c>
      <c r="S513" s="53">
        <v>1.696519061793647</v>
      </c>
      <c r="T513" s="54">
        <v>1.696519061793647</v>
      </c>
      <c r="U513" s="54">
        <v>0.72707959791156307</v>
      </c>
      <c r="V513" s="54">
        <v>1.2117993298526051</v>
      </c>
      <c r="W513" s="54">
        <v>0.72707959791156307</v>
      </c>
      <c r="X513" s="54">
        <v>7.27079597911563</v>
      </c>
      <c r="Y513" s="54">
        <v>3.8777578555283361</v>
      </c>
      <c r="Z513" s="54"/>
      <c r="AA513" s="53">
        <v>7.3804388974535353</v>
      </c>
      <c r="AB513" s="53">
        <v>7.3804388974535353</v>
      </c>
      <c r="AC513" s="54">
        <v>2.460146299151178</v>
      </c>
      <c r="AD513" s="53">
        <v>3.9362340786418848</v>
      </c>
      <c r="AE513" s="54">
        <v>4.920292598302356</v>
      </c>
      <c r="AF513" s="54">
        <v>2.952175558981414</v>
      </c>
      <c r="AG513" s="53">
        <v>2.952175558981414</v>
      </c>
      <c r="AH513" s="54">
        <v>5.9043511179628281</v>
      </c>
      <c r="AI513" s="53">
        <v>4.920292598302356</v>
      </c>
      <c r="AJ513" s="53">
        <v>5.9043511179628281</v>
      </c>
      <c r="AK513" s="53">
        <v>3.4442048188116501</v>
      </c>
      <c r="AL513" s="54">
        <v>3.4442048188116501</v>
      </c>
      <c r="AM513" s="54">
        <v>1.476087779490707</v>
      </c>
      <c r="AN513" s="54">
        <v>2.460146299151178</v>
      </c>
      <c r="AO513" s="54">
        <v>1.476087779490707</v>
      </c>
      <c r="AP513" s="54">
        <v>14.760877794907071</v>
      </c>
      <c r="AQ513" s="54">
        <v>7.8724681572837696</v>
      </c>
      <c r="AR513" s="39"/>
    </row>
    <row r="514" spans="1:44" ht="19.5" customHeight="1">
      <c r="A514" s="55">
        <f t="shared" si="55"/>
        <v>17</v>
      </c>
      <c r="B514" s="41" t="s">
        <v>133</v>
      </c>
      <c r="C514" s="26" t="s">
        <v>94</v>
      </c>
      <c r="D514" s="136" t="s">
        <v>4887</v>
      </c>
      <c r="E514" s="185"/>
      <c r="F514" s="32">
        <v>10452.225873673349</v>
      </c>
      <c r="G514" s="32">
        <v>21219.688910157551</v>
      </c>
      <c r="H514" s="32">
        <v>31671.9147838309</v>
      </c>
      <c r="I514" s="33">
        <v>3.635397989557815</v>
      </c>
      <c r="J514" s="33">
        <v>3.635397989557815</v>
      </c>
      <c r="K514" s="34">
        <v>1.2117993298526051</v>
      </c>
      <c r="L514" s="33">
        <v>1.938878927764168</v>
      </c>
      <c r="M514" s="34">
        <v>2.4235986597052102</v>
      </c>
      <c r="N514" s="34">
        <v>1.4541591958231259</v>
      </c>
      <c r="O514" s="33">
        <v>1.4541591958231259</v>
      </c>
      <c r="P514" s="34">
        <v>2.9083183916462518</v>
      </c>
      <c r="Q514" s="33">
        <v>2.4235986597052102</v>
      </c>
      <c r="R514" s="33">
        <v>2.9083183916462518</v>
      </c>
      <c r="S514" s="33">
        <v>1.696519061793647</v>
      </c>
      <c r="T514" s="34">
        <v>1.696519061793647</v>
      </c>
      <c r="U514" s="34">
        <v>0.72707959791156307</v>
      </c>
      <c r="V514" s="34">
        <v>1.2117993298526051</v>
      </c>
      <c r="W514" s="34">
        <v>0.72707959791156307</v>
      </c>
      <c r="X514" s="34">
        <v>7.27079597911563</v>
      </c>
      <c r="Y514" s="34">
        <v>3.8777578555283361</v>
      </c>
      <c r="Z514" s="34"/>
      <c r="AA514" s="33">
        <v>7.3804388974535353</v>
      </c>
      <c r="AB514" s="33">
        <v>7.3804388974535353</v>
      </c>
      <c r="AC514" s="34">
        <v>2.460146299151178</v>
      </c>
      <c r="AD514" s="33">
        <v>3.9362340786418848</v>
      </c>
      <c r="AE514" s="34">
        <v>4.920292598302356</v>
      </c>
      <c r="AF514" s="34">
        <v>2.952175558981414</v>
      </c>
      <c r="AG514" s="33">
        <v>2.952175558981414</v>
      </c>
      <c r="AH514" s="34">
        <v>5.9043511179628281</v>
      </c>
      <c r="AI514" s="33">
        <v>4.920292598302356</v>
      </c>
      <c r="AJ514" s="33">
        <v>5.9043511179628281</v>
      </c>
      <c r="AK514" s="33">
        <v>3.4442048188116501</v>
      </c>
      <c r="AL514" s="34">
        <v>3.4442048188116501</v>
      </c>
      <c r="AM514" s="34">
        <v>1.476087779490707</v>
      </c>
      <c r="AN514" s="34">
        <v>2.460146299151178</v>
      </c>
      <c r="AO514" s="34">
        <v>1.476087779490707</v>
      </c>
      <c r="AP514" s="34">
        <v>14.760877794907071</v>
      </c>
      <c r="AQ514" s="34">
        <v>7.8724681572837696</v>
      </c>
      <c r="AR514" s="39"/>
    </row>
    <row r="515" spans="1:44" ht="19.5" customHeight="1">
      <c r="A515" s="71"/>
      <c r="B515" s="50" t="s">
        <v>133</v>
      </c>
      <c r="C515" s="49" t="s">
        <v>389</v>
      </c>
      <c r="D515" s="50" t="s">
        <v>4888</v>
      </c>
      <c r="E515" s="232">
        <v>4</v>
      </c>
      <c r="F515" s="52">
        <v>152079.88646194711</v>
      </c>
      <c r="G515" s="52">
        <v>85303.149418833345</v>
      </c>
      <c r="H515" s="52">
        <v>237383.03588078049</v>
      </c>
      <c r="I515" s="33">
        <v>52.895040748066187</v>
      </c>
      <c r="J515" s="33">
        <v>52.895040748066187</v>
      </c>
      <c r="K515" s="34">
        <v>17.631680249355391</v>
      </c>
      <c r="L515" s="33">
        <v>28.210688398968639</v>
      </c>
      <c r="M515" s="34">
        <v>35.263360498710789</v>
      </c>
      <c r="N515" s="34">
        <v>21.158016299226482</v>
      </c>
      <c r="O515" s="33">
        <v>21.158016299226482</v>
      </c>
      <c r="P515" s="34">
        <v>42.316032598452963</v>
      </c>
      <c r="Q515" s="33">
        <v>35.263360498710789</v>
      </c>
      <c r="R515" s="33">
        <v>42.316032598452963</v>
      </c>
      <c r="S515" s="33">
        <v>24.684352349097558</v>
      </c>
      <c r="T515" s="34">
        <v>24.684352349097558</v>
      </c>
      <c r="U515" s="34">
        <v>10.579008149613241</v>
      </c>
      <c r="V515" s="34">
        <v>17.631680249355391</v>
      </c>
      <c r="W515" s="34">
        <v>10.579008149613241</v>
      </c>
      <c r="X515" s="34">
        <v>105.7900814961324</v>
      </c>
      <c r="Y515" s="34">
        <v>56.42137679793727</v>
      </c>
      <c r="Z515" s="54"/>
      <c r="AA515" s="33">
        <v>29.669364367763212</v>
      </c>
      <c r="AB515" s="33">
        <v>29.669364367763212</v>
      </c>
      <c r="AC515" s="34">
        <v>9.8897881225877349</v>
      </c>
      <c r="AD515" s="33">
        <v>15.823660996140379</v>
      </c>
      <c r="AE515" s="34">
        <v>19.77957624517547</v>
      </c>
      <c r="AF515" s="34">
        <v>11.86774574710528</v>
      </c>
      <c r="AG515" s="33">
        <v>11.86774574710528</v>
      </c>
      <c r="AH515" s="34">
        <v>23.735491494210571</v>
      </c>
      <c r="AI515" s="33">
        <v>19.77957624517547</v>
      </c>
      <c r="AJ515" s="33">
        <v>23.735491494210571</v>
      </c>
      <c r="AK515" s="33">
        <v>13.845703371622831</v>
      </c>
      <c r="AL515" s="34">
        <v>13.845703371622831</v>
      </c>
      <c r="AM515" s="34">
        <v>5.9338728735526418</v>
      </c>
      <c r="AN515" s="34">
        <v>9.8897881225877349</v>
      </c>
      <c r="AO515" s="34">
        <v>5.9338728735526418</v>
      </c>
      <c r="AP515" s="34">
        <v>59.338728735526423</v>
      </c>
      <c r="AQ515" s="34">
        <v>31.647321992280759</v>
      </c>
      <c r="AR515" s="37"/>
    </row>
    <row r="516" spans="1:44" ht="19.5" customHeight="1">
      <c r="A516" s="55">
        <f>A514+1</f>
        <v>18</v>
      </c>
      <c r="B516" s="41" t="s">
        <v>133</v>
      </c>
      <c r="C516" s="26" t="s">
        <v>94</v>
      </c>
      <c r="D516" s="136" t="s">
        <v>4889</v>
      </c>
      <c r="E516" s="185"/>
      <c r="F516" s="32">
        <v>10452.225873673349</v>
      </c>
      <c r="G516" s="32">
        <v>31829.53336523633</v>
      </c>
      <c r="H516" s="32">
        <v>42281.759238909668</v>
      </c>
      <c r="I516" s="53">
        <v>3.635397989557815</v>
      </c>
      <c r="J516" s="53">
        <v>3.635397989557815</v>
      </c>
      <c r="K516" s="54">
        <v>1.2117993298526051</v>
      </c>
      <c r="L516" s="53">
        <v>1.938878927764168</v>
      </c>
      <c r="M516" s="54">
        <v>2.4235986597052102</v>
      </c>
      <c r="N516" s="54">
        <v>1.4541591958231259</v>
      </c>
      <c r="O516" s="53">
        <v>1.4541591958231259</v>
      </c>
      <c r="P516" s="54">
        <v>2.9083183916462518</v>
      </c>
      <c r="Q516" s="53">
        <v>2.4235986597052102</v>
      </c>
      <c r="R516" s="53">
        <v>2.9083183916462518</v>
      </c>
      <c r="S516" s="53">
        <v>1.696519061793647</v>
      </c>
      <c r="T516" s="54">
        <v>1.696519061793647</v>
      </c>
      <c r="U516" s="54">
        <v>0.72707959791156307</v>
      </c>
      <c r="V516" s="54">
        <v>1.2117993298526051</v>
      </c>
      <c r="W516" s="54">
        <v>0.72707959791156307</v>
      </c>
      <c r="X516" s="54">
        <v>7.27079597911563</v>
      </c>
      <c r="Y516" s="54">
        <v>3.8777578555283361</v>
      </c>
      <c r="Z516" s="54"/>
      <c r="AA516" s="53">
        <v>11.0706583461803</v>
      </c>
      <c r="AB516" s="53">
        <v>11.0706583461803</v>
      </c>
      <c r="AC516" s="54">
        <v>3.6902194487267672</v>
      </c>
      <c r="AD516" s="53">
        <v>5.9043511179628281</v>
      </c>
      <c r="AE516" s="54">
        <v>7.3804388974535344</v>
      </c>
      <c r="AF516" s="54">
        <v>4.4282633384721208</v>
      </c>
      <c r="AG516" s="53">
        <v>4.4282633384721208</v>
      </c>
      <c r="AH516" s="54">
        <v>8.8565266769442417</v>
      </c>
      <c r="AI516" s="53">
        <v>7.3804388974535344</v>
      </c>
      <c r="AJ516" s="53">
        <v>8.8565266769442417</v>
      </c>
      <c r="AK516" s="53">
        <v>5.1663072282174749</v>
      </c>
      <c r="AL516" s="54">
        <v>5.1663072282174749</v>
      </c>
      <c r="AM516" s="54">
        <v>2.21413166923606</v>
      </c>
      <c r="AN516" s="54">
        <v>3.6902194487267672</v>
      </c>
      <c r="AO516" s="54">
        <v>2.21413166923606</v>
      </c>
      <c r="AP516" s="54">
        <v>22.141316692360601</v>
      </c>
      <c r="AQ516" s="54">
        <v>11.80870223592566</v>
      </c>
      <c r="AR516" s="39"/>
    </row>
    <row r="517" spans="1:44" ht="19.5" customHeight="1">
      <c r="A517" s="55">
        <f>A516+1</f>
        <v>19</v>
      </c>
      <c r="B517" s="41" t="s">
        <v>133</v>
      </c>
      <c r="C517" s="26" t="s">
        <v>94</v>
      </c>
      <c r="D517" s="28" t="s">
        <v>4890</v>
      </c>
      <c r="E517" s="185"/>
      <c r="F517" s="32">
        <v>10452.225873673349</v>
      </c>
      <c r="G517" s="32">
        <v>21219.688910157551</v>
      </c>
      <c r="H517" s="32">
        <v>31671.9147838309</v>
      </c>
      <c r="I517" s="53">
        <v>3.635397989557815</v>
      </c>
      <c r="J517" s="53">
        <v>3.635397989557815</v>
      </c>
      <c r="K517" s="54">
        <v>1.2117993298526051</v>
      </c>
      <c r="L517" s="53">
        <v>1.938878927764168</v>
      </c>
      <c r="M517" s="54">
        <v>2.4235986597052102</v>
      </c>
      <c r="N517" s="54">
        <v>1.4541591958231259</v>
      </c>
      <c r="O517" s="53">
        <v>1.4541591958231259</v>
      </c>
      <c r="P517" s="54">
        <v>2.9083183916462518</v>
      </c>
      <c r="Q517" s="53">
        <v>2.4235986597052102</v>
      </c>
      <c r="R517" s="53">
        <v>2.9083183916462518</v>
      </c>
      <c r="S517" s="53">
        <v>1.696519061793647</v>
      </c>
      <c r="T517" s="54">
        <v>1.696519061793647</v>
      </c>
      <c r="U517" s="54">
        <v>0.72707959791156307</v>
      </c>
      <c r="V517" s="54">
        <v>1.2117993298526051</v>
      </c>
      <c r="W517" s="54">
        <v>0.72707959791156307</v>
      </c>
      <c r="X517" s="54">
        <v>7.27079597911563</v>
      </c>
      <c r="Y517" s="54">
        <v>3.8777578555283361</v>
      </c>
      <c r="Z517" s="54"/>
      <c r="AA517" s="53">
        <v>7.3804388974535353</v>
      </c>
      <c r="AB517" s="53">
        <v>7.3804388974535353</v>
      </c>
      <c r="AC517" s="54">
        <v>2.460146299151178</v>
      </c>
      <c r="AD517" s="53">
        <v>3.9362340786418848</v>
      </c>
      <c r="AE517" s="54">
        <v>4.920292598302356</v>
      </c>
      <c r="AF517" s="54">
        <v>2.952175558981414</v>
      </c>
      <c r="AG517" s="53">
        <v>2.952175558981414</v>
      </c>
      <c r="AH517" s="54">
        <v>5.9043511179628281</v>
      </c>
      <c r="AI517" s="53">
        <v>4.920292598302356</v>
      </c>
      <c r="AJ517" s="53">
        <v>5.9043511179628281</v>
      </c>
      <c r="AK517" s="53">
        <v>3.4442048188116501</v>
      </c>
      <c r="AL517" s="54">
        <v>3.4442048188116501</v>
      </c>
      <c r="AM517" s="54">
        <v>1.476087779490707</v>
      </c>
      <c r="AN517" s="54">
        <v>2.460146299151178</v>
      </c>
      <c r="AO517" s="54">
        <v>1.476087779490707</v>
      </c>
      <c r="AP517" s="54">
        <v>14.760877794907071</v>
      </c>
      <c r="AQ517" s="54">
        <v>7.8724681572837696</v>
      </c>
      <c r="AR517" s="37"/>
    </row>
    <row r="518" spans="1:44" ht="19.5" customHeight="1">
      <c r="A518" s="49"/>
      <c r="B518" s="50" t="s">
        <v>4891</v>
      </c>
      <c r="C518" s="49" t="s">
        <v>2324</v>
      </c>
      <c r="D518" s="50" t="s">
        <v>4892</v>
      </c>
      <c r="E518" s="232">
        <v>2</v>
      </c>
      <c r="F518" s="52">
        <v>20904.451747346691</v>
      </c>
      <c r="G518" s="52">
        <v>53049.222275393877</v>
      </c>
      <c r="H518" s="52">
        <v>73953.674022740568</v>
      </c>
      <c r="I518" s="33">
        <v>7.27079597911563</v>
      </c>
      <c r="J518" s="33">
        <v>7.27079597911563</v>
      </c>
      <c r="K518" s="34">
        <v>2.4235986597052102</v>
      </c>
      <c r="L518" s="33">
        <v>3.8777578555283361</v>
      </c>
      <c r="M518" s="34">
        <v>4.8471973194104194</v>
      </c>
      <c r="N518" s="34">
        <v>2.9083183916462518</v>
      </c>
      <c r="O518" s="33">
        <v>2.9083183916462518</v>
      </c>
      <c r="P518" s="34">
        <v>5.8166367832925054</v>
      </c>
      <c r="Q518" s="33">
        <v>4.8471973194104194</v>
      </c>
      <c r="R518" s="33">
        <v>5.8166367832925054</v>
      </c>
      <c r="S518" s="33">
        <v>3.393038123587294</v>
      </c>
      <c r="T518" s="34">
        <v>3.393038123587294</v>
      </c>
      <c r="U518" s="34">
        <v>1.4541591958231259</v>
      </c>
      <c r="V518" s="34">
        <v>2.4235986597052102</v>
      </c>
      <c r="W518" s="34">
        <v>1.4541591958231259</v>
      </c>
      <c r="X518" s="34">
        <v>14.54159195823126</v>
      </c>
      <c r="Y518" s="34">
        <v>7.7555157110566721</v>
      </c>
      <c r="Z518" s="34"/>
      <c r="AA518" s="33">
        <v>18.451097243633839</v>
      </c>
      <c r="AB518" s="33">
        <v>18.451097243633839</v>
      </c>
      <c r="AC518" s="34">
        <v>6.1503657478779452</v>
      </c>
      <c r="AD518" s="33">
        <v>9.8405851966047138</v>
      </c>
      <c r="AE518" s="34">
        <v>12.30073149575589</v>
      </c>
      <c r="AF518" s="34">
        <v>7.3804388974535362</v>
      </c>
      <c r="AG518" s="33">
        <v>7.3804388974535362</v>
      </c>
      <c r="AH518" s="34">
        <v>14.760877794907071</v>
      </c>
      <c r="AI518" s="33">
        <v>12.30073149575589</v>
      </c>
      <c r="AJ518" s="33">
        <v>14.760877794907071</v>
      </c>
      <c r="AK518" s="33">
        <v>8.6105120470291254</v>
      </c>
      <c r="AL518" s="34">
        <v>8.6105120470291254</v>
      </c>
      <c r="AM518" s="34">
        <v>3.6902194487267681</v>
      </c>
      <c r="AN518" s="34">
        <v>6.1503657478779452</v>
      </c>
      <c r="AO518" s="34">
        <v>3.6902194487267681</v>
      </c>
      <c r="AP518" s="34">
        <v>36.902194487267678</v>
      </c>
      <c r="AQ518" s="34">
        <v>19.681170393209431</v>
      </c>
      <c r="AR518" s="37"/>
    </row>
    <row r="519" spans="1:44" ht="19.5" customHeight="1">
      <c r="A519" s="140"/>
      <c r="B519" s="141" t="s">
        <v>4891</v>
      </c>
      <c r="C519" s="140" t="s">
        <v>2324</v>
      </c>
      <c r="D519" s="141" t="s">
        <v>4893</v>
      </c>
      <c r="E519" s="123">
        <f>E518+E515</f>
        <v>6</v>
      </c>
      <c r="F519" s="144">
        <v>172984.33820929381</v>
      </c>
      <c r="G519" s="144">
        <v>138352.37169422719</v>
      </c>
      <c r="H519" s="144">
        <v>311336.70990352111</v>
      </c>
      <c r="I519" s="53">
        <v>60.165836727181834</v>
      </c>
      <c r="J519" s="53">
        <v>60.165836727181834</v>
      </c>
      <c r="K519" s="54">
        <v>20.055278909060611</v>
      </c>
      <c r="L519" s="53">
        <v>32.088446254496979</v>
      </c>
      <c r="M519" s="54">
        <v>40.110557818121222</v>
      </c>
      <c r="N519" s="54">
        <v>24.066334690872729</v>
      </c>
      <c r="O519" s="53">
        <v>24.066334690872729</v>
      </c>
      <c r="P519" s="54">
        <v>48.132669381745472</v>
      </c>
      <c r="Q519" s="53">
        <v>40.110557818121222</v>
      </c>
      <c r="R519" s="53">
        <v>48.132669381745472</v>
      </c>
      <c r="S519" s="53">
        <v>28.077390472684851</v>
      </c>
      <c r="T519" s="54">
        <v>28.077390472684851</v>
      </c>
      <c r="U519" s="54">
        <v>12.03316734543637</v>
      </c>
      <c r="V519" s="54">
        <v>20.055278909060611</v>
      </c>
      <c r="W519" s="54">
        <v>12.03316734543637</v>
      </c>
      <c r="X519" s="54">
        <v>120.3316734543637</v>
      </c>
      <c r="Y519" s="54">
        <v>64.176892508993959</v>
      </c>
      <c r="Z519" s="34"/>
      <c r="AA519" s="33">
        <v>48.120461611397047</v>
      </c>
      <c r="AB519" s="33">
        <v>48.120461611397047</v>
      </c>
      <c r="AC519" s="34">
        <v>16.04015387046568</v>
      </c>
      <c r="AD519" s="33">
        <v>25.66424619274509</v>
      </c>
      <c r="AE519" s="34">
        <v>32.08030774093136</v>
      </c>
      <c r="AF519" s="34">
        <v>19.248184644558819</v>
      </c>
      <c r="AG519" s="33">
        <v>19.248184644558819</v>
      </c>
      <c r="AH519" s="34">
        <v>38.496369289117638</v>
      </c>
      <c r="AI519" s="33">
        <v>32.08030774093136</v>
      </c>
      <c r="AJ519" s="33">
        <v>38.496369289117638</v>
      </c>
      <c r="AK519" s="33">
        <v>22.456215418651951</v>
      </c>
      <c r="AL519" s="34">
        <v>22.456215418651951</v>
      </c>
      <c r="AM519" s="34">
        <v>9.6240923222794095</v>
      </c>
      <c r="AN519" s="34">
        <v>16.04015387046568</v>
      </c>
      <c r="AO519" s="34">
        <v>9.6240923222794095</v>
      </c>
      <c r="AP519" s="34">
        <v>96.240923222794095</v>
      </c>
      <c r="AQ519" s="34">
        <v>51.328492385490193</v>
      </c>
      <c r="AR519" s="37"/>
    </row>
    <row r="520" spans="1:44" ht="19.5" customHeight="1">
      <c r="A520" s="55">
        <f>A517+1</f>
        <v>20</v>
      </c>
      <c r="B520" s="28" t="s">
        <v>4894</v>
      </c>
      <c r="C520" s="26" t="s">
        <v>1955</v>
      </c>
      <c r="D520" s="101" t="s">
        <v>4895</v>
      </c>
      <c r="E520" s="185"/>
      <c r="F520" s="32">
        <v>35000</v>
      </c>
      <c r="G520" s="32">
        <v>53049.222275393877</v>
      </c>
      <c r="H520" s="32">
        <v>88049.222275393884</v>
      </c>
      <c r="I520" s="53">
        <v>12.173381169938921</v>
      </c>
      <c r="J520" s="53">
        <v>12.173381169938921</v>
      </c>
      <c r="K520" s="54">
        <v>4.0577937233129742</v>
      </c>
      <c r="L520" s="53">
        <v>6.4924699573007594</v>
      </c>
      <c r="M520" s="54">
        <v>8.1155874466259483</v>
      </c>
      <c r="N520" s="54">
        <v>4.8693524679755704</v>
      </c>
      <c r="O520" s="53">
        <v>4.8693524679755704</v>
      </c>
      <c r="P520" s="54">
        <v>9.7387049359511391</v>
      </c>
      <c r="Q520" s="53">
        <v>8.1155874466259483</v>
      </c>
      <c r="R520" s="53">
        <v>9.7387049359511391</v>
      </c>
      <c r="S520" s="53">
        <v>5.6809112126381649</v>
      </c>
      <c r="T520" s="54">
        <v>5.6809112126381649</v>
      </c>
      <c r="U520" s="54">
        <v>2.4346762339877852</v>
      </c>
      <c r="V520" s="54">
        <v>4.0577937233129742</v>
      </c>
      <c r="W520" s="54">
        <v>2.4346762339877852</v>
      </c>
      <c r="X520" s="54">
        <v>24.346762339877849</v>
      </c>
      <c r="Y520" s="54">
        <v>12.984939914601521</v>
      </c>
      <c r="Z520" s="54"/>
      <c r="AA520" s="53">
        <v>18.451097243633839</v>
      </c>
      <c r="AB520" s="53">
        <v>18.451097243633839</v>
      </c>
      <c r="AC520" s="54">
        <v>6.1503657478779452</v>
      </c>
      <c r="AD520" s="53">
        <v>9.8405851966047138</v>
      </c>
      <c r="AE520" s="54">
        <v>12.30073149575589</v>
      </c>
      <c r="AF520" s="54">
        <v>7.3804388974535362</v>
      </c>
      <c r="AG520" s="53">
        <v>7.3804388974535362</v>
      </c>
      <c r="AH520" s="54">
        <v>14.760877794907071</v>
      </c>
      <c r="AI520" s="53">
        <v>12.30073149575589</v>
      </c>
      <c r="AJ520" s="53">
        <v>14.760877794907071</v>
      </c>
      <c r="AK520" s="53">
        <v>8.6105120470291254</v>
      </c>
      <c r="AL520" s="54">
        <v>8.6105120470291254</v>
      </c>
      <c r="AM520" s="54">
        <v>3.6902194487267681</v>
      </c>
      <c r="AN520" s="54">
        <v>6.1503657478779452</v>
      </c>
      <c r="AO520" s="54">
        <v>3.6902194487267681</v>
      </c>
      <c r="AP520" s="54">
        <v>36.902194487267678</v>
      </c>
      <c r="AQ520" s="54">
        <v>19.681170393209431</v>
      </c>
      <c r="AR520" s="39"/>
    </row>
    <row r="521" spans="1:44" ht="19.5" customHeight="1">
      <c r="A521" s="65"/>
      <c r="B521" s="224" t="s">
        <v>133</v>
      </c>
      <c r="C521" s="234" t="s">
        <v>435</v>
      </c>
      <c r="D521" s="66" t="s">
        <v>4896</v>
      </c>
      <c r="E521" s="234">
        <f>E520+E519+E510+E504</f>
        <v>19</v>
      </c>
      <c r="F521" s="68">
        <v>1051927.5384506199</v>
      </c>
      <c r="G521" s="68">
        <v>440595.67548932112</v>
      </c>
      <c r="H521" s="68">
        <v>1492523.213939941</v>
      </c>
      <c r="I521" s="33">
        <v>365.87185396328499</v>
      </c>
      <c r="J521" s="33">
        <v>365.87185396328499</v>
      </c>
      <c r="K521" s="34">
        <v>121.95728465442831</v>
      </c>
      <c r="L521" s="33">
        <v>195.13165544708539</v>
      </c>
      <c r="M521" s="34">
        <v>243.9145693088567</v>
      </c>
      <c r="N521" s="34">
        <v>146.348741585314</v>
      </c>
      <c r="O521" s="33">
        <v>146.348741585314</v>
      </c>
      <c r="P521" s="34">
        <v>292.69748317062812</v>
      </c>
      <c r="Q521" s="33">
        <v>243.9145693088567</v>
      </c>
      <c r="R521" s="33">
        <v>292.69748317062812</v>
      </c>
      <c r="S521" s="33">
        <v>170.74019851619971</v>
      </c>
      <c r="T521" s="34">
        <v>170.74019851619971</v>
      </c>
      <c r="U521" s="34">
        <v>73.174370792657015</v>
      </c>
      <c r="V521" s="34">
        <v>121.95728465442831</v>
      </c>
      <c r="W521" s="34">
        <v>73.174370792657015</v>
      </c>
      <c r="X521" s="34">
        <v>731.7437079265701</v>
      </c>
      <c r="Y521" s="34">
        <v>390.26331089417067</v>
      </c>
      <c r="Z521" s="34"/>
      <c r="AA521" s="33">
        <v>153.24397427309199</v>
      </c>
      <c r="AB521" s="33">
        <v>153.24397427309199</v>
      </c>
      <c r="AC521" s="34">
        <v>51.081324757697352</v>
      </c>
      <c r="AD521" s="33">
        <v>81.730119612315761</v>
      </c>
      <c r="AE521" s="34">
        <v>102.1626495153947</v>
      </c>
      <c r="AF521" s="34">
        <v>61.297589709236817</v>
      </c>
      <c r="AG521" s="33">
        <v>61.297589709236817</v>
      </c>
      <c r="AH521" s="34">
        <v>122.59517941847361</v>
      </c>
      <c r="AI521" s="33">
        <v>102.1626495153947</v>
      </c>
      <c r="AJ521" s="33">
        <v>122.59517941847361</v>
      </c>
      <c r="AK521" s="33">
        <v>71.513854660776289</v>
      </c>
      <c r="AL521" s="34">
        <v>71.513854660776289</v>
      </c>
      <c r="AM521" s="34">
        <v>30.648794854618409</v>
      </c>
      <c r="AN521" s="34">
        <v>51.081324757697352</v>
      </c>
      <c r="AO521" s="34">
        <v>30.648794854618409</v>
      </c>
      <c r="AP521" s="34">
        <v>306.4879485461841</v>
      </c>
      <c r="AQ521" s="34">
        <v>163.46023922463149</v>
      </c>
      <c r="AR521" s="39"/>
    </row>
    <row r="522" spans="1:44" ht="19.5" customHeight="1">
      <c r="A522" s="62"/>
      <c r="B522" s="76"/>
      <c r="C522" s="51"/>
      <c r="D522" s="63"/>
      <c r="E522" s="51"/>
      <c r="F522" s="190"/>
      <c r="G522" s="190"/>
      <c r="H522" s="190">
        <v>0</v>
      </c>
      <c r="I522" s="33">
        <v>0</v>
      </c>
      <c r="J522" s="33">
        <v>0</v>
      </c>
      <c r="K522" s="34">
        <v>0</v>
      </c>
      <c r="L522" s="33">
        <v>0</v>
      </c>
      <c r="M522" s="34">
        <v>0</v>
      </c>
      <c r="N522" s="34">
        <v>0</v>
      </c>
      <c r="O522" s="33">
        <v>0</v>
      </c>
      <c r="P522" s="34">
        <v>0</v>
      </c>
      <c r="Q522" s="33">
        <v>0</v>
      </c>
      <c r="R522" s="33">
        <v>0</v>
      </c>
      <c r="S522" s="33">
        <v>0</v>
      </c>
      <c r="T522" s="34">
        <v>0</v>
      </c>
      <c r="U522" s="34">
        <v>0</v>
      </c>
      <c r="V522" s="34">
        <v>0</v>
      </c>
      <c r="W522" s="34">
        <v>0</v>
      </c>
      <c r="X522" s="34">
        <v>0</v>
      </c>
      <c r="Y522" s="34">
        <v>0</v>
      </c>
      <c r="Z522" s="34"/>
      <c r="AA522" s="33">
        <v>0</v>
      </c>
      <c r="AB522" s="33">
        <v>0</v>
      </c>
      <c r="AC522" s="34">
        <v>0</v>
      </c>
      <c r="AD522" s="33">
        <v>0</v>
      </c>
      <c r="AE522" s="34">
        <v>0</v>
      </c>
      <c r="AF522" s="34">
        <v>0</v>
      </c>
      <c r="AG522" s="33">
        <v>0</v>
      </c>
      <c r="AH522" s="34">
        <v>0</v>
      </c>
      <c r="AI522" s="33">
        <v>0</v>
      </c>
      <c r="AJ522" s="33">
        <v>0</v>
      </c>
      <c r="AK522" s="33">
        <v>0</v>
      </c>
      <c r="AL522" s="34">
        <v>0</v>
      </c>
      <c r="AM522" s="34">
        <v>0</v>
      </c>
      <c r="AN522" s="34">
        <v>0</v>
      </c>
      <c r="AO522" s="34">
        <v>0</v>
      </c>
      <c r="AP522" s="34">
        <v>0</v>
      </c>
      <c r="AQ522" s="34">
        <v>0</v>
      </c>
      <c r="AR522" s="39"/>
    </row>
    <row r="523" spans="1:44" ht="19.5" customHeight="1">
      <c r="A523" s="184" t="s">
        <v>4897</v>
      </c>
      <c r="B523" s="102"/>
      <c r="C523" s="102"/>
      <c r="D523" s="101"/>
      <c r="E523" s="185"/>
      <c r="F523" s="32"/>
      <c r="G523" s="32"/>
      <c r="H523" s="32">
        <v>0</v>
      </c>
      <c r="I523" s="33">
        <v>0</v>
      </c>
      <c r="J523" s="33">
        <v>0</v>
      </c>
      <c r="K523" s="34">
        <v>0</v>
      </c>
      <c r="L523" s="33">
        <v>0</v>
      </c>
      <c r="M523" s="34">
        <v>0</v>
      </c>
      <c r="N523" s="34">
        <v>0</v>
      </c>
      <c r="O523" s="33">
        <v>0</v>
      </c>
      <c r="P523" s="34">
        <v>0</v>
      </c>
      <c r="Q523" s="33">
        <v>0</v>
      </c>
      <c r="R523" s="33">
        <v>0</v>
      </c>
      <c r="S523" s="33">
        <v>0</v>
      </c>
      <c r="T523" s="34">
        <v>0</v>
      </c>
      <c r="U523" s="34">
        <v>0</v>
      </c>
      <c r="V523" s="34">
        <v>0</v>
      </c>
      <c r="W523" s="34">
        <v>0</v>
      </c>
      <c r="X523" s="34">
        <v>0</v>
      </c>
      <c r="Y523" s="34">
        <v>0</v>
      </c>
      <c r="Z523" s="54"/>
      <c r="AA523" s="53">
        <v>0</v>
      </c>
      <c r="AB523" s="53">
        <v>0</v>
      </c>
      <c r="AC523" s="54">
        <v>0</v>
      </c>
      <c r="AD523" s="53">
        <v>0</v>
      </c>
      <c r="AE523" s="54">
        <v>0</v>
      </c>
      <c r="AF523" s="54">
        <v>0</v>
      </c>
      <c r="AG523" s="53">
        <v>0</v>
      </c>
      <c r="AH523" s="54">
        <v>0</v>
      </c>
      <c r="AI523" s="53">
        <v>0</v>
      </c>
      <c r="AJ523" s="53">
        <v>0</v>
      </c>
      <c r="AK523" s="53">
        <v>0</v>
      </c>
      <c r="AL523" s="54">
        <v>0</v>
      </c>
      <c r="AM523" s="54">
        <v>0</v>
      </c>
      <c r="AN523" s="54">
        <v>0</v>
      </c>
      <c r="AO523" s="54">
        <v>0</v>
      </c>
      <c r="AP523" s="54">
        <v>0</v>
      </c>
      <c r="AQ523" s="54">
        <v>0</v>
      </c>
      <c r="AR523" s="37"/>
    </row>
    <row r="524" spans="1:44" ht="19.5" customHeight="1">
      <c r="A524" s="207">
        <v>1</v>
      </c>
      <c r="B524" s="101" t="s">
        <v>4898</v>
      </c>
      <c r="C524" s="185" t="s">
        <v>230</v>
      </c>
      <c r="D524" s="101" t="s">
        <v>4899</v>
      </c>
      <c r="E524" s="185"/>
      <c r="F524" s="32">
        <v>120723.20884092709</v>
      </c>
      <c r="G524" s="32">
        <v>21000</v>
      </c>
      <c r="H524" s="32">
        <v>141723.20884092711</v>
      </c>
      <c r="I524" s="33">
        <v>41.988846779392759</v>
      </c>
      <c r="J524" s="33">
        <v>41.988846779392759</v>
      </c>
      <c r="K524" s="34">
        <v>13.99628225979759</v>
      </c>
      <c r="L524" s="33">
        <v>22.39405161567614</v>
      </c>
      <c r="M524" s="34">
        <v>27.99256451959517</v>
      </c>
      <c r="N524" s="34">
        <v>16.7955387117571</v>
      </c>
      <c r="O524" s="33">
        <v>16.7955387117571</v>
      </c>
      <c r="P524" s="34">
        <v>33.591077423514207</v>
      </c>
      <c r="Q524" s="33">
        <v>27.99256451959517</v>
      </c>
      <c r="R524" s="33">
        <v>33.591077423514207</v>
      </c>
      <c r="S524" s="33">
        <v>19.594795163716618</v>
      </c>
      <c r="T524" s="34">
        <v>19.594795163716618</v>
      </c>
      <c r="U524" s="34">
        <v>8.3977693558785518</v>
      </c>
      <c r="V524" s="34">
        <v>13.99628225979759</v>
      </c>
      <c r="W524" s="34">
        <v>8.3977693558785518</v>
      </c>
      <c r="X524" s="34">
        <v>83.977693558785518</v>
      </c>
      <c r="Y524" s="34">
        <v>44.788103231352281</v>
      </c>
      <c r="Z524" s="54"/>
      <c r="AA524" s="53">
        <v>7.3040287019633539</v>
      </c>
      <c r="AB524" s="53">
        <v>7.3040287019633539</v>
      </c>
      <c r="AC524" s="54">
        <v>2.4346762339877839</v>
      </c>
      <c r="AD524" s="53">
        <v>3.8954819743804552</v>
      </c>
      <c r="AE524" s="54">
        <v>4.8693524679755686</v>
      </c>
      <c r="AF524" s="54">
        <v>2.9216114807853422</v>
      </c>
      <c r="AG524" s="53">
        <v>2.9216114807853422</v>
      </c>
      <c r="AH524" s="54">
        <v>5.8432229615706834</v>
      </c>
      <c r="AI524" s="53">
        <v>4.8693524679755686</v>
      </c>
      <c r="AJ524" s="53">
        <v>5.8432229615706834</v>
      </c>
      <c r="AK524" s="53">
        <v>3.4085467275828991</v>
      </c>
      <c r="AL524" s="54">
        <v>3.4085467275828991</v>
      </c>
      <c r="AM524" s="54">
        <v>1.4608057403926711</v>
      </c>
      <c r="AN524" s="54">
        <v>2.4346762339877839</v>
      </c>
      <c r="AO524" s="54">
        <v>1.4608057403926711</v>
      </c>
      <c r="AP524" s="54">
        <v>14.608057403926709</v>
      </c>
      <c r="AQ524" s="54">
        <v>7.7909639487609104</v>
      </c>
      <c r="AR524" s="39"/>
    </row>
    <row r="525" spans="1:44" ht="19.5" customHeight="1">
      <c r="A525" s="207">
        <f t="shared" ref="A525:A528" si="56">A524+1</f>
        <v>2</v>
      </c>
      <c r="B525" s="41" t="s">
        <v>133</v>
      </c>
      <c r="C525" s="185" t="s">
        <v>94</v>
      </c>
      <c r="D525" s="101" t="s">
        <v>4900</v>
      </c>
      <c r="E525" s="185"/>
      <c r="F525" s="32">
        <v>25000</v>
      </c>
      <c r="G525" s="32">
        <v>21644.082688360701</v>
      </c>
      <c r="H525" s="32">
        <v>46644.082688360701</v>
      </c>
      <c r="I525" s="33">
        <v>8.695272264242087</v>
      </c>
      <c r="J525" s="33">
        <v>8.695272264242087</v>
      </c>
      <c r="K525" s="34">
        <v>2.898424088080696</v>
      </c>
      <c r="L525" s="33">
        <v>4.6374785409291137</v>
      </c>
      <c r="M525" s="34">
        <v>5.796848176161391</v>
      </c>
      <c r="N525" s="34">
        <v>3.4781089056968351</v>
      </c>
      <c r="O525" s="33">
        <v>3.4781089056968351</v>
      </c>
      <c r="P525" s="34">
        <v>6.9562178113936701</v>
      </c>
      <c r="Q525" s="33">
        <v>5.796848176161391</v>
      </c>
      <c r="R525" s="33">
        <v>6.9562178113936701</v>
      </c>
      <c r="S525" s="33">
        <v>4.0577937233129742</v>
      </c>
      <c r="T525" s="34">
        <v>4.0577937233129742</v>
      </c>
      <c r="U525" s="34">
        <v>1.739054452848418</v>
      </c>
      <c r="V525" s="34">
        <v>2.898424088080696</v>
      </c>
      <c r="W525" s="34">
        <v>1.739054452848418</v>
      </c>
      <c r="X525" s="34">
        <v>17.39054452848417</v>
      </c>
      <c r="Y525" s="34">
        <v>9.2749570818582274</v>
      </c>
      <c r="Z525" s="34"/>
      <c r="AA525" s="33">
        <v>7.5280476754026058</v>
      </c>
      <c r="AB525" s="33">
        <v>7.5280476754026058</v>
      </c>
      <c r="AC525" s="34">
        <v>2.5093492251342022</v>
      </c>
      <c r="AD525" s="33">
        <v>4.0149587602147232</v>
      </c>
      <c r="AE525" s="34">
        <v>5.0186984502684044</v>
      </c>
      <c r="AF525" s="34">
        <v>3.011219070161042</v>
      </c>
      <c r="AG525" s="33">
        <v>3.011219070161042</v>
      </c>
      <c r="AH525" s="34">
        <v>6.0224381403220848</v>
      </c>
      <c r="AI525" s="33">
        <v>5.0186984502684044</v>
      </c>
      <c r="AJ525" s="33">
        <v>6.0224381403220848</v>
      </c>
      <c r="AK525" s="33">
        <v>3.513088915187883</v>
      </c>
      <c r="AL525" s="34">
        <v>3.513088915187883</v>
      </c>
      <c r="AM525" s="34">
        <v>1.505609535080521</v>
      </c>
      <c r="AN525" s="34">
        <v>2.5093492251342022</v>
      </c>
      <c r="AO525" s="34">
        <v>1.505609535080521</v>
      </c>
      <c r="AP525" s="34">
        <v>15.05609535080521</v>
      </c>
      <c r="AQ525" s="34">
        <v>8.0299175204294464</v>
      </c>
      <c r="AR525" s="39"/>
    </row>
    <row r="526" spans="1:44" ht="19.5" customHeight="1">
      <c r="A526" s="207">
        <f t="shared" si="56"/>
        <v>3</v>
      </c>
      <c r="B526" s="41" t="s">
        <v>133</v>
      </c>
      <c r="C526" s="185" t="s">
        <v>94</v>
      </c>
      <c r="D526" s="101" t="s">
        <v>4901</v>
      </c>
      <c r="E526" s="185"/>
      <c r="F526" s="32">
        <v>25000</v>
      </c>
      <c r="G526" s="32">
        <v>35000</v>
      </c>
      <c r="H526" s="32">
        <v>60000</v>
      </c>
      <c r="I526" s="33">
        <v>8.695272264242087</v>
      </c>
      <c r="J526" s="33">
        <v>8.695272264242087</v>
      </c>
      <c r="K526" s="34">
        <v>2.898424088080696</v>
      </c>
      <c r="L526" s="33">
        <v>4.6374785409291137</v>
      </c>
      <c r="M526" s="34">
        <v>5.796848176161391</v>
      </c>
      <c r="N526" s="34">
        <v>3.4781089056968351</v>
      </c>
      <c r="O526" s="33">
        <v>3.4781089056968351</v>
      </c>
      <c r="P526" s="34">
        <v>6.9562178113936701</v>
      </c>
      <c r="Q526" s="33">
        <v>5.796848176161391</v>
      </c>
      <c r="R526" s="33">
        <v>6.9562178113936701</v>
      </c>
      <c r="S526" s="33">
        <v>4.0577937233129742</v>
      </c>
      <c r="T526" s="34">
        <v>4.0577937233129742</v>
      </c>
      <c r="U526" s="34">
        <v>1.739054452848418</v>
      </c>
      <c r="V526" s="34">
        <v>2.898424088080696</v>
      </c>
      <c r="W526" s="34">
        <v>1.739054452848418</v>
      </c>
      <c r="X526" s="34">
        <v>17.39054452848417</v>
      </c>
      <c r="Y526" s="34">
        <v>9.2749570818582274</v>
      </c>
      <c r="Z526" s="34"/>
      <c r="AA526" s="33">
        <v>12.173381169938921</v>
      </c>
      <c r="AB526" s="33">
        <v>12.173381169938921</v>
      </c>
      <c r="AC526" s="34">
        <v>4.0577937233129742</v>
      </c>
      <c r="AD526" s="33">
        <v>6.4924699573007594</v>
      </c>
      <c r="AE526" s="34">
        <v>8.1155874466259483</v>
      </c>
      <c r="AF526" s="34">
        <v>4.8693524679755704</v>
      </c>
      <c r="AG526" s="33">
        <v>4.8693524679755704</v>
      </c>
      <c r="AH526" s="34">
        <v>9.7387049359511391</v>
      </c>
      <c r="AI526" s="33">
        <v>8.1155874466259483</v>
      </c>
      <c r="AJ526" s="33">
        <v>9.7387049359511391</v>
      </c>
      <c r="AK526" s="33">
        <v>5.6809112126381649</v>
      </c>
      <c r="AL526" s="34">
        <v>5.6809112126381649</v>
      </c>
      <c r="AM526" s="34">
        <v>2.4346762339877852</v>
      </c>
      <c r="AN526" s="34">
        <v>4.0577937233129742</v>
      </c>
      <c r="AO526" s="34">
        <v>2.4346762339877852</v>
      </c>
      <c r="AP526" s="34">
        <v>24.346762339877849</v>
      </c>
      <c r="AQ526" s="34">
        <v>12.984939914601521</v>
      </c>
      <c r="AR526" s="39"/>
    </row>
    <row r="527" spans="1:44" ht="19.5" customHeight="1">
      <c r="A527" s="207">
        <f t="shared" si="56"/>
        <v>4</v>
      </c>
      <c r="B527" s="56" t="s">
        <v>4902</v>
      </c>
      <c r="C527" s="185" t="s">
        <v>94</v>
      </c>
      <c r="D527" s="101" t="s">
        <v>4903</v>
      </c>
      <c r="E527" s="185"/>
      <c r="F527" s="32">
        <v>106700</v>
      </c>
      <c r="G527" s="32">
        <v>16000</v>
      </c>
      <c r="H527" s="32">
        <v>122700</v>
      </c>
      <c r="I527" s="33">
        <v>37.111422023785231</v>
      </c>
      <c r="J527" s="33">
        <v>37.111422023785231</v>
      </c>
      <c r="K527" s="34">
        <v>12.37047400792841</v>
      </c>
      <c r="L527" s="33">
        <v>19.792758412685451</v>
      </c>
      <c r="M527" s="34">
        <v>24.740948015856819</v>
      </c>
      <c r="N527" s="34">
        <v>14.84456880951409</v>
      </c>
      <c r="O527" s="33">
        <v>14.84456880951409</v>
      </c>
      <c r="P527" s="34">
        <v>29.68913761902818</v>
      </c>
      <c r="Q527" s="33">
        <v>24.740948015856819</v>
      </c>
      <c r="R527" s="33">
        <v>29.68913761902818</v>
      </c>
      <c r="S527" s="33">
        <v>17.31866361109978</v>
      </c>
      <c r="T527" s="34">
        <v>17.31866361109978</v>
      </c>
      <c r="U527" s="34">
        <v>7.422284404757046</v>
      </c>
      <c r="V527" s="34">
        <v>12.37047400792841</v>
      </c>
      <c r="W527" s="34">
        <v>7.422284404757046</v>
      </c>
      <c r="X527" s="34">
        <v>74.222844047570462</v>
      </c>
      <c r="Y527" s="34">
        <v>39.58551682537091</v>
      </c>
      <c r="Z527" s="34"/>
      <c r="AA527" s="33">
        <v>5.564974249114937</v>
      </c>
      <c r="AB527" s="33">
        <v>5.564974249114937</v>
      </c>
      <c r="AC527" s="34">
        <v>1.854991416371645</v>
      </c>
      <c r="AD527" s="33">
        <v>2.9679862661946328</v>
      </c>
      <c r="AE527" s="34">
        <v>3.70998283274329</v>
      </c>
      <c r="AF527" s="34">
        <v>2.2259896996459752</v>
      </c>
      <c r="AG527" s="33">
        <v>2.2259896996459752</v>
      </c>
      <c r="AH527" s="34">
        <v>4.4519793992919494</v>
      </c>
      <c r="AI527" s="33">
        <v>3.70998283274329</v>
      </c>
      <c r="AJ527" s="33">
        <v>4.4519793992919494</v>
      </c>
      <c r="AK527" s="33">
        <v>2.5969879829203042</v>
      </c>
      <c r="AL527" s="34">
        <v>2.5969879829203042</v>
      </c>
      <c r="AM527" s="34">
        <v>1.1129948498229869</v>
      </c>
      <c r="AN527" s="34">
        <v>1.854991416371645</v>
      </c>
      <c r="AO527" s="34">
        <v>1.1129948498229869</v>
      </c>
      <c r="AP527" s="34">
        <v>11.12994849822987</v>
      </c>
      <c r="AQ527" s="34">
        <v>5.9359725323892656</v>
      </c>
      <c r="AR527" s="37"/>
    </row>
    <row r="528" spans="1:44" ht="19.5" customHeight="1">
      <c r="A528" s="207">
        <f t="shared" si="56"/>
        <v>5</v>
      </c>
      <c r="B528" s="41" t="s">
        <v>133</v>
      </c>
      <c r="C528" s="185" t="s">
        <v>94</v>
      </c>
      <c r="D528" s="101" t="s">
        <v>4904</v>
      </c>
      <c r="E528" s="185"/>
      <c r="F528" s="32">
        <v>20000</v>
      </c>
      <c r="G528" s="32">
        <v>27055.103360450881</v>
      </c>
      <c r="H528" s="32">
        <v>47055.103360450878</v>
      </c>
      <c r="I528" s="33">
        <v>6.956217811393671</v>
      </c>
      <c r="J528" s="33">
        <v>6.956217811393671</v>
      </c>
      <c r="K528" s="34">
        <v>2.318739270464556</v>
      </c>
      <c r="L528" s="33">
        <v>3.7099828327432909</v>
      </c>
      <c r="M528" s="34">
        <v>4.6374785409291128</v>
      </c>
      <c r="N528" s="34">
        <v>2.7824871245574681</v>
      </c>
      <c r="O528" s="33">
        <v>2.7824871245574681</v>
      </c>
      <c r="P528" s="34">
        <v>5.564974249114937</v>
      </c>
      <c r="Q528" s="33">
        <v>4.6374785409291128</v>
      </c>
      <c r="R528" s="33">
        <v>5.564974249114937</v>
      </c>
      <c r="S528" s="33">
        <v>3.2462349786503801</v>
      </c>
      <c r="T528" s="34">
        <v>3.2462349786503801</v>
      </c>
      <c r="U528" s="34">
        <v>1.391243562278734</v>
      </c>
      <c r="V528" s="34">
        <v>2.318739270464556</v>
      </c>
      <c r="W528" s="34">
        <v>1.391243562278734</v>
      </c>
      <c r="X528" s="34">
        <v>13.91243562278734</v>
      </c>
      <c r="Y528" s="34">
        <v>7.4199656654865818</v>
      </c>
      <c r="Z528" s="34"/>
      <c r="AA528" s="33">
        <v>9.4100595942532586</v>
      </c>
      <c r="AB528" s="33">
        <v>9.4100595942532586</v>
      </c>
      <c r="AC528" s="34">
        <v>3.136686531417753</v>
      </c>
      <c r="AD528" s="33">
        <v>5.0186984502684053</v>
      </c>
      <c r="AE528" s="34">
        <v>6.2733730628355051</v>
      </c>
      <c r="AF528" s="34">
        <v>3.7640238377013042</v>
      </c>
      <c r="AG528" s="33">
        <v>3.7640238377013042</v>
      </c>
      <c r="AH528" s="34">
        <v>7.5280476754026084</v>
      </c>
      <c r="AI528" s="33">
        <v>6.2733730628355051</v>
      </c>
      <c r="AJ528" s="33">
        <v>7.5280476754026084</v>
      </c>
      <c r="AK528" s="33">
        <v>4.3913611439848541</v>
      </c>
      <c r="AL528" s="34">
        <v>4.3913611439848541</v>
      </c>
      <c r="AM528" s="34">
        <v>1.8820119188506521</v>
      </c>
      <c r="AN528" s="34">
        <v>3.136686531417753</v>
      </c>
      <c r="AO528" s="34">
        <v>1.8820119188506521</v>
      </c>
      <c r="AP528" s="34">
        <v>18.820119188506521</v>
      </c>
      <c r="AQ528" s="34">
        <v>10.037396900536811</v>
      </c>
      <c r="AR528" s="39"/>
    </row>
    <row r="529" spans="1:44" ht="19.5" customHeight="1">
      <c r="A529" s="232"/>
      <c r="B529" s="137" t="s">
        <v>4905</v>
      </c>
      <c r="C529" s="232" t="s">
        <v>185</v>
      </c>
      <c r="D529" s="137" t="s">
        <v>4906</v>
      </c>
      <c r="E529" s="232">
        <v>5</v>
      </c>
      <c r="F529" s="52">
        <v>297423.20884092711</v>
      </c>
      <c r="G529" s="52">
        <v>120699.18604881161</v>
      </c>
      <c r="H529" s="52">
        <v>418122.3948897387</v>
      </c>
      <c r="I529" s="53">
        <v>103.4470311430558</v>
      </c>
      <c r="J529" s="53">
        <v>103.4470311430558</v>
      </c>
      <c r="K529" s="54">
        <v>34.482343714351941</v>
      </c>
      <c r="L529" s="53">
        <v>55.17174994296311</v>
      </c>
      <c r="M529" s="54">
        <v>68.964687428703883</v>
      </c>
      <c r="N529" s="54">
        <v>41.378812457222331</v>
      </c>
      <c r="O529" s="53">
        <v>41.378812457222331</v>
      </c>
      <c r="P529" s="54">
        <v>82.757624914444662</v>
      </c>
      <c r="Q529" s="53">
        <v>68.964687428703883</v>
      </c>
      <c r="R529" s="53">
        <v>82.757624914444662</v>
      </c>
      <c r="S529" s="53">
        <v>48.275281200092721</v>
      </c>
      <c r="T529" s="54">
        <v>48.275281200092721</v>
      </c>
      <c r="U529" s="54">
        <v>20.689406228611169</v>
      </c>
      <c r="V529" s="54">
        <v>34.482343714351941</v>
      </c>
      <c r="W529" s="54">
        <v>20.689406228611169</v>
      </c>
      <c r="X529" s="54">
        <v>206.89406228611159</v>
      </c>
      <c r="Y529" s="54">
        <v>110.34349988592621</v>
      </c>
      <c r="Z529" s="54"/>
      <c r="AA529" s="53">
        <v>41.98049139067308</v>
      </c>
      <c r="AB529" s="53">
        <v>41.98049139067308</v>
      </c>
      <c r="AC529" s="54">
        <v>13.993497130224361</v>
      </c>
      <c r="AD529" s="53">
        <v>22.389595408358979</v>
      </c>
      <c r="AE529" s="54">
        <v>27.986994260448721</v>
      </c>
      <c r="AF529" s="54">
        <v>16.792196556269229</v>
      </c>
      <c r="AG529" s="53">
        <v>16.792196556269229</v>
      </c>
      <c r="AH529" s="54">
        <v>33.584393112538457</v>
      </c>
      <c r="AI529" s="53">
        <v>27.986994260448721</v>
      </c>
      <c r="AJ529" s="53">
        <v>33.584393112538457</v>
      </c>
      <c r="AK529" s="53">
        <v>19.590895982314109</v>
      </c>
      <c r="AL529" s="54">
        <v>19.590895982314109</v>
      </c>
      <c r="AM529" s="54">
        <v>8.3960982781346161</v>
      </c>
      <c r="AN529" s="54">
        <v>13.993497130224361</v>
      </c>
      <c r="AO529" s="54">
        <v>8.3960982781346161</v>
      </c>
      <c r="AP529" s="54">
        <v>83.960982781346161</v>
      </c>
      <c r="AQ529" s="54">
        <v>44.779190816717957</v>
      </c>
      <c r="AR529" s="37"/>
    </row>
    <row r="530" spans="1:44" ht="19.5" customHeight="1">
      <c r="A530" s="207">
        <v>1</v>
      </c>
      <c r="B530" s="102" t="s">
        <v>4811</v>
      </c>
      <c r="C530" s="185" t="s">
        <v>159</v>
      </c>
      <c r="D530" s="235" t="s">
        <v>4907</v>
      </c>
      <c r="E530" s="185"/>
      <c r="F530" s="32">
        <v>110000</v>
      </c>
      <c r="G530" s="32">
        <v>28000</v>
      </c>
      <c r="H530" s="32">
        <v>138000</v>
      </c>
      <c r="I530" s="33">
        <v>38.259197962665183</v>
      </c>
      <c r="J530" s="33">
        <v>38.259197962665183</v>
      </c>
      <c r="K530" s="34">
        <v>12.753065987555059</v>
      </c>
      <c r="L530" s="33">
        <v>20.404905580088101</v>
      </c>
      <c r="M530" s="34">
        <v>25.506131975110119</v>
      </c>
      <c r="N530" s="34">
        <v>15.30367918506608</v>
      </c>
      <c r="O530" s="33">
        <v>15.30367918506608</v>
      </c>
      <c r="P530" s="34">
        <v>30.60735837013215</v>
      </c>
      <c r="Q530" s="33">
        <v>25.506131975110119</v>
      </c>
      <c r="R530" s="33">
        <v>30.60735837013215</v>
      </c>
      <c r="S530" s="33">
        <v>17.854292382577089</v>
      </c>
      <c r="T530" s="34">
        <v>17.854292382577089</v>
      </c>
      <c r="U530" s="34">
        <v>7.6518395925330376</v>
      </c>
      <c r="V530" s="34">
        <v>12.753065987555059</v>
      </c>
      <c r="W530" s="34">
        <v>7.6518395925330376</v>
      </c>
      <c r="X530" s="34">
        <v>76.518395925330367</v>
      </c>
      <c r="Y530" s="34">
        <v>40.809811160176203</v>
      </c>
      <c r="Z530" s="34"/>
      <c r="AA530" s="33">
        <v>9.7387049359511391</v>
      </c>
      <c r="AB530" s="33">
        <v>9.7387049359511391</v>
      </c>
      <c r="AC530" s="34">
        <v>3.2462349786503788</v>
      </c>
      <c r="AD530" s="33">
        <v>5.1939759658406084</v>
      </c>
      <c r="AE530" s="34">
        <v>6.4924699573007576</v>
      </c>
      <c r="AF530" s="34">
        <v>3.8954819743804561</v>
      </c>
      <c r="AG530" s="33">
        <v>3.8954819743804561</v>
      </c>
      <c r="AH530" s="34">
        <v>7.7909639487609113</v>
      </c>
      <c r="AI530" s="33">
        <v>6.4924699573007576</v>
      </c>
      <c r="AJ530" s="33">
        <v>7.7909639487609113</v>
      </c>
      <c r="AK530" s="33">
        <v>4.5447289701105316</v>
      </c>
      <c r="AL530" s="34">
        <v>4.5447289701105316</v>
      </c>
      <c r="AM530" s="34">
        <v>1.947740987190228</v>
      </c>
      <c r="AN530" s="34">
        <v>3.2462349786503788</v>
      </c>
      <c r="AO530" s="34">
        <v>1.947740987190228</v>
      </c>
      <c r="AP530" s="34">
        <v>19.477409871902282</v>
      </c>
      <c r="AQ530" s="34">
        <v>10.38795193168122</v>
      </c>
      <c r="AR530" s="39"/>
    </row>
    <row r="531" spans="1:44" ht="19.5" customHeight="1">
      <c r="A531" s="207">
        <f t="shared" ref="A531:A533" si="57">A530+1</f>
        <v>2</v>
      </c>
      <c r="B531" s="41" t="s">
        <v>133</v>
      </c>
      <c r="C531" s="26" t="s">
        <v>94</v>
      </c>
      <c r="D531" s="235" t="s">
        <v>4908</v>
      </c>
      <c r="E531" s="185"/>
      <c r="F531" s="32">
        <v>30000</v>
      </c>
      <c r="G531" s="32">
        <v>30000</v>
      </c>
      <c r="H531" s="32">
        <v>60000</v>
      </c>
      <c r="I531" s="33">
        <v>10.43432671709051</v>
      </c>
      <c r="J531" s="33">
        <v>10.43432671709051</v>
      </c>
      <c r="K531" s="34">
        <v>3.4781089056968351</v>
      </c>
      <c r="L531" s="33">
        <v>5.564974249114937</v>
      </c>
      <c r="M531" s="34">
        <v>6.9562178113936701</v>
      </c>
      <c r="N531" s="34">
        <v>4.173730686836203</v>
      </c>
      <c r="O531" s="33">
        <v>4.173730686836203</v>
      </c>
      <c r="P531" s="34">
        <v>8.3474613736724059</v>
      </c>
      <c r="Q531" s="33">
        <v>6.9562178113936701</v>
      </c>
      <c r="R531" s="33">
        <v>8.3474613736724059</v>
      </c>
      <c r="S531" s="33">
        <v>4.8693524679755704</v>
      </c>
      <c r="T531" s="34">
        <v>4.8693524679755704</v>
      </c>
      <c r="U531" s="34">
        <v>2.086865343418101</v>
      </c>
      <c r="V531" s="34">
        <v>3.4781089056968351</v>
      </c>
      <c r="W531" s="34">
        <v>2.086865343418101</v>
      </c>
      <c r="X531" s="34">
        <v>20.868653434181009</v>
      </c>
      <c r="Y531" s="34">
        <v>11.12994849822987</v>
      </c>
      <c r="Z531" s="34"/>
      <c r="AA531" s="33">
        <v>10.43432671709051</v>
      </c>
      <c r="AB531" s="33">
        <v>10.43432671709051</v>
      </c>
      <c r="AC531" s="34">
        <v>3.4781089056968351</v>
      </c>
      <c r="AD531" s="33">
        <v>5.564974249114937</v>
      </c>
      <c r="AE531" s="34">
        <v>6.9562178113936701</v>
      </c>
      <c r="AF531" s="34">
        <v>4.173730686836203</v>
      </c>
      <c r="AG531" s="33">
        <v>4.173730686836203</v>
      </c>
      <c r="AH531" s="34">
        <v>8.3474613736724059</v>
      </c>
      <c r="AI531" s="33">
        <v>6.9562178113936701</v>
      </c>
      <c r="AJ531" s="33">
        <v>8.3474613736724059</v>
      </c>
      <c r="AK531" s="33">
        <v>4.8693524679755704</v>
      </c>
      <c r="AL531" s="34">
        <v>4.8693524679755704</v>
      </c>
      <c r="AM531" s="34">
        <v>2.086865343418101</v>
      </c>
      <c r="AN531" s="34">
        <v>3.4781089056968351</v>
      </c>
      <c r="AO531" s="34">
        <v>2.086865343418101</v>
      </c>
      <c r="AP531" s="34">
        <v>20.868653434181009</v>
      </c>
      <c r="AQ531" s="34">
        <v>11.12994849822987</v>
      </c>
      <c r="AR531" s="37"/>
    </row>
    <row r="532" spans="1:44" ht="19.5" customHeight="1">
      <c r="A532" s="207">
        <f t="shared" si="57"/>
        <v>3</v>
      </c>
      <c r="B532" s="102" t="s">
        <v>4909</v>
      </c>
      <c r="C532" s="185" t="s">
        <v>94</v>
      </c>
      <c r="D532" s="101" t="s">
        <v>4910</v>
      </c>
      <c r="E532" s="185"/>
      <c r="F532" s="32">
        <v>130000</v>
      </c>
      <c r="G532" s="32">
        <v>15000</v>
      </c>
      <c r="H532" s="32">
        <v>145000</v>
      </c>
      <c r="I532" s="33">
        <v>45.215415774058862</v>
      </c>
      <c r="J532" s="33">
        <v>45.215415774058862</v>
      </c>
      <c r="K532" s="34">
        <v>15.071805258019619</v>
      </c>
      <c r="L532" s="33">
        <v>24.114888412831391</v>
      </c>
      <c r="M532" s="34">
        <v>30.143610516039239</v>
      </c>
      <c r="N532" s="34">
        <v>18.08616630962355</v>
      </c>
      <c r="O532" s="33">
        <v>18.08616630962355</v>
      </c>
      <c r="P532" s="34">
        <v>36.172332619247094</v>
      </c>
      <c r="Q532" s="33">
        <v>30.143610516039239</v>
      </c>
      <c r="R532" s="33">
        <v>36.172332619247094</v>
      </c>
      <c r="S532" s="33">
        <v>21.100527361227471</v>
      </c>
      <c r="T532" s="34">
        <v>21.100527361227471</v>
      </c>
      <c r="U532" s="34">
        <v>9.0430831548117734</v>
      </c>
      <c r="V532" s="34">
        <v>15.071805258019619</v>
      </c>
      <c r="W532" s="34">
        <v>9.0430831548117734</v>
      </c>
      <c r="X532" s="34">
        <v>90.430831548117723</v>
      </c>
      <c r="Y532" s="34">
        <v>48.229776825662782</v>
      </c>
      <c r="Z532" s="54"/>
      <c r="AA532" s="33">
        <v>5.2171633585452533</v>
      </c>
      <c r="AB532" s="33">
        <v>5.2171633585452533</v>
      </c>
      <c r="AC532" s="34">
        <v>1.739054452848418</v>
      </c>
      <c r="AD532" s="33">
        <v>2.7824871245574681</v>
      </c>
      <c r="AE532" s="34">
        <v>3.4781089056968351</v>
      </c>
      <c r="AF532" s="34">
        <v>2.086865343418101</v>
      </c>
      <c r="AG532" s="33">
        <v>2.086865343418101</v>
      </c>
      <c r="AH532" s="34">
        <v>4.173730686836203</v>
      </c>
      <c r="AI532" s="33">
        <v>3.4781089056968351</v>
      </c>
      <c r="AJ532" s="33">
        <v>4.173730686836203</v>
      </c>
      <c r="AK532" s="33">
        <v>2.4346762339877852</v>
      </c>
      <c r="AL532" s="34">
        <v>2.4346762339877852</v>
      </c>
      <c r="AM532" s="34">
        <v>1.043432671709051</v>
      </c>
      <c r="AN532" s="34">
        <v>1.739054452848418</v>
      </c>
      <c r="AO532" s="34">
        <v>1.043432671709051</v>
      </c>
      <c r="AP532" s="34">
        <v>10.43432671709051</v>
      </c>
      <c r="AQ532" s="34">
        <v>5.564974249114937</v>
      </c>
      <c r="AR532" s="39"/>
    </row>
    <row r="533" spans="1:44" ht="19.5" customHeight="1">
      <c r="A533" s="207">
        <f t="shared" si="57"/>
        <v>4</v>
      </c>
      <c r="B533" s="41" t="s">
        <v>133</v>
      </c>
      <c r="C533" s="26" t="s">
        <v>94</v>
      </c>
      <c r="D533" s="101" t="s">
        <v>4911</v>
      </c>
      <c r="E533" s="185"/>
      <c r="F533" s="32">
        <v>21000</v>
      </c>
      <c r="G533" s="32">
        <v>30000</v>
      </c>
      <c r="H533" s="32">
        <v>51000</v>
      </c>
      <c r="I533" s="33">
        <v>7.3040287019633539</v>
      </c>
      <c r="J533" s="33">
        <v>7.3040287019633539</v>
      </c>
      <c r="K533" s="34">
        <v>2.4346762339877839</v>
      </c>
      <c r="L533" s="33">
        <v>3.8954819743804552</v>
      </c>
      <c r="M533" s="34">
        <v>4.8693524679755686</v>
      </c>
      <c r="N533" s="34">
        <v>2.9216114807853422</v>
      </c>
      <c r="O533" s="33">
        <v>2.9216114807853422</v>
      </c>
      <c r="P533" s="34">
        <v>5.8432229615706834</v>
      </c>
      <c r="Q533" s="33">
        <v>4.8693524679755686</v>
      </c>
      <c r="R533" s="33">
        <v>5.8432229615706834</v>
      </c>
      <c r="S533" s="33">
        <v>3.4085467275828991</v>
      </c>
      <c r="T533" s="34">
        <v>3.4085467275828991</v>
      </c>
      <c r="U533" s="34">
        <v>1.4608057403926711</v>
      </c>
      <c r="V533" s="34">
        <v>2.4346762339877839</v>
      </c>
      <c r="W533" s="34">
        <v>1.4608057403926711</v>
      </c>
      <c r="X533" s="34">
        <v>14.608057403926709</v>
      </c>
      <c r="Y533" s="34">
        <v>7.7909639487609104</v>
      </c>
      <c r="Z533" s="34"/>
      <c r="AA533" s="33">
        <v>10.43432671709051</v>
      </c>
      <c r="AB533" s="33">
        <v>10.43432671709051</v>
      </c>
      <c r="AC533" s="34">
        <v>3.4781089056968351</v>
      </c>
      <c r="AD533" s="33">
        <v>5.564974249114937</v>
      </c>
      <c r="AE533" s="34">
        <v>6.9562178113936701</v>
      </c>
      <c r="AF533" s="34">
        <v>4.173730686836203</v>
      </c>
      <c r="AG533" s="33">
        <v>4.173730686836203</v>
      </c>
      <c r="AH533" s="34">
        <v>8.3474613736724059</v>
      </c>
      <c r="AI533" s="33">
        <v>6.9562178113936701</v>
      </c>
      <c r="AJ533" s="33">
        <v>8.3474613736724059</v>
      </c>
      <c r="AK533" s="33">
        <v>4.8693524679755704</v>
      </c>
      <c r="AL533" s="34">
        <v>4.8693524679755704</v>
      </c>
      <c r="AM533" s="34">
        <v>2.086865343418101</v>
      </c>
      <c r="AN533" s="34">
        <v>3.4781089056968351</v>
      </c>
      <c r="AO533" s="34">
        <v>2.086865343418101</v>
      </c>
      <c r="AP533" s="34">
        <v>20.868653434181009</v>
      </c>
      <c r="AQ533" s="34">
        <v>11.12994849822987</v>
      </c>
      <c r="AR533" s="37"/>
    </row>
    <row r="534" spans="1:44" ht="19.5" customHeight="1">
      <c r="A534" s="232"/>
      <c r="B534" s="184" t="s">
        <v>4912</v>
      </c>
      <c r="C534" s="232" t="s">
        <v>389</v>
      </c>
      <c r="D534" s="137" t="s">
        <v>4913</v>
      </c>
      <c r="E534" s="232">
        <v>4</v>
      </c>
      <c r="F534" s="52">
        <v>291000</v>
      </c>
      <c r="G534" s="52">
        <v>103000</v>
      </c>
      <c r="H534" s="52">
        <v>394000</v>
      </c>
      <c r="I534" s="53">
        <v>101.2129691557779</v>
      </c>
      <c r="J534" s="53">
        <v>101.2129691557779</v>
      </c>
      <c r="K534" s="54">
        <v>33.737656385259299</v>
      </c>
      <c r="L534" s="53">
        <v>53.980250216414888</v>
      </c>
      <c r="M534" s="54">
        <v>67.475312770518599</v>
      </c>
      <c r="N534" s="54">
        <v>40.485187662311169</v>
      </c>
      <c r="O534" s="53">
        <v>40.485187662311169</v>
      </c>
      <c r="P534" s="54">
        <v>80.970375324622339</v>
      </c>
      <c r="Q534" s="53">
        <v>67.475312770518599</v>
      </c>
      <c r="R534" s="53">
        <v>80.970375324622339</v>
      </c>
      <c r="S534" s="53">
        <v>47.232718939363018</v>
      </c>
      <c r="T534" s="54">
        <v>47.232718939363018</v>
      </c>
      <c r="U534" s="54">
        <v>20.242593831155581</v>
      </c>
      <c r="V534" s="54">
        <v>33.737656385259299</v>
      </c>
      <c r="W534" s="54">
        <v>20.242593831155581</v>
      </c>
      <c r="X534" s="54">
        <v>202.4259383115558</v>
      </c>
      <c r="Y534" s="54">
        <v>107.9605004328298</v>
      </c>
      <c r="Z534" s="34"/>
      <c r="AA534" s="33">
        <v>35.824521728677396</v>
      </c>
      <c r="AB534" s="33">
        <v>35.824521728677396</v>
      </c>
      <c r="AC534" s="34">
        <v>11.94150724289247</v>
      </c>
      <c r="AD534" s="33">
        <v>19.10641158862795</v>
      </c>
      <c r="AE534" s="34">
        <v>23.88301448578493</v>
      </c>
      <c r="AF534" s="34">
        <v>14.32980869147096</v>
      </c>
      <c r="AG534" s="33">
        <v>14.32980869147096</v>
      </c>
      <c r="AH534" s="34">
        <v>28.659617382941931</v>
      </c>
      <c r="AI534" s="33">
        <v>23.88301448578493</v>
      </c>
      <c r="AJ534" s="33">
        <v>28.659617382941931</v>
      </c>
      <c r="AK534" s="33">
        <v>16.718110140049461</v>
      </c>
      <c r="AL534" s="34">
        <v>16.718110140049461</v>
      </c>
      <c r="AM534" s="34">
        <v>7.164904345735482</v>
      </c>
      <c r="AN534" s="34">
        <v>11.94150724289247</v>
      </c>
      <c r="AO534" s="34">
        <v>7.164904345735482</v>
      </c>
      <c r="AP534" s="34">
        <v>71.649043457354807</v>
      </c>
      <c r="AQ534" s="34">
        <v>38.212823177255899</v>
      </c>
      <c r="AR534" s="39"/>
    </row>
    <row r="535" spans="1:44" ht="19.5" customHeight="1">
      <c r="A535" s="123"/>
      <c r="B535" s="122" t="s">
        <v>4905</v>
      </c>
      <c r="C535" s="123" t="s">
        <v>185</v>
      </c>
      <c r="D535" s="122" t="s">
        <v>4906</v>
      </c>
      <c r="E535" s="123">
        <f>E534+E529</f>
        <v>9</v>
      </c>
      <c r="F535" s="144">
        <v>588423.20884092711</v>
      </c>
      <c r="G535" s="144">
        <v>223699.18604881159</v>
      </c>
      <c r="H535" s="144">
        <v>812122.39488973864</v>
      </c>
      <c r="I535" s="53">
        <v>204.66000029883369</v>
      </c>
      <c r="J535" s="53">
        <v>204.66000029883369</v>
      </c>
      <c r="K535" s="54">
        <v>68.220000099611241</v>
      </c>
      <c r="L535" s="53">
        <v>109.15200015937801</v>
      </c>
      <c r="M535" s="54">
        <v>136.44000019922251</v>
      </c>
      <c r="N535" s="54">
        <v>81.8640001195335</v>
      </c>
      <c r="O535" s="53">
        <v>81.8640001195335</v>
      </c>
      <c r="P535" s="54">
        <v>163.728000239067</v>
      </c>
      <c r="Q535" s="53">
        <v>136.44000019922251</v>
      </c>
      <c r="R535" s="53">
        <v>163.728000239067</v>
      </c>
      <c r="S535" s="53">
        <v>95.508000139455746</v>
      </c>
      <c r="T535" s="54">
        <v>95.508000139455746</v>
      </c>
      <c r="U535" s="54">
        <v>40.93200005976675</v>
      </c>
      <c r="V535" s="54">
        <v>68.220000099611241</v>
      </c>
      <c r="W535" s="54">
        <v>40.93200005976675</v>
      </c>
      <c r="X535" s="54">
        <v>409.32000059766739</v>
      </c>
      <c r="Y535" s="54">
        <v>218.30400031875601</v>
      </c>
      <c r="Z535" s="54"/>
      <c r="AA535" s="53">
        <v>77.805013119350477</v>
      </c>
      <c r="AB535" s="53">
        <v>77.805013119350477</v>
      </c>
      <c r="AC535" s="54">
        <v>25.935004373116829</v>
      </c>
      <c r="AD535" s="53">
        <v>41.496006996986921</v>
      </c>
      <c r="AE535" s="54">
        <v>51.870008746233651</v>
      </c>
      <c r="AF535" s="54">
        <v>31.122005247740191</v>
      </c>
      <c r="AG535" s="53">
        <v>31.122005247740191</v>
      </c>
      <c r="AH535" s="54">
        <v>62.244010495480389</v>
      </c>
      <c r="AI535" s="53">
        <v>51.870008746233651</v>
      </c>
      <c r="AJ535" s="53">
        <v>62.244010495480389</v>
      </c>
      <c r="AK535" s="53">
        <v>36.309006122363563</v>
      </c>
      <c r="AL535" s="54">
        <v>36.309006122363563</v>
      </c>
      <c r="AM535" s="54">
        <v>15.561002623870101</v>
      </c>
      <c r="AN535" s="54">
        <v>25.935004373116829</v>
      </c>
      <c r="AO535" s="54">
        <v>15.561002623870101</v>
      </c>
      <c r="AP535" s="54">
        <v>155.61002623870101</v>
      </c>
      <c r="AQ535" s="54">
        <v>82.992013993973842</v>
      </c>
      <c r="AR535" s="37"/>
    </row>
    <row r="536" spans="1:44" ht="19.5" customHeight="1">
      <c r="A536" s="207">
        <f>A528+1</f>
        <v>6</v>
      </c>
      <c r="B536" s="41" t="s">
        <v>133</v>
      </c>
      <c r="C536" s="185" t="s">
        <v>94</v>
      </c>
      <c r="D536" s="101" t="s">
        <v>4914</v>
      </c>
      <c r="E536" s="185"/>
      <c r="F536" s="32">
        <v>15000</v>
      </c>
      <c r="G536" s="32">
        <v>25000</v>
      </c>
      <c r="H536" s="32">
        <v>40000</v>
      </c>
      <c r="I536" s="33">
        <v>5.2171633585452533</v>
      </c>
      <c r="J536" s="33">
        <v>5.2171633585452533</v>
      </c>
      <c r="K536" s="34">
        <v>1.739054452848418</v>
      </c>
      <c r="L536" s="33">
        <v>2.7824871245574681</v>
      </c>
      <c r="M536" s="34">
        <v>3.4781089056968351</v>
      </c>
      <c r="N536" s="34">
        <v>2.086865343418101</v>
      </c>
      <c r="O536" s="33">
        <v>2.086865343418101</v>
      </c>
      <c r="P536" s="34">
        <v>4.173730686836203</v>
      </c>
      <c r="Q536" s="33">
        <v>3.4781089056968351</v>
      </c>
      <c r="R536" s="33">
        <v>4.173730686836203</v>
      </c>
      <c r="S536" s="33">
        <v>2.4346762339877852</v>
      </c>
      <c r="T536" s="34">
        <v>2.4346762339877852</v>
      </c>
      <c r="U536" s="34">
        <v>1.043432671709051</v>
      </c>
      <c r="V536" s="34">
        <v>1.739054452848418</v>
      </c>
      <c r="W536" s="34">
        <v>1.043432671709051</v>
      </c>
      <c r="X536" s="34">
        <v>10.43432671709051</v>
      </c>
      <c r="Y536" s="34">
        <v>5.564974249114937</v>
      </c>
      <c r="Z536" s="34"/>
      <c r="AA536" s="33">
        <v>8.695272264242087</v>
      </c>
      <c r="AB536" s="33">
        <v>8.695272264242087</v>
      </c>
      <c r="AC536" s="34">
        <v>2.898424088080696</v>
      </c>
      <c r="AD536" s="33">
        <v>4.6374785409291137</v>
      </c>
      <c r="AE536" s="34">
        <v>5.796848176161391</v>
      </c>
      <c r="AF536" s="34">
        <v>3.4781089056968351</v>
      </c>
      <c r="AG536" s="33">
        <v>3.4781089056968351</v>
      </c>
      <c r="AH536" s="34">
        <v>6.9562178113936701</v>
      </c>
      <c r="AI536" s="33">
        <v>5.796848176161391</v>
      </c>
      <c r="AJ536" s="33">
        <v>6.9562178113936701</v>
      </c>
      <c r="AK536" s="33">
        <v>4.0577937233129742</v>
      </c>
      <c r="AL536" s="34">
        <v>4.0577937233129742</v>
      </c>
      <c r="AM536" s="34">
        <v>1.739054452848418</v>
      </c>
      <c r="AN536" s="34">
        <v>2.898424088080696</v>
      </c>
      <c r="AO536" s="34">
        <v>1.739054452848418</v>
      </c>
      <c r="AP536" s="34">
        <v>17.39054452848417</v>
      </c>
      <c r="AQ536" s="34">
        <v>9.2749570818582274</v>
      </c>
      <c r="AR536" s="37"/>
    </row>
    <row r="537" spans="1:44" ht="19.5" customHeight="1">
      <c r="A537" s="207">
        <f t="shared" ref="A537:A540" si="58">A536+1</f>
        <v>7</v>
      </c>
      <c r="B537" s="101" t="s">
        <v>4915</v>
      </c>
      <c r="C537" s="185" t="s">
        <v>159</v>
      </c>
      <c r="D537" s="101" t="s">
        <v>4916</v>
      </c>
      <c r="E537" s="185"/>
      <c r="F537" s="32">
        <v>129801.9867415659</v>
      </c>
      <c r="G537" s="32">
        <v>16233.062016270531</v>
      </c>
      <c r="H537" s="32">
        <v>146035.04875783651</v>
      </c>
      <c r="I537" s="53">
        <v>45.146544606298299</v>
      </c>
      <c r="J537" s="53">
        <v>45.146544606298299</v>
      </c>
      <c r="K537" s="54">
        <v>15.04884820209943</v>
      </c>
      <c r="L537" s="53">
        <v>24.078157123359091</v>
      </c>
      <c r="M537" s="54">
        <v>30.09769640419886</v>
      </c>
      <c r="N537" s="54">
        <v>18.058617842519318</v>
      </c>
      <c r="O537" s="53">
        <v>18.058617842519318</v>
      </c>
      <c r="P537" s="54">
        <v>36.117235685038636</v>
      </c>
      <c r="Q537" s="53">
        <v>30.09769640419886</v>
      </c>
      <c r="R537" s="53">
        <v>36.117235685038636</v>
      </c>
      <c r="S537" s="53">
        <v>21.068387482939201</v>
      </c>
      <c r="T537" s="54">
        <v>21.068387482939201</v>
      </c>
      <c r="U537" s="54">
        <v>9.0293089212596591</v>
      </c>
      <c r="V537" s="54">
        <v>15.04884820209943</v>
      </c>
      <c r="W537" s="54">
        <v>9.0293089212596591</v>
      </c>
      <c r="X537" s="54">
        <v>90.293089212596598</v>
      </c>
      <c r="Y537" s="54">
        <v>48.156314246718182</v>
      </c>
      <c r="Z537" s="34"/>
      <c r="AA537" s="33">
        <v>5.6460357565519539</v>
      </c>
      <c r="AB537" s="33">
        <v>5.6460357565519539</v>
      </c>
      <c r="AC537" s="34">
        <v>1.882011918850651</v>
      </c>
      <c r="AD537" s="33">
        <v>3.011219070161042</v>
      </c>
      <c r="AE537" s="34">
        <v>3.764023837701302</v>
      </c>
      <c r="AF537" s="34">
        <v>2.258414302620781</v>
      </c>
      <c r="AG537" s="33">
        <v>2.258414302620781</v>
      </c>
      <c r="AH537" s="34">
        <v>4.5168286052415629</v>
      </c>
      <c r="AI537" s="33">
        <v>3.764023837701302</v>
      </c>
      <c r="AJ537" s="33">
        <v>4.5168286052415629</v>
      </c>
      <c r="AK537" s="33">
        <v>2.6348166863909119</v>
      </c>
      <c r="AL537" s="34">
        <v>2.6348166863909119</v>
      </c>
      <c r="AM537" s="34">
        <v>1.129207151310391</v>
      </c>
      <c r="AN537" s="34">
        <v>1.882011918850651</v>
      </c>
      <c r="AO537" s="34">
        <v>1.129207151310391</v>
      </c>
      <c r="AP537" s="34">
        <v>11.29207151310391</v>
      </c>
      <c r="AQ537" s="34">
        <v>6.0224381403220839</v>
      </c>
      <c r="AR537" s="39"/>
    </row>
    <row r="538" spans="1:44" ht="19.5" customHeight="1">
      <c r="A538" s="207">
        <f t="shared" si="58"/>
        <v>8</v>
      </c>
      <c r="B538" s="41" t="s">
        <v>133</v>
      </c>
      <c r="C538" s="185" t="s">
        <v>94</v>
      </c>
      <c r="D538" s="101" t="s">
        <v>4917</v>
      </c>
      <c r="E538" s="185"/>
      <c r="F538" s="32">
        <v>10000</v>
      </c>
      <c r="G538" s="32">
        <v>21644.082688360701</v>
      </c>
      <c r="H538" s="32">
        <v>31644.082688360701</v>
      </c>
      <c r="I538" s="33">
        <v>3.478108905696836</v>
      </c>
      <c r="J538" s="33">
        <v>3.478108905696836</v>
      </c>
      <c r="K538" s="34">
        <v>1.159369635232278</v>
      </c>
      <c r="L538" s="33">
        <v>1.854991416371645</v>
      </c>
      <c r="M538" s="34">
        <v>2.318739270464556</v>
      </c>
      <c r="N538" s="34">
        <v>1.391243562278734</v>
      </c>
      <c r="O538" s="33">
        <v>1.391243562278734</v>
      </c>
      <c r="P538" s="34">
        <v>2.7824871245574681</v>
      </c>
      <c r="Q538" s="33">
        <v>2.318739270464556</v>
      </c>
      <c r="R538" s="33">
        <v>2.7824871245574681</v>
      </c>
      <c r="S538" s="33">
        <v>1.6231174893251901</v>
      </c>
      <c r="T538" s="34">
        <v>1.6231174893251901</v>
      </c>
      <c r="U538" s="34">
        <v>0.69562178113936712</v>
      </c>
      <c r="V538" s="34">
        <v>1.159369635232278</v>
      </c>
      <c r="W538" s="34">
        <v>0.69562178113936712</v>
      </c>
      <c r="X538" s="34">
        <v>6.956217811393671</v>
      </c>
      <c r="Y538" s="34">
        <v>3.7099828327432909</v>
      </c>
      <c r="Z538" s="34"/>
      <c r="AA538" s="33">
        <v>7.5280476754026058</v>
      </c>
      <c r="AB538" s="33">
        <v>7.5280476754026058</v>
      </c>
      <c r="AC538" s="34">
        <v>2.5093492251342022</v>
      </c>
      <c r="AD538" s="33">
        <v>4.0149587602147232</v>
      </c>
      <c r="AE538" s="34">
        <v>5.0186984502684044</v>
      </c>
      <c r="AF538" s="34">
        <v>3.011219070161042</v>
      </c>
      <c r="AG538" s="33">
        <v>3.011219070161042</v>
      </c>
      <c r="AH538" s="34">
        <v>6.0224381403220848</v>
      </c>
      <c r="AI538" s="33">
        <v>5.0186984502684044</v>
      </c>
      <c r="AJ538" s="33">
        <v>6.0224381403220848</v>
      </c>
      <c r="AK538" s="33">
        <v>3.513088915187883</v>
      </c>
      <c r="AL538" s="34">
        <v>3.513088915187883</v>
      </c>
      <c r="AM538" s="34">
        <v>1.505609535080521</v>
      </c>
      <c r="AN538" s="34">
        <v>2.5093492251342022</v>
      </c>
      <c r="AO538" s="34">
        <v>1.505609535080521</v>
      </c>
      <c r="AP538" s="34">
        <v>15.05609535080521</v>
      </c>
      <c r="AQ538" s="34">
        <v>8.0299175204294464</v>
      </c>
      <c r="AR538" s="39"/>
    </row>
    <row r="539" spans="1:44" ht="19.5" customHeight="1">
      <c r="A539" s="207">
        <f t="shared" si="58"/>
        <v>9</v>
      </c>
      <c r="B539" s="41" t="s">
        <v>133</v>
      </c>
      <c r="C539" s="185" t="s">
        <v>94</v>
      </c>
      <c r="D539" s="101" t="s">
        <v>4918</v>
      </c>
      <c r="E539" s="185"/>
      <c r="F539" s="32">
        <v>20000</v>
      </c>
      <c r="G539" s="32">
        <v>21219.688910157551</v>
      </c>
      <c r="H539" s="32">
        <v>41219.688910157551</v>
      </c>
      <c r="I539" s="33">
        <v>6.956217811393671</v>
      </c>
      <c r="J539" s="33">
        <v>6.956217811393671</v>
      </c>
      <c r="K539" s="34">
        <v>2.318739270464556</v>
      </c>
      <c r="L539" s="33">
        <v>3.7099828327432909</v>
      </c>
      <c r="M539" s="34">
        <v>4.6374785409291128</v>
      </c>
      <c r="N539" s="34">
        <v>2.7824871245574681</v>
      </c>
      <c r="O539" s="33">
        <v>2.7824871245574681</v>
      </c>
      <c r="P539" s="34">
        <v>5.564974249114937</v>
      </c>
      <c r="Q539" s="33">
        <v>4.6374785409291128</v>
      </c>
      <c r="R539" s="33">
        <v>5.564974249114937</v>
      </c>
      <c r="S539" s="33">
        <v>3.2462349786503801</v>
      </c>
      <c r="T539" s="34">
        <v>3.2462349786503801</v>
      </c>
      <c r="U539" s="34">
        <v>1.391243562278734</v>
      </c>
      <c r="V539" s="34">
        <v>2.318739270464556</v>
      </c>
      <c r="W539" s="34">
        <v>1.391243562278734</v>
      </c>
      <c r="X539" s="34">
        <v>13.91243562278734</v>
      </c>
      <c r="Y539" s="34">
        <v>7.4199656654865818</v>
      </c>
      <c r="Z539" s="34"/>
      <c r="AA539" s="33">
        <v>7.3804388974535353</v>
      </c>
      <c r="AB539" s="33">
        <v>7.3804388974535353</v>
      </c>
      <c r="AC539" s="34">
        <v>2.460146299151178</v>
      </c>
      <c r="AD539" s="33">
        <v>3.9362340786418848</v>
      </c>
      <c r="AE539" s="34">
        <v>4.920292598302356</v>
      </c>
      <c r="AF539" s="34">
        <v>2.952175558981414</v>
      </c>
      <c r="AG539" s="33">
        <v>2.952175558981414</v>
      </c>
      <c r="AH539" s="34">
        <v>5.9043511179628281</v>
      </c>
      <c r="AI539" s="33">
        <v>4.920292598302356</v>
      </c>
      <c r="AJ539" s="33">
        <v>5.9043511179628281</v>
      </c>
      <c r="AK539" s="33">
        <v>3.4442048188116501</v>
      </c>
      <c r="AL539" s="34">
        <v>3.4442048188116501</v>
      </c>
      <c r="AM539" s="34">
        <v>1.476087779490707</v>
      </c>
      <c r="AN539" s="34">
        <v>2.460146299151178</v>
      </c>
      <c r="AO539" s="34">
        <v>1.476087779490707</v>
      </c>
      <c r="AP539" s="34">
        <v>14.760877794907071</v>
      </c>
      <c r="AQ539" s="34">
        <v>7.8724681572837696</v>
      </c>
      <c r="AR539" s="39"/>
    </row>
    <row r="540" spans="1:44" ht="19.5" customHeight="1">
      <c r="A540" s="207">
        <f t="shared" si="58"/>
        <v>10</v>
      </c>
      <c r="B540" s="101" t="s">
        <v>4919</v>
      </c>
      <c r="C540" s="185" t="s">
        <v>94</v>
      </c>
      <c r="D540" s="101" t="s">
        <v>4920</v>
      </c>
      <c r="E540" s="185"/>
      <c r="F540" s="32">
        <v>80000</v>
      </c>
      <c r="G540" s="32">
        <v>5464.0698943655698</v>
      </c>
      <c r="H540" s="32">
        <v>85464.069894365573</v>
      </c>
      <c r="I540" s="33">
        <v>27.824871245574681</v>
      </c>
      <c r="J540" s="33">
        <v>27.824871245574681</v>
      </c>
      <c r="K540" s="34">
        <v>9.2749570818582256</v>
      </c>
      <c r="L540" s="33">
        <v>14.83993133097316</v>
      </c>
      <c r="M540" s="34">
        <v>18.549914163716451</v>
      </c>
      <c r="N540" s="34">
        <v>11.12994849822987</v>
      </c>
      <c r="O540" s="33">
        <v>11.12994849822987</v>
      </c>
      <c r="P540" s="34">
        <v>22.259896996459752</v>
      </c>
      <c r="Q540" s="33">
        <v>18.549914163716451</v>
      </c>
      <c r="R540" s="33">
        <v>22.259896996459752</v>
      </c>
      <c r="S540" s="33">
        <v>12.984939914601521</v>
      </c>
      <c r="T540" s="34">
        <v>12.984939914601521</v>
      </c>
      <c r="U540" s="34">
        <v>5.564974249114937</v>
      </c>
      <c r="V540" s="34">
        <v>9.2749570818582256</v>
      </c>
      <c r="W540" s="34">
        <v>5.564974249114937</v>
      </c>
      <c r="X540" s="34">
        <v>55.649742491149368</v>
      </c>
      <c r="Y540" s="34">
        <v>29.679862661946331</v>
      </c>
      <c r="Z540" s="34"/>
      <c r="AA540" s="33">
        <v>1.900463016094285</v>
      </c>
      <c r="AB540" s="33">
        <v>1.900463016094285</v>
      </c>
      <c r="AC540" s="34">
        <v>0.63348767203142842</v>
      </c>
      <c r="AD540" s="33">
        <v>1.013580275250286</v>
      </c>
      <c r="AE540" s="34">
        <v>1.2669753440628571</v>
      </c>
      <c r="AF540" s="34">
        <v>0.76018520643771414</v>
      </c>
      <c r="AG540" s="33">
        <v>0.76018520643771414</v>
      </c>
      <c r="AH540" s="34">
        <v>1.5203704128754281</v>
      </c>
      <c r="AI540" s="33">
        <v>1.2669753440628571</v>
      </c>
      <c r="AJ540" s="33">
        <v>1.5203704128754281</v>
      </c>
      <c r="AK540" s="33">
        <v>0.88688274084399987</v>
      </c>
      <c r="AL540" s="34">
        <v>0.88688274084399987</v>
      </c>
      <c r="AM540" s="34">
        <v>0.38009260321885707</v>
      </c>
      <c r="AN540" s="34">
        <v>0.63348767203142842</v>
      </c>
      <c r="AO540" s="34">
        <v>0.38009260321885707</v>
      </c>
      <c r="AP540" s="34">
        <v>3.8009260321885709</v>
      </c>
      <c r="AQ540" s="34">
        <v>2.0271605505005712</v>
      </c>
      <c r="AR540" s="39"/>
    </row>
    <row r="541" spans="1:44" ht="19.5" customHeight="1">
      <c r="A541" s="236"/>
      <c r="B541" s="63" t="s">
        <v>133</v>
      </c>
      <c r="C541" s="51" t="s">
        <v>389</v>
      </c>
      <c r="D541" s="137" t="s">
        <v>4921</v>
      </c>
      <c r="E541" s="232">
        <v>5</v>
      </c>
      <c r="F541" s="52">
        <v>254801.9867415659</v>
      </c>
      <c r="G541" s="52">
        <v>89560.903509154348</v>
      </c>
      <c r="H541" s="52">
        <v>344362.89025072032</v>
      </c>
      <c r="I541" s="33">
        <v>88.622905927508739</v>
      </c>
      <c r="J541" s="33">
        <v>88.622905927508739</v>
      </c>
      <c r="K541" s="34">
        <v>29.540968642502911</v>
      </c>
      <c r="L541" s="33">
        <v>47.265549828004659</v>
      </c>
      <c r="M541" s="34">
        <v>59.081937285005807</v>
      </c>
      <c r="N541" s="34">
        <v>35.449162371003503</v>
      </c>
      <c r="O541" s="33">
        <v>35.449162371003503</v>
      </c>
      <c r="P541" s="34">
        <v>70.898324742006992</v>
      </c>
      <c r="Q541" s="33">
        <v>59.081937285005807</v>
      </c>
      <c r="R541" s="33">
        <v>70.898324742006992</v>
      </c>
      <c r="S541" s="33">
        <v>41.357356099504067</v>
      </c>
      <c r="T541" s="34">
        <v>41.357356099504067</v>
      </c>
      <c r="U541" s="34">
        <v>17.724581185501751</v>
      </c>
      <c r="V541" s="34">
        <v>29.540968642502911</v>
      </c>
      <c r="W541" s="34">
        <v>17.724581185501751</v>
      </c>
      <c r="X541" s="34">
        <v>177.24581185501751</v>
      </c>
      <c r="Y541" s="34">
        <v>94.531099656009317</v>
      </c>
      <c r="Z541" s="54"/>
      <c r="AA541" s="33">
        <v>31.150257609744472</v>
      </c>
      <c r="AB541" s="33">
        <v>31.150257609744472</v>
      </c>
      <c r="AC541" s="34">
        <v>10.383419203248151</v>
      </c>
      <c r="AD541" s="33">
        <v>16.61347072519705</v>
      </c>
      <c r="AE541" s="34">
        <v>20.766838406496309</v>
      </c>
      <c r="AF541" s="34">
        <v>12.46010304389779</v>
      </c>
      <c r="AG541" s="33">
        <v>12.46010304389779</v>
      </c>
      <c r="AH541" s="34">
        <v>24.92020608779557</v>
      </c>
      <c r="AI541" s="33">
        <v>20.766838406496309</v>
      </c>
      <c r="AJ541" s="33">
        <v>24.92020608779557</v>
      </c>
      <c r="AK541" s="33">
        <v>14.53678688454742</v>
      </c>
      <c r="AL541" s="34">
        <v>14.53678688454742</v>
      </c>
      <c r="AM541" s="34">
        <v>6.2300515219488926</v>
      </c>
      <c r="AN541" s="34">
        <v>10.383419203248151</v>
      </c>
      <c r="AO541" s="34">
        <v>6.2300515219488926</v>
      </c>
      <c r="AP541" s="34">
        <v>62.300515219488943</v>
      </c>
      <c r="AQ541" s="34">
        <v>33.226941450394101</v>
      </c>
      <c r="AR541" s="37"/>
    </row>
    <row r="542" spans="1:44" ht="19.5" customHeight="1">
      <c r="A542" s="207">
        <f>A540+1</f>
        <v>11</v>
      </c>
      <c r="B542" s="101" t="s">
        <v>4922</v>
      </c>
      <c r="C542" s="103" t="s">
        <v>362</v>
      </c>
      <c r="D542" s="101" t="s">
        <v>4923</v>
      </c>
      <c r="E542" s="185"/>
      <c r="F542" s="32">
        <v>70000</v>
      </c>
      <c r="G542" s="32">
        <v>40000</v>
      </c>
      <c r="H542" s="32">
        <v>110000</v>
      </c>
      <c r="I542" s="33">
        <v>24.346762339877849</v>
      </c>
      <c r="J542" s="33">
        <v>24.346762339877849</v>
      </c>
      <c r="K542" s="34">
        <v>8.1155874466259483</v>
      </c>
      <c r="L542" s="33">
        <v>12.984939914601521</v>
      </c>
      <c r="M542" s="34">
        <v>16.2311748932519</v>
      </c>
      <c r="N542" s="34">
        <v>9.7387049359511391</v>
      </c>
      <c r="O542" s="33">
        <v>9.7387049359511391</v>
      </c>
      <c r="P542" s="34">
        <v>19.477409871902282</v>
      </c>
      <c r="Q542" s="33">
        <v>16.2311748932519</v>
      </c>
      <c r="R542" s="33">
        <v>19.477409871902282</v>
      </c>
      <c r="S542" s="33">
        <v>11.36182242527633</v>
      </c>
      <c r="T542" s="34">
        <v>11.36182242527633</v>
      </c>
      <c r="U542" s="34">
        <v>4.8693524679755704</v>
      </c>
      <c r="V542" s="34">
        <v>8.1155874466259483</v>
      </c>
      <c r="W542" s="34">
        <v>4.8693524679755704</v>
      </c>
      <c r="X542" s="34">
        <v>48.693524679755697</v>
      </c>
      <c r="Y542" s="34">
        <v>25.969879829203041</v>
      </c>
      <c r="Z542" s="34"/>
      <c r="AA542" s="33">
        <v>13.91243562278734</v>
      </c>
      <c r="AB542" s="33">
        <v>13.91243562278734</v>
      </c>
      <c r="AC542" s="34">
        <v>4.6374785409291128</v>
      </c>
      <c r="AD542" s="33">
        <v>7.4199656654865818</v>
      </c>
      <c r="AE542" s="34">
        <v>9.2749570818582256</v>
      </c>
      <c r="AF542" s="34">
        <v>5.564974249114937</v>
      </c>
      <c r="AG542" s="33">
        <v>5.564974249114937</v>
      </c>
      <c r="AH542" s="34">
        <v>11.12994849822987</v>
      </c>
      <c r="AI542" s="33">
        <v>9.2749570818582256</v>
      </c>
      <c r="AJ542" s="33">
        <v>11.12994849822987</v>
      </c>
      <c r="AK542" s="33">
        <v>6.4924699573007594</v>
      </c>
      <c r="AL542" s="34">
        <v>6.4924699573007594</v>
      </c>
      <c r="AM542" s="34">
        <v>2.7824871245574681</v>
      </c>
      <c r="AN542" s="34">
        <v>4.6374785409291128</v>
      </c>
      <c r="AO542" s="34">
        <v>2.7824871245574681</v>
      </c>
      <c r="AP542" s="34">
        <v>27.824871245574681</v>
      </c>
      <c r="AQ542" s="34">
        <v>14.83993133097316</v>
      </c>
      <c r="AR542" s="39"/>
    </row>
    <row r="543" spans="1:44" ht="19.5" customHeight="1">
      <c r="A543" s="207">
        <f t="shared" ref="A543:A544" si="59">A542+1</f>
        <v>12</v>
      </c>
      <c r="B543" s="101" t="s">
        <v>4924</v>
      </c>
      <c r="C543" s="185" t="s">
        <v>230</v>
      </c>
      <c r="D543" s="101" t="s">
        <v>4925</v>
      </c>
      <c r="E543" s="185"/>
      <c r="F543" s="32">
        <v>129801.9867415659</v>
      </c>
      <c r="G543" s="32">
        <v>17315.26615068856</v>
      </c>
      <c r="H543" s="32">
        <v>147117.2528922545</v>
      </c>
      <c r="I543" s="33">
        <v>45.146544606298299</v>
      </c>
      <c r="J543" s="33">
        <v>45.146544606298299</v>
      </c>
      <c r="K543" s="34">
        <v>15.04884820209943</v>
      </c>
      <c r="L543" s="33">
        <v>24.078157123359091</v>
      </c>
      <c r="M543" s="34">
        <v>30.09769640419886</v>
      </c>
      <c r="N543" s="34">
        <v>18.058617842519318</v>
      </c>
      <c r="O543" s="33">
        <v>18.058617842519318</v>
      </c>
      <c r="P543" s="34">
        <v>36.117235685038636</v>
      </c>
      <c r="Q543" s="33">
        <v>30.09769640419886</v>
      </c>
      <c r="R543" s="33">
        <v>36.117235685038636</v>
      </c>
      <c r="S543" s="33">
        <v>21.068387482939201</v>
      </c>
      <c r="T543" s="34">
        <v>21.068387482939201</v>
      </c>
      <c r="U543" s="34">
        <v>9.0293089212596591</v>
      </c>
      <c r="V543" s="34">
        <v>15.04884820209943</v>
      </c>
      <c r="W543" s="34">
        <v>9.0293089212596591</v>
      </c>
      <c r="X543" s="34">
        <v>90.293089212596598</v>
      </c>
      <c r="Y543" s="34">
        <v>48.156314246718182</v>
      </c>
      <c r="Z543" s="54"/>
      <c r="AA543" s="33">
        <v>6.0224381403220857</v>
      </c>
      <c r="AB543" s="33">
        <v>6.0224381403220857</v>
      </c>
      <c r="AC543" s="34">
        <v>2.007479380107362</v>
      </c>
      <c r="AD543" s="33">
        <v>3.2119670081717788</v>
      </c>
      <c r="AE543" s="34">
        <v>4.0149587602147232</v>
      </c>
      <c r="AF543" s="34">
        <v>2.408975256128834</v>
      </c>
      <c r="AG543" s="33">
        <v>2.408975256128834</v>
      </c>
      <c r="AH543" s="34">
        <v>4.8179505122576689</v>
      </c>
      <c r="AI543" s="33">
        <v>4.0149587602147232</v>
      </c>
      <c r="AJ543" s="33">
        <v>4.8179505122576689</v>
      </c>
      <c r="AK543" s="33">
        <v>2.8104711321503069</v>
      </c>
      <c r="AL543" s="34">
        <v>2.8104711321503069</v>
      </c>
      <c r="AM543" s="34">
        <v>1.204487628064417</v>
      </c>
      <c r="AN543" s="34">
        <v>2.007479380107362</v>
      </c>
      <c r="AO543" s="34">
        <v>1.204487628064417</v>
      </c>
      <c r="AP543" s="34">
        <v>12.04487628064417</v>
      </c>
      <c r="AQ543" s="34">
        <v>6.4239340163435577</v>
      </c>
      <c r="AR543" s="39"/>
    </row>
    <row r="544" spans="1:44" ht="19.5" customHeight="1">
      <c r="A544" s="207">
        <f t="shared" si="59"/>
        <v>13</v>
      </c>
      <c r="B544" s="129" t="s">
        <v>133</v>
      </c>
      <c r="C544" s="185" t="s">
        <v>94</v>
      </c>
      <c r="D544" s="101" t="s">
        <v>4926</v>
      </c>
      <c r="E544" s="185"/>
      <c r="F544" s="32">
        <v>30000</v>
      </c>
      <c r="G544" s="32">
        <v>16720.05387675864</v>
      </c>
      <c r="H544" s="32">
        <v>46720.05387675864</v>
      </c>
      <c r="I544" s="53">
        <v>10.43432671709051</v>
      </c>
      <c r="J544" s="53">
        <v>10.43432671709051</v>
      </c>
      <c r="K544" s="54">
        <v>3.4781089056968351</v>
      </c>
      <c r="L544" s="53">
        <v>5.564974249114937</v>
      </c>
      <c r="M544" s="54">
        <v>6.9562178113936701</v>
      </c>
      <c r="N544" s="54">
        <v>4.173730686836203</v>
      </c>
      <c r="O544" s="53">
        <v>4.173730686836203</v>
      </c>
      <c r="P544" s="54">
        <v>8.3474613736724059</v>
      </c>
      <c r="Q544" s="53">
        <v>6.9562178113936701</v>
      </c>
      <c r="R544" s="53">
        <v>8.3474613736724059</v>
      </c>
      <c r="S544" s="53">
        <v>4.8693524679755704</v>
      </c>
      <c r="T544" s="54">
        <v>4.8693524679755704</v>
      </c>
      <c r="U544" s="54">
        <v>2.086865343418101</v>
      </c>
      <c r="V544" s="54">
        <v>3.4781089056968351</v>
      </c>
      <c r="W544" s="54">
        <v>2.086865343418101</v>
      </c>
      <c r="X544" s="54">
        <v>20.868653434181009</v>
      </c>
      <c r="Y544" s="54">
        <v>11.12994849822987</v>
      </c>
      <c r="Z544" s="34"/>
      <c r="AA544" s="33">
        <v>5.8154168292485124</v>
      </c>
      <c r="AB544" s="33">
        <v>5.8154168292485124</v>
      </c>
      <c r="AC544" s="34">
        <v>1.938472276416171</v>
      </c>
      <c r="AD544" s="33">
        <v>3.1015556422658741</v>
      </c>
      <c r="AE544" s="34">
        <v>3.8769445528323412</v>
      </c>
      <c r="AF544" s="34">
        <v>2.3261667316994048</v>
      </c>
      <c r="AG544" s="33">
        <v>2.3261667316994048</v>
      </c>
      <c r="AH544" s="34">
        <v>4.6523334633988096</v>
      </c>
      <c r="AI544" s="33">
        <v>3.8769445528323412</v>
      </c>
      <c r="AJ544" s="33">
        <v>4.6523334633988096</v>
      </c>
      <c r="AK544" s="33">
        <v>2.7138611869826388</v>
      </c>
      <c r="AL544" s="34">
        <v>2.7138611869826388</v>
      </c>
      <c r="AM544" s="34">
        <v>1.1630833658497031</v>
      </c>
      <c r="AN544" s="34">
        <v>1.938472276416171</v>
      </c>
      <c r="AO544" s="34">
        <v>1.1630833658497031</v>
      </c>
      <c r="AP544" s="34">
        <v>11.63083365849702</v>
      </c>
      <c r="AQ544" s="34">
        <v>6.2031112845317473</v>
      </c>
      <c r="AR544" s="39"/>
    </row>
    <row r="545" spans="1:44" ht="19.5" customHeight="1">
      <c r="A545" s="236"/>
      <c r="B545" s="137" t="s">
        <v>4922</v>
      </c>
      <c r="C545" s="232" t="s">
        <v>389</v>
      </c>
      <c r="D545" s="137" t="s">
        <v>4927</v>
      </c>
      <c r="E545" s="232">
        <v>3</v>
      </c>
      <c r="F545" s="52">
        <v>229801.9867415659</v>
      </c>
      <c r="G545" s="52">
        <v>74035.320027447204</v>
      </c>
      <c r="H545" s="52">
        <v>303837.30676901311</v>
      </c>
      <c r="I545" s="33">
        <v>79.927633663266661</v>
      </c>
      <c r="J545" s="33">
        <v>79.927633663266661</v>
      </c>
      <c r="K545" s="34">
        <v>26.642544554422219</v>
      </c>
      <c r="L545" s="33">
        <v>42.628071287075549</v>
      </c>
      <c r="M545" s="34">
        <v>53.285089108844431</v>
      </c>
      <c r="N545" s="34">
        <v>31.97105346530666</v>
      </c>
      <c r="O545" s="33">
        <v>31.97105346530666</v>
      </c>
      <c r="P545" s="34">
        <v>63.942106930613328</v>
      </c>
      <c r="Q545" s="33">
        <v>53.285089108844431</v>
      </c>
      <c r="R545" s="33">
        <v>63.942106930613328</v>
      </c>
      <c r="S545" s="33">
        <v>37.299562376191098</v>
      </c>
      <c r="T545" s="34">
        <v>37.299562376191098</v>
      </c>
      <c r="U545" s="34">
        <v>15.98552673265333</v>
      </c>
      <c r="V545" s="34">
        <v>26.642544554422219</v>
      </c>
      <c r="W545" s="34">
        <v>15.98552673265333</v>
      </c>
      <c r="X545" s="34">
        <v>159.85526732653329</v>
      </c>
      <c r="Y545" s="34">
        <v>85.256142574151099</v>
      </c>
      <c r="Z545" s="34"/>
      <c r="AA545" s="33">
        <v>25.750290592357938</v>
      </c>
      <c r="AB545" s="33">
        <v>25.750290592357938</v>
      </c>
      <c r="AC545" s="34">
        <v>8.5834301974526461</v>
      </c>
      <c r="AD545" s="33">
        <v>13.733488315924239</v>
      </c>
      <c r="AE545" s="34">
        <v>17.166860394905289</v>
      </c>
      <c r="AF545" s="34">
        <v>10.300116236943181</v>
      </c>
      <c r="AG545" s="33">
        <v>10.300116236943181</v>
      </c>
      <c r="AH545" s="34">
        <v>20.600232473886351</v>
      </c>
      <c r="AI545" s="33">
        <v>17.166860394905289</v>
      </c>
      <c r="AJ545" s="33">
        <v>20.600232473886351</v>
      </c>
      <c r="AK545" s="33">
        <v>12.01680227643371</v>
      </c>
      <c r="AL545" s="34">
        <v>12.01680227643371</v>
      </c>
      <c r="AM545" s="34">
        <v>5.1500581184715886</v>
      </c>
      <c r="AN545" s="34">
        <v>8.5834301974526461</v>
      </c>
      <c r="AO545" s="34">
        <v>5.1500581184715886</v>
      </c>
      <c r="AP545" s="34">
        <v>51.500581184715877</v>
      </c>
      <c r="AQ545" s="34">
        <v>27.466976631848471</v>
      </c>
      <c r="AR545" s="39"/>
    </row>
    <row r="546" spans="1:44" ht="19.5" customHeight="1">
      <c r="A546" s="207">
        <f>A560+1</f>
        <v>9</v>
      </c>
      <c r="B546" s="129" t="s">
        <v>133</v>
      </c>
      <c r="C546" s="185" t="s">
        <v>94</v>
      </c>
      <c r="D546" s="101" t="s">
        <v>4928</v>
      </c>
      <c r="E546" s="185"/>
      <c r="F546" s="32">
        <v>30000</v>
      </c>
      <c r="G546" s="32">
        <v>27320.349471827849</v>
      </c>
      <c r="H546" s="32">
        <v>57320.349471827853</v>
      </c>
      <c r="I546" s="33">
        <v>10.43432671709051</v>
      </c>
      <c r="J546" s="33">
        <v>10.43432671709051</v>
      </c>
      <c r="K546" s="34">
        <v>3.4781089056968351</v>
      </c>
      <c r="L546" s="33">
        <v>5.564974249114937</v>
      </c>
      <c r="M546" s="34">
        <v>6.9562178113936701</v>
      </c>
      <c r="N546" s="34">
        <v>4.173730686836203</v>
      </c>
      <c r="O546" s="33">
        <v>4.173730686836203</v>
      </c>
      <c r="P546" s="34">
        <v>8.3474613736724059</v>
      </c>
      <c r="Q546" s="33">
        <v>6.9562178113936701</v>
      </c>
      <c r="R546" s="33">
        <v>8.3474613736724059</v>
      </c>
      <c r="S546" s="33">
        <v>4.8693524679755704</v>
      </c>
      <c r="T546" s="34">
        <v>4.8693524679755704</v>
      </c>
      <c r="U546" s="34">
        <v>2.086865343418101</v>
      </c>
      <c r="V546" s="34">
        <v>3.4781089056968351</v>
      </c>
      <c r="W546" s="34">
        <v>2.086865343418101</v>
      </c>
      <c r="X546" s="34">
        <v>20.868653434181009</v>
      </c>
      <c r="Y546" s="34">
        <v>11.12994849822987</v>
      </c>
      <c r="Z546" s="54"/>
      <c r="AA546" s="33">
        <v>9.5023150804714263</v>
      </c>
      <c r="AB546" s="33">
        <v>9.5023150804714263</v>
      </c>
      <c r="AC546" s="34">
        <v>3.1674383601571421</v>
      </c>
      <c r="AD546" s="33">
        <v>5.0679013762514273</v>
      </c>
      <c r="AE546" s="34">
        <v>6.3348767203142842</v>
      </c>
      <c r="AF546" s="34">
        <v>3.8009260321885709</v>
      </c>
      <c r="AG546" s="33">
        <v>3.8009260321885709</v>
      </c>
      <c r="AH546" s="34">
        <v>7.6018520643771419</v>
      </c>
      <c r="AI546" s="33">
        <v>6.3348767203142842</v>
      </c>
      <c r="AJ546" s="33">
        <v>7.6018520643771419</v>
      </c>
      <c r="AK546" s="33">
        <v>4.4344137042199989</v>
      </c>
      <c r="AL546" s="34">
        <v>4.4344137042199989</v>
      </c>
      <c r="AM546" s="34">
        <v>1.900463016094285</v>
      </c>
      <c r="AN546" s="34">
        <v>3.1674383601571421</v>
      </c>
      <c r="AO546" s="34">
        <v>1.900463016094285</v>
      </c>
      <c r="AP546" s="34">
        <v>19.004630160942849</v>
      </c>
      <c r="AQ546" s="34">
        <v>10.135802752502849</v>
      </c>
      <c r="AR546" s="39"/>
    </row>
    <row r="547" spans="1:44" ht="19.5" customHeight="1">
      <c r="A547" s="207">
        <f t="shared" ref="A547:A548" si="60">A546+1</f>
        <v>10</v>
      </c>
      <c r="B547" s="129" t="s">
        <v>133</v>
      </c>
      <c r="C547" s="185" t="s">
        <v>94</v>
      </c>
      <c r="D547" s="56" t="s">
        <v>4929</v>
      </c>
      <c r="E547" s="185"/>
      <c r="F547" s="32">
        <v>40000</v>
      </c>
      <c r="G547" s="32">
        <v>33000</v>
      </c>
      <c r="H547" s="32">
        <v>73000</v>
      </c>
      <c r="I547" s="33">
        <v>13.91243562278734</v>
      </c>
      <c r="J547" s="33">
        <v>13.91243562278734</v>
      </c>
      <c r="K547" s="34">
        <v>4.6374785409291128</v>
      </c>
      <c r="L547" s="33">
        <v>7.4199656654865818</v>
      </c>
      <c r="M547" s="34">
        <v>9.2749570818582256</v>
      </c>
      <c r="N547" s="34">
        <v>5.564974249114937</v>
      </c>
      <c r="O547" s="33">
        <v>5.564974249114937</v>
      </c>
      <c r="P547" s="34">
        <v>11.12994849822987</v>
      </c>
      <c r="Q547" s="33">
        <v>9.2749570818582256</v>
      </c>
      <c r="R547" s="33">
        <v>11.12994849822987</v>
      </c>
      <c r="S547" s="33">
        <v>6.4924699573007594</v>
      </c>
      <c r="T547" s="34">
        <v>6.4924699573007594</v>
      </c>
      <c r="U547" s="34">
        <v>2.7824871245574681</v>
      </c>
      <c r="V547" s="34">
        <v>4.6374785409291128</v>
      </c>
      <c r="W547" s="34">
        <v>2.7824871245574681</v>
      </c>
      <c r="X547" s="34">
        <v>27.824871245574681</v>
      </c>
      <c r="Y547" s="34">
        <v>14.83993133097316</v>
      </c>
      <c r="Z547" s="34"/>
      <c r="AA547" s="33">
        <v>11.47775938879956</v>
      </c>
      <c r="AB547" s="33">
        <v>11.47775938879956</v>
      </c>
      <c r="AC547" s="34">
        <v>3.8259197962665188</v>
      </c>
      <c r="AD547" s="33">
        <v>6.1214716740264308</v>
      </c>
      <c r="AE547" s="34">
        <v>7.6518395925330376</v>
      </c>
      <c r="AF547" s="34">
        <v>4.5911037555198231</v>
      </c>
      <c r="AG547" s="33">
        <v>4.5911037555198231</v>
      </c>
      <c r="AH547" s="34">
        <v>9.1822075110396462</v>
      </c>
      <c r="AI547" s="33">
        <v>7.6518395925330376</v>
      </c>
      <c r="AJ547" s="33">
        <v>9.1822075110396462</v>
      </c>
      <c r="AK547" s="33">
        <v>5.3562877147731269</v>
      </c>
      <c r="AL547" s="34">
        <v>5.3562877147731269</v>
      </c>
      <c r="AM547" s="34">
        <v>2.295551877759912</v>
      </c>
      <c r="AN547" s="34">
        <v>3.8259197962665188</v>
      </c>
      <c r="AO547" s="34">
        <v>2.295551877759912</v>
      </c>
      <c r="AP547" s="34">
        <v>22.95551877759911</v>
      </c>
      <c r="AQ547" s="34">
        <v>12.24294334805286</v>
      </c>
      <c r="AR547" s="37"/>
    </row>
    <row r="548" spans="1:44" ht="19.5" customHeight="1">
      <c r="A548" s="207">
        <f t="shared" si="60"/>
        <v>11</v>
      </c>
      <c r="B548" s="129" t="s">
        <v>133</v>
      </c>
      <c r="C548" s="185" t="s">
        <v>94</v>
      </c>
      <c r="D548" s="101" t="s">
        <v>4930</v>
      </c>
      <c r="E548" s="185"/>
      <c r="F548" s="32">
        <v>20000</v>
      </c>
      <c r="G548" s="32">
        <v>20000</v>
      </c>
      <c r="H548" s="32">
        <v>40000</v>
      </c>
      <c r="I548" s="33">
        <v>6.956217811393671</v>
      </c>
      <c r="J548" s="33">
        <v>6.956217811393671</v>
      </c>
      <c r="K548" s="34">
        <v>2.318739270464556</v>
      </c>
      <c r="L548" s="33">
        <v>3.7099828327432909</v>
      </c>
      <c r="M548" s="34">
        <v>4.6374785409291128</v>
      </c>
      <c r="N548" s="34">
        <v>2.7824871245574681</v>
      </c>
      <c r="O548" s="33">
        <v>2.7824871245574681</v>
      </c>
      <c r="P548" s="34">
        <v>5.564974249114937</v>
      </c>
      <c r="Q548" s="33">
        <v>4.6374785409291128</v>
      </c>
      <c r="R548" s="33">
        <v>5.564974249114937</v>
      </c>
      <c r="S548" s="33">
        <v>3.2462349786503801</v>
      </c>
      <c r="T548" s="34">
        <v>3.2462349786503801</v>
      </c>
      <c r="U548" s="34">
        <v>1.391243562278734</v>
      </c>
      <c r="V548" s="34">
        <v>2.318739270464556</v>
      </c>
      <c r="W548" s="34">
        <v>1.391243562278734</v>
      </c>
      <c r="X548" s="34">
        <v>13.91243562278734</v>
      </c>
      <c r="Y548" s="34">
        <v>7.4199656654865818</v>
      </c>
      <c r="Z548" s="34"/>
      <c r="AA548" s="33">
        <v>6.956217811393671</v>
      </c>
      <c r="AB548" s="33">
        <v>6.956217811393671</v>
      </c>
      <c r="AC548" s="34">
        <v>2.318739270464556</v>
      </c>
      <c r="AD548" s="33">
        <v>3.7099828327432909</v>
      </c>
      <c r="AE548" s="34">
        <v>4.6374785409291128</v>
      </c>
      <c r="AF548" s="34">
        <v>2.7824871245574681</v>
      </c>
      <c r="AG548" s="33">
        <v>2.7824871245574681</v>
      </c>
      <c r="AH548" s="34">
        <v>5.564974249114937</v>
      </c>
      <c r="AI548" s="33">
        <v>4.6374785409291128</v>
      </c>
      <c r="AJ548" s="33">
        <v>5.564974249114937</v>
      </c>
      <c r="AK548" s="33">
        <v>3.2462349786503801</v>
      </c>
      <c r="AL548" s="34">
        <v>3.2462349786503801</v>
      </c>
      <c r="AM548" s="34">
        <v>1.391243562278734</v>
      </c>
      <c r="AN548" s="34">
        <v>2.318739270464556</v>
      </c>
      <c r="AO548" s="34">
        <v>1.391243562278734</v>
      </c>
      <c r="AP548" s="34">
        <v>13.91243562278734</v>
      </c>
      <c r="AQ548" s="34">
        <v>7.4199656654865818</v>
      </c>
      <c r="AR548" s="39"/>
    </row>
    <row r="549" spans="1:44" ht="19.5" customHeight="1">
      <c r="A549" s="51"/>
      <c r="B549" s="63" t="s">
        <v>4931</v>
      </c>
      <c r="C549" s="51" t="s">
        <v>997</v>
      </c>
      <c r="D549" s="63" t="s">
        <v>4932</v>
      </c>
      <c r="E549" s="51">
        <v>3</v>
      </c>
      <c r="F549" s="52">
        <v>90000</v>
      </c>
      <c r="G549" s="52">
        <v>80320.349471827853</v>
      </c>
      <c r="H549" s="52">
        <v>170320.34947182791</v>
      </c>
      <c r="I549" s="53">
        <v>31.30298015127152</v>
      </c>
      <c r="J549" s="53">
        <v>31.30298015127152</v>
      </c>
      <c r="K549" s="54">
        <v>10.434326717090499</v>
      </c>
      <c r="L549" s="53">
        <v>16.694922747344808</v>
      </c>
      <c r="M549" s="54">
        <v>20.868653434181009</v>
      </c>
      <c r="N549" s="54">
        <v>12.521192060508611</v>
      </c>
      <c r="O549" s="53">
        <v>12.521192060508611</v>
      </c>
      <c r="P549" s="54">
        <v>25.042384121017211</v>
      </c>
      <c r="Q549" s="53">
        <v>20.868653434181009</v>
      </c>
      <c r="R549" s="53">
        <v>25.042384121017211</v>
      </c>
      <c r="S549" s="53">
        <v>14.608057403926709</v>
      </c>
      <c r="T549" s="54">
        <v>14.608057403926709</v>
      </c>
      <c r="U549" s="54">
        <v>6.2605960302543036</v>
      </c>
      <c r="V549" s="54">
        <v>10.434326717090499</v>
      </c>
      <c r="W549" s="54">
        <v>6.2605960302543036</v>
      </c>
      <c r="X549" s="54">
        <v>62.605960302543032</v>
      </c>
      <c r="Y549" s="54">
        <v>33.389845494689617</v>
      </c>
      <c r="Z549" s="54"/>
      <c r="AA549" s="53">
        <v>27.936292280664659</v>
      </c>
      <c r="AB549" s="53">
        <v>27.936292280664659</v>
      </c>
      <c r="AC549" s="54">
        <v>9.3120974268882168</v>
      </c>
      <c r="AD549" s="53">
        <v>14.899355883021149</v>
      </c>
      <c r="AE549" s="54">
        <v>18.62419485377643</v>
      </c>
      <c r="AF549" s="54">
        <v>11.17451691226586</v>
      </c>
      <c r="AG549" s="53">
        <v>11.17451691226586</v>
      </c>
      <c r="AH549" s="54">
        <v>22.34903382453173</v>
      </c>
      <c r="AI549" s="53">
        <v>18.62419485377643</v>
      </c>
      <c r="AJ549" s="53">
        <v>22.34903382453173</v>
      </c>
      <c r="AK549" s="53">
        <v>13.03693639764351</v>
      </c>
      <c r="AL549" s="54">
        <v>13.03693639764351</v>
      </c>
      <c r="AM549" s="54">
        <v>5.5872584561329317</v>
      </c>
      <c r="AN549" s="54">
        <v>9.3120974268882168</v>
      </c>
      <c r="AO549" s="54">
        <v>5.5872584561329317</v>
      </c>
      <c r="AP549" s="54">
        <v>55.872584561329312</v>
      </c>
      <c r="AQ549" s="54">
        <v>29.798711766042299</v>
      </c>
      <c r="AR549" s="39"/>
    </row>
    <row r="550" spans="1:44" ht="19.5" customHeight="1">
      <c r="A550" s="237"/>
      <c r="B550" s="238" t="s">
        <v>4933</v>
      </c>
      <c r="C550" s="234" t="s">
        <v>1506</v>
      </c>
      <c r="D550" s="239" t="s">
        <v>4934</v>
      </c>
      <c r="E550" s="234">
        <f>E549+E545+E541+E535</f>
        <v>20</v>
      </c>
      <c r="F550" s="68">
        <v>1163027.1823240591</v>
      </c>
      <c r="G550" s="68">
        <v>467615.75905724103</v>
      </c>
      <c r="H550" s="68">
        <v>1630642.9413813001</v>
      </c>
      <c r="I550" s="148">
        <v>404.51352004088062</v>
      </c>
      <c r="J550" s="148">
        <v>404.51352004088062</v>
      </c>
      <c r="K550" s="149">
        <v>134.83784001362679</v>
      </c>
      <c r="L550" s="148">
        <v>215.740544021803</v>
      </c>
      <c r="M550" s="149">
        <v>269.67568002725369</v>
      </c>
      <c r="N550" s="149">
        <v>161.80540801635229</v>
      </c>
      <c r="O550" s="148">
        <v>161.80540801635229</v>
      </c>
      <c r="P550" s="149">
        <v>323.61081603270452</v>
      </c>
      <c r="Q550" s="148">
        <v>269.67568002725369</v>
      </c>
      <c r="R550" s="148">
        <v>323.61081603270452</v>
      </c>
      <c r="S550" s="148">
        <v>188.77297601907759</v>
      </c>
      <c r="T550" s="149">
        <v>188.77297601907759</v>
      </c>
      <c r="U550" s="149">
        <v>80.90270400817613</v>
      </c>
      <c r="V550" s="149">
        <v>134.83784001362679</v>
      </c>
      <c r="W550" s="149">
        <v>80.90270400817613</v>
      </c>
      <c r="X550" s="149">
        <v>809.02704008176124</v>
      </c>
      <c r="Y550" s="149">
        <v>431.48108804360601</v>
      </c>
      <c r="Z550" s="149"/>
      <c r="AA550" s="148">
        <v>162.64185360211749</v>
      </c>
      <c r="AB550" s="148">
        <v>162.64185360211749</v>
      </c>
      <c r="AC550" s="149">
        <v>54.213951200705843</v>
      </c>
      <c r="AD550" s="148">
        <v>86.74232192112936</v>
      </c>
      <c r="AE550" s="149">
        <v>108.4279024014117</v>
      </c>
      <c r="AF550" s="149">
        <v>65.05674144084702</v>
      </c>
      <c r="AG550" s="148">
        <v>65.05674144084702</v>
      </c>
      <c r="AH550" s="149">
        <v>130.11348288169401</v>
      </c>
      <c r="AI550" s="148">
        <v>108.4279024014117</v>
      </c>
      <c r="AJ550" s="148">
        <v>130.11348288169401</v>
      </c>
      <c r="AK550" s="148">
        <v>75.89953168098819</v>
      </c>
      <c r="AL550" s="149">
        <v>75.89953168098819</v>
      </c>
      <c r="AM550" s="149">
        <v>32.52837072042351</v>
      </c>
      <c r="AN550" s="149">
        <v>54.213951200705843</v>
      </c>
      <c r="AO550" s="149">
        <v>32.52837072042351</v>
      </c>
      <c r="AP550" s="149">
        <v>325.2837072042351</v>
      </c>
      <c r="AQ550" s="149">
        <v>173.48464384225869</v>
      </c>
      <c r="AR550" s="97"/>
    </row>
    <row r="551" spans="1:44" ht="19.5" customHeight="1">
      <c r="A551" s="32"/>
      <c r="B551" s="32"/>
      <c r="C551" s="32"/>
      <c r="D551" s="151"/>
      <c r="E551" s="32"/>
      <c r="F551" s="32">
        <v>1266429.1823240591</v>
      </c>
      <c r="G551" s="32">
        <v>467615.75905724103</v>
      </c>
      <c r="H551" s="32">
        <v>1734044.9413813001</v>
      </c>
      <c r="I551" s="33">
        <v>440.47786174756698</v>
      </c>
      <c r="J551" s="33">
        <v>440.47786174756698</v>
      </c>
      <c r="K551" s="34">
        <v>146.82595391585571</v>
      </c>
      <c r="L551" s="33">
        <v>234.9215262653691</v>
      </c>
      <c r="M551" s="34">
        <v>293.65190783171141</v>
      </c>
      <c r="N551" s="34">
        <v>176.19114469902681</v>
      </c>
      <c r="O551" s="33">
        <v>176.19114469902681</v>
      </c>
      <c r="P551" s="34">
        <v>352.38228939805367</v>
      </c>
      <c r="Q551" s="33">
        <v>293.65190783171141</v>
      </c>
      <c r="R551" s="33">
        <v>352.38228939805367</v>
      </c>
      <c r="S551" s="33">
        <v>205.55633548219799</v>
      </c>
      <c r="T551" s="34">
        <v>205.55633548219799</v>
      </c>
      <c r="U551" s="34">
        <v>88.095572349513418</v>
      </c>
      <c r="V551" s="34">
        <v>146.82595391585571</v>
      </c>
      <c r="W551" s="34">
        <v>88.095572349513418</v>
      </c>
      <c r="X551" s="34">
        <v>880.95572349513407</v>
      </c>
      <c r="Y551" s="34">
        <v>469.84305253073819</v>
      </c>
      <c r="Z551" s="34"/>
      <c r="AA551" s="33">
        <v>162.64185360211749</v>
      </c>
      <c r="AB551" s="33">
        <v>162.64185360211749</v>
      </c>
      <c r="AC551" s="34">
        <v>54.213951200705843</v>
      </c>
      <c r="AD551" s="33">
        <v>86.74232192112936</v>
      </c>
      <c r="AE551" s="34">
        <v>108.4279024014117</v>
      </c>
      <c r="AF551" s="34">
        <v>65.05674144084702</v>
      </c>
      <c r="AG551" s="33">
        <v>65.05674144084702</v>
      </c>
      <c r="AH551" s="34">
        <v>130.11348288169401</v>
      </c>
      <c r="AI551" s="33">
        <v>108.4279024014117</v>
      </c>
      <c r="AJ551" s="33">
        <v>130.11348288169401</v>
      </c>
      <c r="AK551" s="33">
        <v>75.89953168098819</v>
      </c>
      <c r="AL551" s="34">
        <v>75.89953168098819</v>
      </c>
      <c r="AM551" s="34">
        <v>32.52837072042351</v>
      </c>
      <c r="AN551" s="34">
        <v>54.213951200705843</v>
      </c>
      <c r="AO551" s="34">
        <v>32.52837072042351</v>
      </c>
      <c r="AP551" s="34">
        <v>325.2837072042351</v>
      </c>
      <c r="AQ551" s="34">
        <v>173.48464384225869</v>
      </c>
      <c r="AR551" s="39"/>
    </row>
    <row r="552" spans="1:44" ht="19.5" customHeight="1">
      <c r="A552" s="184" t="s">
        <v>4935</v>
      </c>
      <c r="B552" s="137"/>
      <c r="C552" s="232"/>
      <c r="D552" s="137"/>
      <c r="E552" s="240"/>
      <c r="F552" s="32">
        <v>-103402</v>
      </c>
      <c r="G552" s="32">
        <v>0</v>
      </c>
      <c r="H552" s="32">
        <v>-103402</v>
      </c>
      <c r="I552" s="33">
        <v>-35.964341706686419</v>
      </c>
      <c r="J552" s="33">
        <v>-35.964341706686419</v>
      </c>
      <c r="K552" s="34">
        <v>-11.988113902228809</v>
      </c>
      <c r="L552" s="33">
        <v>-19.180982243566088</v>
      </c>
      <c r="M552" s="34">
        <v>-23.976227804457611</v>
      </c>
      <c r="N552" s="34">
        <v>-14.385736682674571</v>
      </c>
      <c r="O552" s="33">
        <v>-14.385736682674571</v>
      </c>
      <c r="P552" s="34">
        <v>-28.771473365349131</v>
      </c>
      <c r="Q552" s="33">
        <v>-23.976227804457611</v>
      </c>
      <c r="R552" s="33">
        <v>-28.771473365349131</v>
      </c>
      <c r="S552" s="33">
        <v>-16.78335946312033</v>
      </c>
      <c r="T552" s="34">
        <v>-16.78335946312033</v>
      </c>
      <c r="U552" s="34">
        <v>-7.1928683413372836</v>
      </c>
      <c r="V552" s="34">
        <v>-11.988113902228809</v>
      </c>
      <c r="W552" s="34">
        <v>-7.1928683413372836</v>
      </c>
      <c r="X552" s="34">
        <v>-71.928683413372838</v>
      </c>
      <c r="Y552" s="34">
        <v>-38.361964487132177</v>
      </c>
      <c r="Z552" s="34"/>
      <c r="AA552" s="33">
        <v>0</v>
      </c>
      <c r="AB552" s="33">
        <v>0</v>
      </c>
      <c r="AC552" s="34">
        <v>0</v>
      </c>
      <c r="AD552" s="33">
        <v>0</v>
      </c>
      <c r="AE552" s="34">
        <v>0</v>
      </c>
      <c r="AF552" s="34">
        <v>0</v>
      </c>
      <c r="AG552" s="33">
        <v>0</v>
      </c>
      <c r="AH552" s="34">
        <v>0</v>
      </c>
      <c r="AI552" s="33">
        <v>0</v>
      </c>
      <c r="AJ552" s="33">
        <v>0</v>
      </c>
      <c r="AK552" s="33">
        <v>0</v>
      </c>
      <c r="AL552" s="34">
        <v>0</v>
      </c>
      <c r="AM552" s="34">
        <v>0</v>
      </c>
      <c r="AN552" s="34">
        <v>0</v>
      </c>
      <c r="AO552" s="34">
        <v>0</v>
      </c>
      <c r="AP552" s="34">
        <v>0</v>
      </c>
      <c r="AQ552" s="34">
        <v>0</v>
      </c>
      <c r="AR552" s="39"/>
    </row>
    <row r="553" spans="1:44" ht="19.5" customHeight="1">
      <c r="A553" s="207">
        <v>1</v>
      </c>
      <c r="B553" s="41" t="s">
        <v>133</v>
      </c>
      <c r="C553" s="185" t="s">
        <v>94</v>
      </c>
      <c r="D553" s="56" t="s">
        <v>4936</v>
      </c>
      <c r="E553" s="185"/>
      <c r="F553" s="32">
        <v>20904.451747346691</v>
      </c>
      <c r="G553" s="32">
        <v>32784.419366193411</v>
      </c>
      <c r="H553" s="32">
        <v>53688.871113540103</v>
      </c>
      <c r="I553" s="33">
        <v>7.27079597911563</v>
      </c>
      <c r="J553" s="33">
        <v>7.27079597911563</v>
      </c>
      <c r="K553" s="34">
        <v>2.4235986597052102</v>
      </c>
      <c r="L553" s="33">
        <v>3.8777578555283361</v>
      </c>
      <c r="M553" s="34">
        <v>4.8471973194104194</v>
      </c>
      <c r="N553" s="34">
        <v>2.9083183916462518</v>
      </c>
      <c r="O553" s="33">
        <v>2.9083183916462518</v>
      </c>
      <c r="P553" s="34">
        <v>5.8166367832925054</v>
      </c>
      <c r="Q553" s="33">
        <v>4.8471973194104194</v>
      </c>
      <c r="R553" s="33">
        <v>5.8166367832925054</v>
      </c>
      <c r="S553" s="33">
        <v>3.393038123587294</v>
      </c>
      <c r="T553" s="34">
        <v>3.393038123587294</v>
      </c>
      <c r="U553" s="34">
        <v>1.4541591958231259</v>
      </c>
      <c r="V553" s="34">
        <v>2.4235986597052102</v>
      </c>
      <c r="W553" s="34">
        <v>1.4541591958231259</v>
      </c>
      <c r="X553" s="34">
        <v>14.54159195823126</v>
      </c>
      <c r="Y553" s="34">
        <v>7.7555157110566721</v>
      </c>
      <c r="Z553" s="34"/>
      <c r="AA553" s="33">
        <v>11.40277809656571</v>
      </c>
      <c r="AB553" s="33">
        <v>11.40277809656571</v>
      </c>
      <c r="AC553" s="34">
        <v>3.8009260321885701</v>
      </c>
      <c r="AD553" s="33">
        <v>6.0814816515017123</v>
      </c>
      <c r="AE553" s="34">
        <v>7.6018520643771392</v>
      </c>
      <c r="AF553" s="34">
        <v>4.5611112386262844</v>
      </c>
      <c r="AG553" s="33">
        <v>4.5611112386262844</v>
      </c>
      <c r="AH553" s="34">
        <v>9.1222224772525689</v>
      </c>
      <c r="AI553" s="33">
        <v>7.6018520643771392</v>
      </c>
      <c r="AJ553" s="33">
        <v>9.1222224772525689</v>
      </c>
      <c r="AK553" s="33">
        <v>5.3212964450639983</v>
      </c>
      <c r="AL553" s="34">
        <v>5.3212964450639983</v>
      </c>
      <c r="AM553" s="34">
        <v>2.2805556193131422</v>
      </c>
      <c r="AN553" s="34">
        <v>3.8009260321885701</v>
      </c>
      <c r="AO553" s="34">
        <v>2.2805556193131422</v>
      </c>
      <c r="AP553" s="34">
        <v>22.805556193131419</v>
      </c>
      <c r="AQ553" s="34">
        <v>12.162963303003419</v>
      </c>
      <c r="AR553" s="39"/>
    </row>
    <row r="554" spans="1:44" ht="19.5" customHeight="1">
      <c r="A554" s="207">
        <f t="shared" ref="A554:A555" si="61">A553+1</f>
        <v>2</v>
      </c>
      <c r="B554" s="41" t="s">
        <v>133</v>
      </c>
      <c r="C554" s="185" t="s">
        <v>94</v>
      </c>
      <c r="D554" s="101" t="s">
        <v>4937</v>
      </c>
      <c r="E554" s="185"/>
      <c r="F554" s="32">
        <v>15678.33881051002</v>
      </c>
      <c r="G554" s="32">
        <v>40000</v>
      </c>
      <c r="H554" s="32">
        <v>55678.338810510017</v>
      </c>
      <c r="I554" s="33">
        <v>5.4530969843367219</v>
      </c>
      <c r="J554" s="33">
        <v>5.4530969843367219</v>
      </c>
      <c r="K554" s="34">
        <v>1.8176989947789071</v>
      </c>
      <c r="L554" s="33">
        <v>2.9083183916462518</v>
      </c>
      <c r="M554" s="34">
        <v>3.6353979895578141</v>
      </c>
      <c r="N554" s="34">
        <v>2.1812387937346891</v>
      </c>
      <c r="O554" s="33">
        <v>2.1812387937346891</v>
      </c>
      <c r="P554" s="34">
        <v>4.3624775874693782</v>
      </c>
      <c r="Q554" s="33">
        <v>3.6353979895578141</v>
      </c>
      <c r="R554" s="33">
        <v>4.3624775874693782</v>
      </c>
      <c r="S554" s="33">
        <v>2.54477859269047</v>
      </c>
      <c r="T554" s="34">
        <v>2.54477859269047</v>
      </c>
      <c r="U554" s="34">
        <v>1.090619396867345</v>
      </c>
      <c r="V554" s="34">
        <v>1.8176989947789071</v>
      </c>
      <c r="W554" s="34">
        <v>1.090619396867345</v>
      </c>
      <c r="X554" s="34">
        <v>10.90619396867344</v>
      </c>
      <c r="Y554" s="34">
        <v>5.8166367832925037</v>
      </c>
      <c r="Z554" s="34"/>
      <c r="AA554" s="33">
        <v>13.91243562278734</v>
      </c>
      <c r="AB554" s="33">
        <v>13.91243562278734</v>
      </c>
      <c r="AC554" s="34">
        <v>4.6374785409291128</v>
      </c>
      <c r="AD554" s="33">
        <v>7.4199656654865818</v>
      </c>
      <c r="AE554" s="34">
        <v>9.2749570818582256</v>
      </c>
      <c r="AF554" s="34">
        <v>5.564974249114937</v>
      </c>
      <c r="AG554" s="33">
        <v>5.564974249114937</v>
      </c>
      <c r="AH554" s="34">
        <v>11.12994849822987</v>
      </c>
      <c r="AI554" s="33">
        <v>9.2749570818582256</v>
      </c>
      <c r="AJ554" s="33">
        <v>11.12994849822987</v>
      </c>
      <c r="AK554" s="33">
        <v>6.4924699573007594</v>
      </c>
      <c r="AL554" s="34">
        <v>6.4924699573007594</v>
      </c>
      <c r="AM554" s="34">
        <v>2.7824871245574681</v>
      </c>
      <c r="AN554" s="34">
        <v>4.6374785409291128</v>
      </c>
      <c r="AO554" s="34">
        <v>2.7824871245574681</v>
      </c>
      <c r="AP554" s="34">
        <v>27.824871245574681</v>
      </c>
      <c r="AQ554" s="34">
        <v>14.83993133097316</v>
      </c>
      <c r="AR554" s="39"/>
    </row>
    <row r="555" spans="1:44" ht="19.5" customHeight="1">
      <c r="A555" s="207">
        <f t="shared" si="61"/>
        <v>3</v>
      </c>
      <c r="B555" s="41" t="s">
        <v>133</v>
      </c>
      <c r="C555" s="185" t="s">
        <v>94</v>
      </c>
      <c r="D555" s="101" t="s">
        <v>4938</v>
      </c>
      <c r="E555" s="185"/>
      <c r="F555" s="32">
        <v>20000</v>
      </c>
      <c r="G555" s="32">
        <v>32784.419366193411</v>
      </c>
      <c r="H555" s="32">
        <v>52784.419366193411</v>
      </c>
      <c r="I555" s="53">
        <v>6.956217811393671</v>
      </c>
      <c r="J555" s="53">
        <v>6.956217811393671</v>
      </c>
      <c r="K555" s="54">
        <v>2.318739270464556</v>
      </c>
      <c r="L555" s="53">
        <v>3.7099828327432909</v>
      </c>
      <c r="M555" s="54">
        <v>4.6374785409291128</v>
      </c>
      <c r="N555" s="54">
        <v>2.7824871245574681</v>
      </c>
      <c r="O555" s="53">
        <v>2.7824871245574681</v>
      </c>
      <c r="P555" s="54">
        <v>5.564974249114937</v>
      </c>
      <c r="Q555" s="53">
        <v>4.6374785409291128</v>
      </c>
      <c r="R555" s="53">
        <v>5.564974249114937</v>
      </c>
      <c r="S555" s="53">
        <v>3.2462349786503801</v>
      </c>
      <c r="T555" s="54">
        <v>3.2462349786503801</v>
      </c>
      <c r="U555" s="54">
        <v>1.391243562278734</v>
      </c>
      <c r="V555" s="54">
        <v>2.318739270464556</v>
      </c>
      <c r="W555" s="54">
        <v>1.391243562278734</v>
      </c>
      <c r="X555" s="54">
        <v>13.91243562278734</v>
      </c>
      <c r="Y555" s="54">
        <v>7.4199656654865818</v>
      </c>
      <c r="Z555" s="34"/>
      <c r="AA555" s="33">
        <v>11.40277809656571</v>
      </c>
      <c r="AB555" s="33">
        <v>11.40277809656571</v>
      </c>
      <c r="AC555" s="34">
        <v>3.8009260321885701</v>
      </c>
      <c r="AD555" s="33">
        <v>6.0814816515017123</v>
      </c>
      <c r="AE555" s="34">
        <v>7.6018520643771392</v>
      </c>
      <c r="AF555" s="34">
        <v>4.5611112386262844</v>
      </c>
      <c r="AG555" s="33">
        <v>4.5611112386262844</v>
      </c>
      <c r="AH555" s="34">
        <v>9.1222224772525689</v>
      </c>
      <c r="AI555" s="33">
        <v>7.6018520643771392</v>
      </c>
      <c r="AJ555" s="33">
        <v>9.1222224772525689</v>
      </c>
      <c r="AK555" s="33">
        <v>5.3212964450639983</v>
      </c>
      <c r="AL555" s="34">
        <v>5.3212964450639983</v>
      </c>
      <c r="AM555" s="34">
        <v>2.2805556193131422</v>
      </c>
      <c r="AN555" s="34">
        <v>3.8009260321885701</v>
      </c>
      <c r="AO555" s="34">
        <v>2.2805556193131422</v>
      </c>
      <c r="AP555" s="34">
        <v>22.805556193131419</v>
      </c>
      <c r="AQ555" s="34">
        <v>12.162963303003419</v>
      </c>
      <c r="AR555" s="39"/>
    </row>
    <row r="556" spans="1:44" ht="19.5" customHeight="1">
      <c r="A556" s="236"/>
      <c r="B556" s="137" t="s">
        <v>4939</v>
      </c>
      <c r="C556" s="232" t="s">
        <v>185</v>
      </c>
      <c r="D556" s="137" t="s">
        <v>4940</v>
      </c>
      <c r="E556" s="232">
        <v>3</v>
      </c>
      <c r="F556" s="52">
        <v>56582.790557856708</v>
      </c>
      <c r="G556" s="52">
        <v>105568.83873238679</v>
      </c>
      <c r="H556" s="52">
        <v>162151.62929024349</v>
      </c>
      <c r="I556" s="33">
        <v>19.680110774846021</v>
      </c>
      <c r="J556" s="33">
        <v>19.680110774846021</v>
      </c>
      <c r="K556" s="34">
        <v>6.5600369249486734</v>
      </c>
      <c r="L556" s="33">
        <v>10.496059079917879</v>
      </c>
      <c r="M556" s="34">
        <v>13.12007384989735</v>
      </c>
      <c r="N556" s="34">
        <v>7.872044309938409</v>
      </c>
      <c r="O556" s="33">
        <v>7.872044309938409</v>
      </c>
      <c r="P556" s="34">
        <v>15.74408861987682</v>
      </c>
      <c r="Q556" s="33">
        <v>13.12007384989735</v>
      </c>
      <c r="R556" s="33">
        <v>15.74408861987682</v>
      </c>
      <c r="S556" s="33">
        <v>9.1840516949281437</v>
      </c>
      <c r="T556" s="34">
        <v>9.1840516949281437</v>
      </c>
      <c r="U556" s="34">
        <v>3.936022154969204</v>
      </c>
      <c r="V556" s="34">
        <v>6.5600369249486734</v>
      </c>
      <c r="W556" s="34">
        <v>3.936022154969204</v>
      </c>
      <c r="X556" s="34">
        <v>39.360221549692042</v>
      </c>
      <c r="Y556" s="34">
        <v>20.992118159835758</v>
      </c>
      <c r="Z556" s="54"/>
      <c r="AA556" s="33">
        <v>36.717991815918772</v>
      </c>
      <c r="AB556" s="33">
        <v>36.717991815918772</v>
      </c>
      <c r="AC556" s="34">
        <v>12.23933060530625</v>
      </c>
      <c r="AD556" s="33">
        <v>19.582928968490009</v>
      </c>
      <c r="AE556" s="34">
        <v>24.478661210612511</v>
      </c>
      <c r="AF556" s="34">
        <v>14.68719672636751</v>
      </c>
      <c r="AG556" s="33">
        <v>14.68719672636751</v>
      </c>
      <c r="AH556" s="34">
        <v>29.37439345273501</v>
      </c>
      <c r="AI556" s="33">
        <v>24.478661210612511</v>
      </c>
      <c r="AJ556" s="33">
        <v>29.37439345273501</v>
      </c>
      <c r="AK556" s="33">
        <v>17.13506284742876</v>
      </c>
      <c r="AL556" s="34">
        <v>17.13506284742876</v>
      </c>
      <c r="AM556" s="34">
        <v>7.3435983631837534</v>
      </c>
      <c r="AN556" s="34">
        <v>12.23933060530625</v>
      </c>
      <c r="AO556" s="34">
        <v>7.3435983631837534</v>
      </c>
      <c r="AP556" s="34">
        <v>73.43598363183753</v>
      </c>
      <c r="AQ556" s="34">
        <v>39.165857936980018</v>
      </c>
      <c r="AR556" s="37"/>
    </row>
    <row r="557" spans="1:44" ht="19.5" customHeight="1">
      <c r="A557" s="207">
        <f>A533+1</f>
        <v>5</v>
      </c>
      <c r="B557" s="129" t="s">
        <v>133</v>
      </c>
      <c r="C557" s="185" t="s">
        <v>94</v>
      </c>
      <c r="D557" s="101" t="s">
        <v>4941</v>
      </c>
      <c r="E557" s="185"/>
      <c r="F557" s="32">
        <v>31356.677621020041</v>
      </c>
      <c r="G557" s="32">
        <v>21856.279577462279</v>
      </c>
      <c r="H557" s="32">
        <v>53212.957198482312</v>
      </c>
      <c r="I557" s="53">
        <v>10.90619396867344</v>
      </c>
      <c r="J557" s="53">
        <v>10.90619396867344</v>
      </c>
      <c r="K557" s="54">
        <v>3.6353979895578141</v>
      </c>
      <c r="L557" s="53">
        <v>5.8166367832925037</v>
      </c>
      <c r="M557" s="54">
        <v>7.2707959791156282</v>
      </c>
      <c r="N557" s="54">
        <v>4.3624775874693782</v>
      </c>
      <c r="O557" s="53">
        <v>4.3624775874693782</v>
      </c>
      <c r="P557" s="54">
        <v>8.7249551749387564</v>
      </c>
      <c r="Q557" s="53">
        <v>7.2707959791156282</v>
      </c>
      <c r="R557" s="53">
        <v>8.7249551749387564</v>
      </c>
      <c r="S557" s="53">
        <v>5.0895571853809409</v>
      </c>
      <c r="T557" s="54">
        <v>5.0895571853809409</v>
      </c>
      <c r="U557" s="54">
        <v>2.1812387937346891</v>
      </c>
      <c r="V557" s="54">
        <v>3.6353979895578141</v>
      </c>
      <c r="W557" s="54">
        <v>2.1812387937346891</v>
      </c>
      <c r="X557" s="54">
        <v>21.812387937346891</v>
      </c>
      <c r="Y557" s="54">
        <v>11.633273566585011</v>
      </c>
      <c r="Z557" s="54"/>
      <c r="AA557" s="53">
        <v>7.6018520643771419</v>
      </c>
      <c r="AB557" s="53">
        <v>7.6018520643771419</v>
      </c>
      <c r="AC557" s="54">
        <v>2.5339506881257141</v>
      </c>
      <c r="AD557" s="53">
        <v>4.0543211010011424</v>
      </c>
      <c r="AE557" s="54">
        <v>5.0679013762514273</v>
      </c>
      <c r="AF557" s="54">
        <v>3.040740825750857</v>
      </c>
      <c r="AG557" s="53">
        <v>3.040740825750857</v>
      </c>
      <c r="AH557" s="54">
        <v>6.0814816515017132</v>
      </c>
      <c r="AI557" s="53">
        <v>5.0679013762514273</v>
      </c>
      <c r="AJ557" s="53">
        <v>6.0814816515017132</v>
      </c>
      <c r="AK557" s="53">
        <v>3.547530963375999</v>
      </c>
      <c r="AL557" s="54">
        <v>3.547530963375999</v>
      </c>
      <c r="AM557" s="54">
        <v>1.5203704128754281</v>
      </c>
      <c r="AN557" s="54">
        <v>2.5339506881257141</v>
      </c>
      <c r="AO557" s="54">
        <v>1.5203704128754281</v>
      </c>
      <c r="AP557" s="54">
        <v>15.20370412875428</v>
      </c>
      <c r="AQ557" s="54">
        <v>8.1086422020022848</v>
      </c>
      <c r="AR557" s="39"/>
    </row>
    <row r="558" spans="1:44" ht="19.5" customHeight="1">
      <c r="A558" s="207">
        <f t="shared" ref="A558:A560" si="62">A557+1</f>
        <v>6</v>
      </c>
      <c r="B558" s="129" t="s">
        <v>133</v>
      </c>
      <c r="C558" s="185" t="s">
        <v>94</v>
      </c>
      <c r="D558" s="101" t="s">
        <v>4942</v>
      </c>
      <c r="E558" s="185"/>
      <c r="F558" s="32">
        <v>31356.677621020041</v>
      </c>
      <c r="G558" s="32">
        <v>21856.279577462279</v>
      </c>
      <c r="H558" s="32">
        <v>53212.957198482312</v>
      </c>
      <c r="I558" s="33">
        <v>10.90619396867344</v>
      </c>
      <c r="J558" s="33">
        <v>10.90619396867344</v>
      </c>
      <c r="K558" s="34">
        <v>3.6353979895578141</v>
      </c>
      <c r="L558" s="33">
        <v>5.8166367832925037</v>
      </c>
      <c r="M558" s="34">
        <v>7.2707959791156282</v>
      </c>
      <c r="N558" s="34">
        <v>4.3624775874693782</v>
      </c>
      <c r="O558" s="33">
        <v>4.3624775874693782</v>
      </c>
      <c r="P558" s="34">
        <v>8.7249551749387564</v>
      </c>
      <c r="Q558" s="33">
        <v>7.2707959791156282</v>
      </c>
      <c r="R558" s="33">
        <v>8.7249551749387564</v>
      </c>
      <c r="S558" s="33">
        <v>5.0895571853809409</v>
      </c>
      <c r="T558" s="34">
        <v>5.0895571853809409</v>
      </c>
      <c r="U558" s="34">
        <v>2.1812387937346891</v>
      </c>
      <c r="V558" s="34">
        <v>3.6353979895578141</v>
      </c>
      <c r="W558" s="34">
        <v>2.1812387937346891</v>
      </c>
      <c r="X558" s="34">
        <v>21.812387937346891</v>
      </c>
      <c r="Y558" s="34">
        <v>11.633273566585011</v>
      </c>
      <c r="Z558" s="54"/>
      <c r="AA558" s="53">
        <v>7.6018520643771419</v>
      </c>
      <c r="AB558" s="53">
        <v>7.6018520643771419</v>
      </c>
      <c r="AC558" s="54">
        <v>2.5339506881257141</v>
      </c>
      <c r="AD558" s="53">
        <v>4.0543211010011424</v>
      </c>
      <c r="AE558" s="54">
        <v>5.0679013762514273</v>
      </c>
      <c r="AF558" s="54">
        <v>3.040740825750857</v>
      </c>
      <c r="AG558" s="53">
        <v>3.040740825750857</v>
      </c>
      <c r="AH558" s="54">
        <v>6.0814816515017132</v>
      </c>
      <c r="AI558" s="53">
        <v>5.0679013762514273</v>
      </c>
      <c r="AJ558" s="53">
        <v>6.0814816515017132</v>
      </c>
      <c r="AK558" s="53">
        <v>3.547530963375999</v>
      </c>
      <c r="AL558" s="54">
        <v>3.547530963375999</v>
      </c>
      <c r="AM558" s="54">
        <v>1.5203704128754281</v>
      </c>
      <c r="AN558" s="54">
        <v>2.5339506881257141</v>
      </c>
      <c r="AO558" s="54">
        <v>1.5203704128754281</v>
      </c>
      <c r="AP558" s="54">
        <v>15.20370412875428</v>
      </c>
      <c r="AQ558" s="54">
        <v>8.1086422020022848</v>
      </c>
      <c r="AR558" s="39"/>
    </row>
    <row r="559" spans="1:44" ht="19.5" customHeight="1">
      <c r="A559" s="207">
        <f t="shared" si="62"/>
        <v>7</v>
      </c>
      <c r="B559" s="129" t="s">
        <v>133</v>
      </c>
      <c r="C559" s="185" t="s">
        <v>94</v>
      </c>
      <c r="D559" s="101" t="s">
        <v>4943</v>
      </c>
      <c r="E559" s="185"/>
      <c r="F559" s="32">
        <v>20904.451747346691</v>
      </c>
      <c r="G559" s="32">
        <v>21856.279577462279</v>
      </c>
      <c r="H559" s="32">
        <v>42760.73132480897</v>
      </c>
      <c r="I559" s="33">
        <v>7.27079597911563</v>
      </c>
      <c r="J559" s="33">
        <v>7.27079597911563</v>
      </c>
      <c r="K559" s="34">
        <v>2.4235986597052102</v>
      </c>
      <c r="L559" s="33">
        <v>3.8777578555283361</v>
      </c>
      <c r="M559" s="34">
        <v>4.8471973194104194</v>
      </c>
      <c r="N559" s="34">
        <v>2.9083183916462518</v>
      </c>
      <c r="O559" s="33">
        <v>2.9083183916462518</v>
      </c>
      <c r="P559" s="34">
        <v>5.8166367832925054</v>
      </c>
      <c r="Q559" s="33">
        <v>4.8471973194104194</v>
      </c>
      <c r="R559" s="33">
        <v>5.8166367832925054</v>
      </c>
      <c r="S559" s="33">
        <v>3.393038123587294</v>
      </c>
      <c r="T559" s="34">
        <v>3.393038123587294</v>
      </c>
      <c r="U559" s="34">
        <v>1.4541591958231259</v>
      </c>
      <c r="V559" s="34">
        <v>2.4235986597052102</v>
      </c>
      <c r="W559" s="34">
        <v>1.4541591958231259</v>
      </c>
      <c r="X559" s="34">
        <v>14.54159195823126</v>
      </c>
      <c r="Y559" s="34">
        <v>7.7555157110566721</v>
      </c>
      <c r="Z559" s="54"/>
      <c r="AA559" s="53">
        <v>7.6018520643771419</v>
      </c>
      <c r="AB559" s="53">
        <v>7.6018520643771419</v>
      </c>
      <c r="AC559" s="54">
        <v>2.5339506881257141</v>
      </c>
      <c r="AD559" s="53">
        <v>4.0543211010011424</v>
      </c>
      <c r="AE559" s="54">
        <v>5.0679013762514273</v>
      </c>
      <c r="AF559" s="54">
        <v>3.040740825750857</v>
      </c>
      <c r="AG559" s="53">
        <v>3.040740825750857</v>
      </c>
      <c r="AH559" s="54">
        <v>6.0814816515017132</v>
      </c>
      <c r="AI559" s="53">
        <v>5.0679013762514273</v>
      </c>
      <c r="AJ559" s="53">
        <v>6.0814816515017132</v>
      </c>
      <c r="AK559" s="53">
        <v>3.547530963375999</v>
      </c>
      <c r="AL559" s="54">
        <v>3.547530963375999</v>
      </c>
      <c r="AM559" s="54">
        <v>1.5203704128754281</v>
      </c>
      <c r="AN559" s="54">
        <v>2.5339506881257141</v>
      </c>
      <c r="AO559" s="54">
        <v>1.5203704128754281</v>
      </c>
      <c r="AP559" s="54">
        <v>15.20370412875428</v>
      </c>
      <c r="AQ559" s="54">
        <v>8.1086422020022848</v>
      </c>
      <c r="AR559" s="39"/>
    </row>
    <row r="560" spans="1:44" ht="19.5" customHeight="1">
      <c r="A560" s="207">
        <f t="shared" si="62"/>
        <v>8</v>
      </c>
      <c r="B560" s="101" t="s">
        <v>4944</v>
      </c>
      <c r="C560" s="185" t="s">
        <v>94</v>
      </c>
      <c r="D560" s="101" t="s">
        <v>4945</v>
      </c>
      <c r="E560" s="185"/>
      <c r="F560" s="32">
        <v>122637.1133713321</v>
      </c>
      <c r="G560" s="32">
        <v>22293.405169011519</v>
      </c>
      <c r="H560" s="32">
        <v>144930.51854034359</v>
      </c>
      <c r="I560" s="33">
        <v>42.654523618578253</v>
      </c>
      <c r="J560" s="33">
        <v>42.654523618578253</v>
      </c>
      <c r="K560" s="34">
        <v>14.21817453952608</v>
      </c>
      <c r="L560" s="33">
        <v>22.74907926324174</v>
      </c>
      <c r="M560" s="34">
        <v>28.43634907905216</v>
      </c>
      <c r="N560" s="34">
        <v>17.061809447431301</v>
      </c>
      <c r="O560" s="33">
        <v>17.061809447431301</v>
      </c>
      <c r="P560" s="34">
        <v>34.123618894862602</v>
      </c>
      <c r="Q560" s="33">
        <v>28.43634907905216</v>
      </c>
      <c r="R560" s="33">
        <v>34.123618894862602</v>
      </c>
      <c r="S560" s="33">
        <v>19.90544435533652</v>
      </c>
      <c r="T560" s="34">
        <v>19.90544435533652</v>
      </c>
      <c r="U560" s="34">
        <v>8.5309047237156506</v>
      </c>
      <c r="V560" s="34">
        <v>14.21817453952608</v>
      </c>
      <c r="W560" s="34">
        <v>8.5309047237156506</v>
      </c>
      <c r="X560" s="34">
        <v>85.309047237156506</v>
      </c>
      <c r="Y560" s="34">
        <v>45.498158526483472</v>
      </c>
      <c r="Z560" s="54"/>
      <c r="AA560" s="33">
        <v>7.7538891056646833</v>
      </c>
      <c r="AB560" s="33">
        <v>7.7538891056646833</v>
      </c>
      <c r="AC560" s="34">
        <v>2.584629701888228</v>
      </c>
      <c r="AD560" s="33">
        <v>4.1354075230211649</v>
      </c>
      <c r="AE560" s="34">
        <v>5.1692594037764552</v>
      </c>
      <c r="AF560" s="34">
        <v>3.1015556422658741</v>
      </c>
      <c r="AG560" s="33">
        <v>3.1015556422658741</v>
      </c>
      <c r="AH560" s="34">
        <v>6.2031112845317473</v>
      </c>
      <c r="AI560" s="33">
        <v>5.1692594037764552</v>
      </c>
      <c r="AJ560" s="33">
        <v>6.2031112845317473</v>
      </c>
      <c r="AK560" s="33">
        <v>3.6184815826435188</v>
      </c>
      <c r="AL560" s="34">
        <v>3.6184815826435188</v>
      </c>
      <c r="AM560" s="34">
        <v>1.5507778211329371</v>
      </c>
      <c r="AN560" s="34">
        <v>2.584629701888228</v>
      </c>
      <c r="AO560" s="34">
        <v>1.5507778211329371</v>
      </c>
      <c r="AP560" s="34">
        <v>15.50777821132937</v>
      </c>
      <c r="AQ560" s="34">
        <v>8.2708150460423298</v>
      </c>
      <c r="AR560" s="39"/>
    </row>
    <row r="561" spans="1:44" ht="19.5" customHeight="1">
      <c r="A561" s="232"/>
      <c r="B561" s="137" t="s">
        <v>4946</v>
      </c>
      <c r="C561" s="232" t="s">
        <v>185</v>
      </c>
      <c r="D561" s="137" t="s">
        <v>4947</v>
      </c>
      <c r="E561" s="232">
        <v>4</v>
      </c>
      <c r="F561" s="52">
        <v>206254.92036071891</v>
      </c>
      <c r="G561" s="52">
        <v>87862.243901398353</v>
      </c>
      <c r="H561" s="52">
        <v>294117.16426211718</v>
      </c>
      <c r="I561" s="33">
        <v>71.737707535040784</v>
      </c>
      <c r="J561" s="33">
        <v>71.737707535040784</v>
      </c>
      <c r="K561" s="34">
        <v>23.912569178346921</v>
      </c>
      <c r="L561" s="33">
        <v>38.26011068535508</v>
      </c>
      <c r="M561" s="34">
        <v>47.825138356693849</v>
      </c>
      <c r="N561" s="34">
        <v>28.695083014016308</v>
      </c>
      <c r="O561" s="33">
        <v>28.695083014016308</v>
      </c>
      <c r="P561" s="34">
        <v>57.390166028032617</v>
      </c>
      <c r="Q561" s="33">
        <v>47.825138356693849</v>
      </c>
      <c r="R561" s="33">
        <v>57.390166028032617</v>
      </c>
      <c r="S561" s="33">
        <v>33.477596849685703</v>
      </c>
      <c r="T561" s="34">
        <v>33.477596849685703</v>
      </c>
      <c r="U561" s="34">
        <v>14.34754150700816</v>
      </c>
      <c r="V561" s="34">
        <v>23.912569178346921</v>
      </c>
      <c r="W561" s="34">
        <v>14.34754150700816</v>
      </c>
      <c r="X561" s="34">
        <v>143.4754150700816</v>
      </c>
      <c r="Y561" s="34">
        <v>76.520221370710161</v>
      </c>
      <c r="Z561" s="34"/>
      <c r="AA561" s="33">
        <v>30.559445298796099</v>
      </c>
      <c r="AB561" s="33">
        <v>30.559445298796099</v>
      </c>
      <c r="AC561" s="34">
        <v>10.18648176626537</v>
      </c>
      <c r="AD561" s="33">
        <v>16.298370826024591</v>
      </c>
      <c r="AE561" s="34">
        <v>20.372963532530729</v>
      </c>
      <c r="AF561" s="34">
        <v>12.223778119518441</v>
      </c>
      <c r="AG561" s="33">
        <v>12.223778119518441</v>
      </c>
      <c r="AH561" s="34">
        <v>24.447556239036889</v>
      </c>
      <c r="AI561" s="33">
        <v>20.372963532530729</v>
      </c>
      <c r="AJ561" s="33">
        <v>24.447556239036889</v>
      </c>
      <c r="AK561" s="33">
        <v>14.26107447277152</v>
      </c>
      <c r="AL561" s="34">
        <v>14.26107447277152</v>
      </c>
      <c r="AM561" s="34">
        <v>6.1118890597592213</v>
      </c>
      <c r="AN561" s="34">
        <v>10.18648176626537</v>
      </c>
      <c r="AO561" s="34">
        <v>6.1118890597592213</v>
      </c>
      <c r="AP561" s="34">
        <v>61.118890597592213</v>
      </c>
      <c r="AQ561" s="34">
        <v>32.596741652049182</v>
      </c>
      <c r="AR561" s="39"/>
    </row>
    <row r="562" spans="1:44" ht="19.5" customHeight="1">
      <c r="A562" s="207">
        <v>1</v>
      </c>
      <c r="B562" s="41" t="s">
        <v>133</v>
      </c>
      <c r="C562" s="26" t="s">
        <v>94</v>
      </c>
      <c r="D562" s="101" t="s">
        <v>4948</v>
      </c>
      <c r="E562" s="185"/>
      <c r="F562" s="32">
        <v>33000</v>
      </c>
      <c r="G562" s="32">
        <v>31829.53336523633</v>
      </c>
      <c r="H562" s="32">
        <v>64829.533365236333</v>
      </c>
      <c r="I562" s="33">
        <v>11.47775938879956</v>
      </c>
      <c r="J562" s="33">
        <v>11.47775938879956</v>
      </c>
      <c r="K562" s="34">
        <v>3.8259197962665188</v>
      </c>
      <c r="L562" s="33">
        <v>6.1214716740264308</v>
      </c>
      <c r="M562" s="34">
        <v>7.6518395925330376</v>
      </c>
      <c r="N562" s="34">
        <v>4.5911037555198231</v>
      </c>
      <c r="O562" s="33">
        <v>4.5911037555198231</v>
      </c>
      <c r="P562" s="34">
        <v>9.1822075110396462</v>
      </c>
      <c r="Q562" s="33">
        <v>7.6518395925330376</v>
      </c>
      <c r="R562" s="33">
        <v>9.1822075110396462</v>
      </c>
      <c r="S562" s="33">
        <v>5.3562877147731269</v>
      </c>
      <c r="T562" s="34">
        <v>5.3562877147731269</v>
      </c>
      <c r="U562" s="34">
        <v>2.295551877759912</v>
      </c>
      <c r="V562" s="34">
        <v>3.8259197962665188</v>
      </c>
      <c r="W562" s="34">
        <v>2.295551877759912</v>
      </c>
      <c r="X562" s="34">
        <v>22.95551877759911</v>
      </c>
      <c r="Y562" s="34">
        <v>12.24294334805286</v>
      </c>
      <c r="Z562" s="34"/>
      <c r="AA562" s="33">
        <v>11.0706583461803</v>
      </c>
      <c r="AB562" s="33">
        <v>11.0706583461803</v>
      </c>
      <c r="AC562" s="34">
        <v>3.6902194487267672</v>
      </c>
      <c r="AD562" s="33">
        <v>5.9043511179628281</v>
      </c>
      <c r="AE562" s="34">
        <v>7.3804388974535344</v>
      </c>
      <c r="AF562" s="34">
        <v>4.4282633384721208</v>
      </c>
      <c r="AG562" s="33">
        <v>4.4282633384721208</v>
      </c>
      <c r="AH562" s="34">
        <v>8.8565266769442417</v>
      </c>
      <c r="AI562" s="33">
        <v>7.3804388974535344</v>
      </c>
      <c r="AJ562" s="33">
        <v>8.8565266769442417</v>
      </c>
      <c r="AK562" s="33">
        <v>5.1663072282174749</v>
      </c>
      <c r="AL562" s="34">
        <v>5.1663072282174749</v>
      </c>
      <c r="AM562" s="34">
        <v>2.21413166923606</v>
      </c>
      <c r="AN562" s="34">
        <v>3.6902194487267672</v>
      </c>
      <c r="AO562" s="34">
        <v>2.21413166923606</v>
      </c>
      <c r="AP562" s="34">
        <v>22.141316692360601</v>
      </c>
      <c r="AQ562" s="34">
        <v>11.80870223592566</v>
      </c>
      <c r="AR562" s="37"/>
    </row>
    <row r="563" spans="1:44" ht="19.5" customHeight="1">
      <c r="A563" s="207">
        <f t="shared" ref="A563:A566" si="63">A562+1</f>
        <v>2</v>
      </c>
      <c r="B563" s="101" t="s">
        <v>4949</v>
      </c>
      <c r="C563" s="26" t="s">
        <v>94</v>
      </c>
      <c r="D563" s="105" t="s">
        <v>4950</v>
      </c>
      <c r="E563" s="185"/>
      <c r="F563" s="32">
        <v>105000</v>
      </c>
      <c r="G563" s="32">
        <v>28454.8426868692</v>
      </c>
      <c r="H563" s="32">
        <v>133454.8426868692</v>
      </c>
      <c r="I563" s="33">
        <v>36.520143509816769</v>
      </c>
      <c r="J563" s="33">
        <v>36.520143509816769</v>
      </c>
      <c r="K563" s="34">
        <v>12.173381169938921</v>
      </c>
      <c r="L563" s="33">
        <v>19.477409871902282</v>
      </c>
      <c r="M563" s="34">
        <v>24.346762339877841</v>
      </c>
      <c r="N563" s="34">
        <v>14.608057403926709</v>
      </c>
      <c r="O563" s="33">
        <v>14.608057403926709</v>
      </c>
      <c r="P563" s="34">
        <v>29.216114807853419</v>
      </c>
      <c r="Q563" s="33">
        <v>24.346762339877841</v>
      </c>
      <c r="R563" s="33">
        <v>29.216114807853419</v>
      </c>
      <c r="S563" s="33">
        <v>17.042733637914491</v>
      </c>
      <c r="T563" s="34">
        <v>17.042733637914491</v>
      </c>
      <c r="U563" s="34">
        <v>7.3040287019633539</v>
      </c>
      <c r="V563" s="34">
        <v>12.173381169938921</v>
      </c>
      <c r="W563" s="34">
        <v>7.3040287019633539</v>
      </c>
      <c r="X563" s="34">
        <v>73.040287019633539</v>
      </c>
      <c r="Y563" s="34">
        <v>38.954819743804563</v>
      </c>
      <c r="Z563" s="34"/>
      <c r="AA563" s="33">
        <v>9.8969041759402234</v>
      </c>
      <c r="AB563" s="33">
        <v>9.8969041759402234</v>
      </c>
      <c r="AC563" s="34">
        <v>3.2989680586467411</v>
      </c>
      <c r="AD563" s="33">
        <v>5.278348893834786</v>
      </c>
      <c r="AE563" s="34">
        <v>6.5979361172934814</v>
      </c>
      <c r="AF563" s="34">
        <v>3.9587616703760902</v>
      </c>
      <c r="AG563" s="33">
        <v>3.9587616703760902</v>
      </c>
      <c r="AH563" s="34">
        <v>7.9175233407521786</v>
      </c>
      <c r="AI563" s="33">
        <v>6.5979361172934814</v>
      </c>
      <c r="AJ563" s="33">
        <v>7.9175233407521786</v>
      </c>
      <c r="AK563" s="33">
        <v>4.6185552821054374</v>
      </c>
      <c r="AL563" s="34">
        <v>4.6185552821054374</v>
      </c>
      <c r="AM563" s="34">
        <v>1.9793808351880451</v>
      </c>
      <c r="AN563" s="34">
        <v>3.2989680586467411</v>
      </c>
      <c r="AO563" s="34">
        <v>1.9793808351880451</v>
      </c>
      <c r="AP563" s="34">
        <v>19.79380835188045</v>
      </c>
      <c r="AQ563" s="34">
        <v>10.55669778766957</v>
      </c>
      <c r="AR563" s="39"/>
    </row>
    <row r="564" spans="1:44" ht="19.5" customHeight="1">
      <c r="A564" s="207">
        <f t="shared" si="63"/>
        <v>3</v>
      </c>
      <c r="B564" s="41" t="s">
        <v>133</v>
      </c>
      <c r="C564" s="185" t="s">
        <v>94</v>
      </c>
      <c r="D564" s="105" t="s">
        <v>4951</v>
      </c>
      <c r="E564" s="185"/>
      <c r="F564" s="32">
        <v>20200</v>
      </c>
      <c r="G564" s="32">
        <v>21219.688910157551</v>
      </c>
      <c r="H564" s="32">
        <v>41419.688910157551</v>
      </c>
      <c r="I564" s="53">
        <v>7.0257799895076074</v>
      </c>
      <c r="J564" s="53">
        <v>7.0257799895076074</v>
      </c>
      <c r="K564" s="54">
        <v>2.3419266631692022</v>
      </c>
      <c r="L564" s="53">
        <v>3.7470826610707242</v>
      </c>
      <c r="M564" s="54">
        <v>4.6838533263384043</v>
      </c>
      <c r="N564" s="54">
        <v>2.8103119958030431</v>
      </c>
      <c r="O564" s="53">
        <v>2.8103119958030431</v>
      </c>
      <c r="P564" s="54">
        <v>5.6206239916060863</v>
      </c>
      <c r="Q564" s="53">
        <v>4.6838533263384043</v>
      </c>
      <c r="R564" s="53">
        <v>5.6206239916060863</v>
      </c>
      <c r="S564" s="53">
        <v>3.2786973284368832</v>
      </c>
      <c r="T564" s="54">
        <v>3.2786973284368832</v>
      </c>
      <c r="U564" s="54">
        <v>1.405155997901522</v>
      </c>
      <c r="V564" s="54">
        <v>2.3419266631692022</v>
      </c>
      <c r="W564" s="54">
        <v>1.405155997901522</v>
      </c>
      <c r="X564" s="54">
        <v>14.051559979015209</v>
      </c>
      <c r="Y564" s="54">
        <v>7.4941653221414466</v>
      </c>
      <c r="Z564" s="34"/>
      <c r="AA564" s="33">
        <v>7.3804388974535353</v>
      </c>
      <c r="AB564" s="33">
        <v>7.3804388974535353</v>
      </c>
      <c r="AC564" s="34">
        <v>2.460146299151178</v>
      </c>
      <c r="AD564" s="33">
        <v>3.9362340786418848</v>
      </c>
      <c r="AE564" s="34">
        <v>4.920292598302356</v>
      </c>
      <c r="AF564" s="34">
        <v>2.952175558981414</v>
      </c>
      <c r="AG564" s="33">
        <v>2.952175558981414</v>
      </c>
      <c r="AH564" s="34">
        <v>5.9043511179628281</v>
      </c>
      <c r="AI564" s="33">
        <v>4.920292598302356</v>
      </c>
      <c r="AJ564" s="33">
        <v>5.9043511179628281</v>
      </c>
      <c r="AK564" s="33">
        <v>3.4442048188116501</v>
      </c>
      <c r="AL564" s="34">
        <v>3.4442048188116501</v>
      </c>
      <c r="AM564" s="34">
        <v>1.476087779490707</v>
      </c>
      <c r="AN564" s="34">
        <v>2.460146299151178</v>
      </c>
      <c r="AO564" s="34">
        <v>1.476087779490707</v>
      </c>
      <c r="AP564" s="34">
        <v>14.760877794907071</v>
      </c>
      <c r="AQ564" s="34">
        <v>7.8724681572837696</v>
      </c>
      <c r="AR564" s="37"/>
    </row>
    <row r="565" spans="1:44" ht="19.5" customHeight="1">
      <c r="A565" s="207">
        <f t="shared" si="63"/>
        <v>4</v>
      </c>
      <c r="B565" s="101" t="s">
        <v>4952</v>
      </c>
      <c r="C565" s="185" t="s">
        <v>159</v>
      </c>
      <c r="D565" s="101" t="s">
        <v>4953</v>
      </c>
      <c r="E565" s="185"/>
      <c r="F565" s="32">
        <v>142831</v>
      </c>
      <c r="G565" s="32">
        <v>12000</v>
      </c>
      <c r="H565" s="32">
        <v>154831</v>
      </c>
      <c r="I565" s="33">
        <v>49.678177310958468</v>
      </c>
      <c r="J565" s="33">
        <v>49.678177310958468</v>
      </c>
      <c r="K565" s="34">
        <v>16.559392436986151</v>
      </c>
      <c r="L565" s="33">
        <v>26.495027899177849</v>
      </c>
      <c r="M565" s="34">
        <v>33.118784873972309</v>
      </c>
      <c r="N565" s="34">
        <v>19.871270924383388</v>
      </c>
      <c r="O565" s="33">
        <v>19.871270924383388</v>
      </c>
      <c r="P565" s="34">
        <v>39.742541848766777</v>
      </c>
      <c r="Q565" s="33">
        <v>33.118784873972309</v>
      </c>
      <c r="R565" s="33">
        <v>39.742541848766777</v>
      </c>
      <c r="S565" s="33">
        <v>23.183149411780619</v>
      </c>
      <c r="T565" s="34">
        <v>23.183149411780619</v>
      </c>
      <c r="U565" s="34">
        <v>9.9356354621916942</v>
      </c>
      <c r="V565" s="34">
        <v>16.559392436986151</v>
      </c>
      <c r="W565" s="34">
        <v>9.9356354621916942</v>
      </c>
      <c r="X565" s="34">
        <v>99.356354621916935</v>
      </c>
      <c r="Y565" s="34">
        <v>52.990055798355712</v>
      </c>
      <c r="Z565" s="34"/>
      <c r="AA565" s="33">
        <v>4.173730686836203</v>
      </c>
      <c r="AB565" s="33">
        <v>4.173730686836203</v>
      </c>
      <c r="AC565" s="34">
        <v>1.391243562278734</v>
      </c>
      <c r="AD565" s="33">
        <v>2.2259896996459752</v>
      </c>
      <c r="AE565" s="34">
        <v>2.7824871245574681</v>
      </c>
      <c r="AF565" s="34">
        <v>1.6694922747344809</v>
      </c>
      <c r="AG565" s="33">
        <v>1.6694922747344809</v>
      </c>
      <c r="AH565" s="34">
        <v>3.3389845494689618</v>
      </c>
      <c r="AI565" s="33">
        <v>2.7824871245574681</v>
      </c>
      <c r="AJ565" s="33">
        <v>3.3389845494689618</v>
      </c>
      <c r="AK565" s="33">
        <v>1.947740987190228</v>
      </c>
      <c r="AL565" s="34">
        <v>1.947740987190228</v>
      </c>
      <c r="AM565" s="34">
        <v>0.83474613736724057</v>
      </c>
      <c r="AN565" s="34">
        <v>1.391243562278734</v>
      </c>
      <c r="AO565" s="34">
        <v>0.83474613736724057</v>
      </c>
      <c r="AP565" s="34">
        <v>8.3474613736724059</v>
      </c>
      <c r="AQ565" s="34">
        <v>4.4519793992919494</v>
      </c>
      <c r="AR565" s="39"/>
    </row>
    <row r="566" spans="1:44" ht="19.5" customHeight="1">
      <c r="A566" s="207">
        <f t="shared" si="63"/>
        <v>5</v>
      </c>
      <c r="B566" s="41" t="s">
        <v>133</v>
      </c>
      <c r="C566" s="185" t="s">
        <v>94</v>
      </c>
      <c r="D566" s="101" t="s">
        <v>4954</v>
      </c>
      <c r="E566" s="185"/>
      <c r="F566" s="32">
        <v>20956.843856989159</v>
      </c>
      <c r="G566" s="32">
        <v>25000</v>
      </c>
      <c r="H566" s="32">
        <v>45956.843856989159</v>
      </c>
      <c r="I566" s="33">
        <v>7.2890185254292019</v>
      </c>
      <c r="J566" s="33">
        <v>7.2890185254292019</v>
      </c>
      <c r="K566" s="34">
        <v>2.429672841809734</v>
      </c>
      <c r="L566" s="33">
        <v>3.887476546895575</v>
      </c>
      <c r="M566" s="34">
        <v>4.8593456836194679</v>
      </c>
      <c r="N566" s="34">
        <v>2.9156074101716811</v>
      </c>
      <c r="O566" s="33">
        <v>2.9156074101716811</v>
      </c>
      <c r="P566" s="34">
        <v>5.8312148203433622</v>
      </c>
      <c r="Q566" s="33">
        <v>4.8593456836194679</v>
      </c>
      <c r="R566" s="33">
        <v>5.8312148203433622</v>
      </c>
      <c r="S566" s="33">
        <v>3.4015419785336278</v>
      </c>
      <c r="T566" s="34">
        <v>3.4015419785336278</v>
      </c>
      <c r="U566" s="34">
        <v>1.457803705085841</v>
      </c>
      <c r="V566" s="34">
        <v>2.429672841809734</v>
      </c>
      <c r="W566" s="34">
        <v>1.457803705085841</v>
      </c>
      <c r="X566" s="34">
        <v>14.5780370508584</v>
      </c>
      <c r="Y566" s="34">
        <v>7.7749530937911491</v>
      </c>
      <c r="Z566" s="34"/>
      <c r="AA566" s="33">
        <v>8.695272264242087</v>
      </c>
      <c r="AB566" s="33">
        <v>8.695272264242087</v>
      </c>
      <c r="AC566" s="34">
        <v>2.898424088080696</v>
      </c>
      <c r="AD566" s="33">
        <v>4.6374785409291137</v>
      </c>
      <c r="AE566" s="34">
        <v>5.796848176161391</v>
      </c>
      <c r="AF566" s="34">
        <v>3.4781089056968351</v>
      </c>
      <c r="AG566" s="33">
        <v>3.4781089056968351</v>
      </c>
      <c r="AH566" s="34">
        <v>6.9562178113936701</v>
      </c>
      <c r="AI566" s="33">
        <v>5.796848176161391</v>
      </c>
      <c r="AJ566" s="33">
        <v>6.9562178113936701</v>
      </c>
      <c r="AK566" s="33">
        <v>4.0577937233129742</v>
      </c>
      <c r="AL566" s="34">
        <v>4.0577937233129742</v>
      </c>
      <c r="AM566" s="34">
        <v>1.739054452848418</v>
      </c>
      <c r="AN566" s="34">
        <v>2.898424088080696</v>
      </c>
      <c r="AO566" s="34">
        <v>1.739054452848418</v>
      </c>
      <c r="AP566" s="34">
        <v>17.39054452848417</v>
      </c>
      <c r="AQ566" s="34">
        <v>9.2749570818582274</v>
      </c>
      <c r="AR566" s="39"/>
    </row>
    <row r="567" spans="1:44" ht="19.5" customHeight="1">
      <c r="A567" s="236"/>
      <c r="B567" s="137" t="s">
        <v>4955</v>
      </c>
      <c r="C567" s="232" t="s">
        <v>185</v>
      </c>
      <c r="D567" s="137" t="s">
        <v>4956</v>
      </c>
      <c r="E567" s="232">
        <v>5</v>
      </c>
      <c r="F567" s="52">
        <v>321987.84385698917</v>
      </c>
      <c r="G567" s="52">
        <v>118504.0649622631</v>
      </c>
      <c r="H567" s="52">
        <v>440491.90881925228</v>
      </c>
      <c r="I567" s="33">
        <v>111.9908787245116</v>
      </c>
      <c r="J567" s="33">
        <v>111.9908787245116</v>
      </c>
      <c r="K567" s="34">
        <v>37.330292908170527</v>
      </c>
      <c r="L567" s="33">
        <v>59.728468653072852</v>
      </c>
      <c r="M567" s="34">
        <v>74.660585816341055</v>
      </c>
      <c r="N567" s="34">
        <v>44.796351489804643</v>
      </c>
      <c r="O567" s="33">
        <v>44.796351489804643</v>
      </c>
      <c r="P567" s="34">
        <v>89.592702979609285</v>
      </c>
      <c r="Q567" s="33">
        <v>74.660585816341055</v>
      </c>
      <c r="R567" s="33">
        <v>89.592702979609285</v>
      </c>
      <c r="S567" s="33">
        <v>52.262410071438751</v>
      </c>
      <c r="T567" s="34">
        <v>52.262410071438751</v>
      </c>
      <c r="U567" s="34">
        <v>22.398175744902321</v>
      </c>
      <c r="V567" s="34">
        <v>37.330292908170527</v>
      </c>
      <c r="W567" s="34">
        <v>22.398175744902321</v>
      </c>
      <c r="X567" s="34">
        <v>223.98175744902321</v>
      </c>
      <c r="Y567" s="34">
        <v>119.4569373061457</v>
      </c>
      <c r="Z567" s="34"/>
      <c r="AA567" s="33">
        <v>41.217004370652347</v>
      </c>
      <c r="AB567" s="33">
        <v>41.217004370652347</v>
      </c>
      <c r="AC567" s="34">
        <v>13.739001456884109</v>
      </c>
      <c r="AD567" s="33">
        <v>21.98240233101459</v>
      </c>
      <c r="AE567" s="34">
        <v>27.478002913768229</v>
      </c>
      <c r="AF567" s="34">
        <v>16.486801748260941</v>
      </c>
      <c r="AG567" s="33">
        <v>16.486801748260941</v>
      </c>
      <c r="AH567" s="34">
        <v>32.973603496521882</v>
      </c>
      <c r="AI567" s="33">
        <v>27.478002913768229</v>
      </c>
      <c r="AJ567" s="33">
        <v>32.973603496521882</v>
      </c>
      <c r="AK567" s="33">
        <v>19.23460203963776</v>
      </c>
      <c r="AL567" s="34">
        <v>19.23460203963776</v>
      </c>
      <c r="AM567" s="34">
        <v>8.2434008741304705</v>
      </c>
      <c r="AN567" s="34">
        <v>13.739001456884109</v>
      </c>
      <c r="AO567" s="34">
        <v>8.2434008741304705</v>
      </c>
      <c r="AP567" s="34">
        <v>82.434008741304694</v>
      </c>
      <c r="AQ567" s="34">
        <v>43.964804662029167</v>
      </c>
      <c r="AR567" s="37"/>
    </row>
    <row r="568" spans="1:44" ht="19.5" customHeight="1">
      <c r="A568" s="207">
        <f>A566+1</f>
        <v>6</v>
      </c>
      <c r="B568" s="56" t="s">
        <v>4957</v>
      </c>
      <c r="C568" s="185" t="s">
        <v>94</v>
      </c>
      <c r="D568" s="101" t="s">
        <v>4958</v>
      </c>
      <c r="E568" s="185"/>
      <c r="F568" s="32">
        <v>110505.4930492767</v>
      </c>
      <c r="G568" s="32">
        <v>17000</v>
      </c>
      <c r="H568" s="32">
        <v>127505.4930492767</v>
      </c>
      <c r="I568" s="33">
        <v>38.435013950310889</v>
      </c>
      <c r="J568" s="33">
        <v>38.435013950310889</v>
      </c>
      <c r="K568" s="34">
        <v>12.811671316770299</v>
      </c>
      <c r="L568" s="33">
        <v>20.498674106832471</v>
      </c>
      <c r="M568" s="34">
        <v>25.623342633540592</v>
      </c>
      <c r="N568" s="34">
        <v>15.37400558012436</v>
      </c>
      <c r="O568" s="33">
        <v>15.37400558012436</v>
      </c>
      <c r="P568" s="34">
        <v>30.748011160248719</v>
      </c>
      <c r="Q568" s="33">
        <v>25.623342633540592</v>
      </c>
      <c r="R568" s="33">
        <v>30.748011160248719</v>
      </c>
      <c r="S568" s="33">
        <v>17.936339843478411</v>
      </c>
      <c r="T568" s="34">
        <v>17.936339843478411</v>
      </c>
      <c r="U568" s="34">
        <v>7.6870027900621789</v>
      </c>
      <c r="V568" s="34">
        <v>12.811671316770299</v>
      </c>
      <c r="W568" s="34">
        <v>7.6870027900621789</v>
      </c>
      <c r="X568" s="34">
        <v>76.870027900621778</v>
      </c>
      <c r="Y568" s="34">
        <v>40.997348213664949</v>
      </c>
      <c r="Z568" s="54"/>
      <c r="AA568" s="33">
        <v>5.9127851396846198</v>
      </c>
      <c r="AB568" s="33">
        <v>5.9127851396846198</v>
      </c>
      <c r="AC568" s="34">
        <v>1.9709283798948729</v>
      </c>
      <c r="AD568" s="33">
        <v>3.1534854078317971</v>
      </c>
      <c r="AE568" s="34">
        <v>3.9418567597897458</v>
      </c>
      <c r="AF568" s="34">
        <v>2.3651140558738479</v>
      </c>
      <c r="AG568" s="33">
        <v>2.3651140558738479</v>
      </c>
      <c r="AH568" s="34">
        <v>4.7302281117476959</v>
      </c>
      <c r="AI568" s="33">
        <v>3.9418567597897458</v>
      </c>
      <c r="AJ568" s="33">
        <v>4.7302281117476959</v>
      </c>
      <c r="AK568" s="33">
        <v>2.7592997318528232</v>
      </c>
      <c r="AL568" s="34">
        <v>2.7592997318528232</v>
      </c>
      <c r="AM568" s="34">
        <v>1.182557027936924</v>
      </c>
      <c r="AN568" s="34">
        <v>1.9709283798948729</v>
      </c>
      <c r="AO568" s="34">
        <v>1.182557027936924</v>
      </c>
      <c r="AP568" s="34">
        <v>11.82557027936924</v>
      </c>
      <c r="AQ568" s="34">
        <v>6.3069708156635942</v>
      </c>
      <c r="AR568" s="37"/>
    </row>
    <row r="569" spans="1:44" ht="19.5" customHeight="1">
      <c r="A569" s="207">
        <f t="shared" ref="A569:A571" si="64">A568+1</f>
        <v>7</v>
      </c>
      <c r="B569" s="186" t="s">
        <v>133</v>
      </c>
      <c r="C569" s="64" t="s">
        <v>94</v>
      </c>
      <c r="D569" s="101" t="s">
        <v>4959</v>
      </c>
      <c r="E569" s="185"/>
      <c r="F569" s="32">
        <v>15000</v>
      </c>
      <c r="G569" s="32">
        <v>35000</v>
      </c>
      <c r="H569" s="32">
        <v>50000</v>
      </c>
      <c r="I569" s="33">
        <v>5.2171633585452533</v>
      </c>
      <c r="J569" s="33">
        <v>5.2171633585452533</v>
      </c>
      <c r="K569" s="34">
        <v>1.739054452848418</v>
      </c>
      <c r="L569" s="33">
        <v>2.7824871245574681</v>
      </c>
      <c r="M569" s="34">
        <v>3.4781089056968351</v>
      </c>
      <c r="N569" s="34">
        <v>2.086865343418101</v>
      </c>
      <c r="O569" s="33">
        <v>2.086865343418101</v>
      </c>
      <c r="P569" s="34">
        <v>4.173730686836203</v>
      </c>
      <c r="Q569" s="33">
        <v>3.4781089056968351</v>
      </c>
      <c r="R569" s="33">
        <v>4.173730686836203</v>
      </c>
      <c r="S569" s="33">
        <v>2.4346762339877852</v>
      </c>
      <c r="T569" s="34">
        <v>2.4346762339877852</v>
      </c>
      <c r="U569" s="34">
        <v>1.043432671709051</v>
      </c>
      <c r="V569" s="34">
        <v>1.739054452848418</v>
      </c>
      <c r="W569" s="34">
        <v>1.043432671709051</v>
      </c>
      <c r="X569" s="34">
        <v>10.43432671709051</v>
      </c>
      <c r="Y569" s="34">
        <v>5.564974249114937</v>
      </c>
      <c r="Z569" s="70"/>
      <c r="AA569" s="69">
        <v>12.173381169938921</v>
      </c>
      <c r="AB569" s="69">
        <v>12.173381169938921</v>
      </c>
      <c r="AC569" s="70">
        <v>4.0577937233129742</v>
      </c>
      <c r="AD569" s="69">
        <v>6.4924699573007594</v>
      </c>
      <c r="AE569" s="70">
        <v>8.1155874466259483</v>
      </c>
      <c r="AF569" s="70">
        <v>4.8693524679755704</v>
      </c>
      <c r="AG569" s="69">
        <v>4.8693524679755704</v>
      </c>
      <c r="AH569" s="70">
        <v>9.7387049359511391</v>
      </c>
      <c r="AI569" s="69">
        <v>8.1155874466259483</v>
      </c>
      <c r="AJ569" s="69">
        <v>9.7387049359511391</v>
      </c>
      <c r="AK569" s="69">
        <v>5.6809112126381649</v>
      </c>
      <c r="AL569" s="70">
        <v>5.6809112126381649</v>
      </c>
      <c r="AM569" s="70">
        <v>2.4346762339877852</v>
      </c>
      <c r="AN569" s="70">
        <v>4.0577937233129742</v>
      </c>
      <c r="AO569" s="70">
        <v>2.4346762339877852</v>
      </c>
      <c r="AP569" s="70">
        <v>24.346762339877849</v>
      </c>
      <c r="AQ569" s="70">
        <v>12.984939914601521</v>
      </c>
      <c r="AR569" s="39"/>
    </row>
    <row r="570" spans="1:44" ht="19.5" customHeight="1">
      <c r="A570" s="207">
        <f t="shared" si="64"/>
        <v>8</v>
      </c>
      <c r="B570" s="56" t="s">
        <v>2757</v>
      </c>
      <c r="C570" s="185" t="s">
        <v>1014</v>
      </c>
      <c r="D570" s="101" t="s">
        <v>4960</v>
      </c>
      <c r="E570" s="185"/>
      <c r="F570" s="32">
        <v>123088</v>
      </c>
      <c r="G570" s="32">
        <v>18000</v>
      </c>
      <c r="H570" s="32">
        <v>141088</v>
      </c>
      <c r="I570" s="33">
        <v>42.811346898441208</v>
      </c>
      <c r="J570" s="33">
        <v>42.811346898441208</v>
      </c>
      <c r="K570" s="34">
        <v>14.27044896614707</v>
      </c>
      <c r="L570" s="33">
        <v>22.83271834583531</v>
      </c>
      <c r="M570" s="34">
        <v>28.54089793229414</v>
      </c>
      <c r="N570" s="34">
        <v>17.124538759376481</v>
      </c>
      <c r="O570" s="33">
        <v>17.124538759376481</v>
      </c>
      <c r="P570" s="34">
        <v>34.249077518752969</v>
      </c>
      <c r="Q570" s="33">
        <v>28.54089793229414</v>
      </c>
      <c r="R570" s="33">
        <v>34.249077518752969</v>
      </c>
      <c r="S570" s="33">
        <v>19.978628552605901</v>
      </c>
      <c r="T570" s="34">
        <v>19.978628552605901</v>
      </c>
      <c r="U570" s="34">
        <v>8.5622693796882423</v>
      </c>
      <c r="V570" s="34">
        <v>14.27044896614707</v>
      </c>
      <c r="W570" s="34">
        <v>8.5622693796882423</v>
      </c>
      <c r="X570" s="34">
        <v>85.622693796882416</v>
      </c>
      <c r="Y570" s="34">
        <v>45.665436691670621</v>
      </c>
      <c r="Z570" s="34"/>
      <c r="AA570" s="33">
        <v>6.2605960302543036</v>
      </c>
      <c r="AB570" s="33">
        <v>6.2605960302543036</v>
      </c>
      <c r="AC570" s="34">
        <v>2.086865343418101</v>
      </c>
      <c r="AD570" s="33">
        <v>3.3389845494689618</v>
      </c>
      <c r="AE570" s="34">
        <v>4.1737306868362021</v>
      </c>
      <c r="AF570" s="34">
        <v>2.504238412101722</v>
      </c>
      <c r="AG570" s="33">
        <v>2.504238412101722</v>
      </c>
      <c r="AH570" s="34">
        <v>5.0084768242034432</v>
      </c>
      <c r="AI570" s="33">
        <v>4.1737306868362021</v>
      </c>
      <c r="AJ570" s="33">
        <v>5.0084768242034432</v>
      </c>
      <c r="AK570" s="33">
        <v>2.9216114807853422</v>
      </c>
      <c r="AL570" s="34">
        <v>2.9216114807853422</v>
      </c>
      <c r="AM570" s="34">
        <v>1.252119206050861</v>
      </c>
      <c r="AN570" s="34">
        <v>2.086865343418101</v>
      </c>
      <c r="AO570" s="34">
        <v>1.252119206050861</v>
      </c>
      <c r="AP570" s="34">
        <v>12.521192060508611</v>
      </c>
      <c r="AQ570" s="34">
        <v>6.6779690989379246</v>
      </c>
      <c r="AR570" s="39"/>
    </row>
    <row r="571" spans="1:44" ht="19.5" customHeight="1">
      <c r="A571" s="207">
        <f t="shared" si="64"/>
        <v>9</v>
      </c>
      <c r="B571" s="101" t="s">
        <v>4961</v>
      </c>
      <c r="C571" s="185" t="s">
        <v>94</v>
      </c>
      <c r="D571" s="101" t="s">
        <v>4962</v>
      </c>
      <c r="E571" s="185"/>
      <c r="F571" s="32">
        <v>140424</v>
      </c>
      <c r="G571" s="32">
        <v>15000</v>
      </c>
      <c r="H571" s="32">
        <v>155424</v>
      </c>
      <c r="I571" s="53">
        <v>48.840996497357239</v>
      </c>
      <c r="J571" s="53">
        <v>48.840996497357239</v>
      </c>
      <c r="K571" s="54">
        <v>16.28033216578574</v>
      </c>
      <c r="L571" s="53">
        <v>26.048531465257192</v>
      </c>
      <c r="M571" s="54">
        <v>32.560664331571488</v>
      </c>
      <c r="N571" s="54">
        <v>19.536398598942899</v>
      </c>
      <c r="O571" s="53">
        <v>19.536398598942899</v>
      </c>
      <c r="P571" s="54">
        <v>39.072797197885791</v>
      </c>
      <c r="Q571" s="53">
        <v>32.560664331571488</v>
      </c>
      <c r="R571" s="53">
        <v>39.072797197885791</v>
      </c>
      <c r="S571" s="53">
        <v>22.79246503210004</v>
      </c>
      <c r="T571" s="54">
        <v>22.79246503210004</v>
      </c>
      <c r="U571" s="54">
        <v>9.7681992994714477</v>
      </c>
      <c r="V571" s="54">
        <v>16.28033216578574</v>
      </c>
      <c r="W571" s="54">
        <v>9.7681992994714477</v>
      </c>
      <c r="X571" s="54">
        <v>97.681992994714477</v>
      </c>
      <c r="Y571" s="54">
        <v>52.097062930514383</v>
      </c>
      <c r="Z571" s="34"/>
      <c r="AA571" s="33">
        <v>5.2171633585452533</v>
      </c>
      <c r="AB571" s="33">
        <v>5.2171633585452533</v>
      </c>
      <c r="AC571" s="34">
        <v>1.739054452848418</v>
      </c>
      <c r="AD571" s="33">
        <v>2.7824871245574681</v>
      </c>
      <c r="AE571" s="34">
        <v>3.4781089056968351</v>
      </c>
      <c r="AF571" s="34">
        <v>2.086865343418101</v>
      </c>
      <c r="AG571" s="33">
        <v>2.086865343418101</v>
      </c>
      <c r="AH571" s="34">
        <v>4.173730686836203</v>
      </c>
      <c r="AI571" s="33">
        <v>3.4781089056968351</v>
      </c>
      <c r="AJ571" s="33">
        <v>4.173730686836203</v>
      </c>
      <c r="AK571" s="33">
        <v>2.4346762339877852</v>
      </c>
      <c r="AL571" s="34">
        <v>2.4346762339877852</v>
      </c>
      <c r="AM571" s="34">
        <v>1.043432671709051</v>
      </c>
      <c r="AN571" s="34">
        <v>1.739054452848418</v>
      </c>
      <c r="AO571" s="34">
        <v>1.043432671709051</v>
      </c>
      <c r="AP571" s="34">
        <v>10.43432671709051</v>
      </c>
      <c r="AQ571" s="34">
        <v>5.564974249114937</v>
      </c>
      <c r="AR571" s="39"/>
    </row>
    <row r="572" spans="1:44" ht="19.5" customHeight="1">
      <c r="A572" s="236"/>
      <c r="B572" s="137" t="s">
        <v>4963</v>
      </c>
      <c r="C572" s="232" t="s">
        <v>389</v>
      </c>
      <c r="D572" s="137" t="s">
        <v>4964</v>
      </c>
      <c r="E572" s="232">
        <v>4</v>
      </c>
      <c r="F572" s="52">
        <v>389017.49304927659</v>
      </c>
      <c r="G572" s="52">
        <v>85000</v>
      </c>
      <c r="H572" s="52">
        <v>474017.49304927659</v>
      </c>
      <c r="I572" s="33">
        <v>135.30452070465461</v>
      </c>
      <c r="J572" s="33">
        <v>135.30452070465461</v>
      </c>
      <c r="K572" s="34">
        <v>45.101506901551517</v>
      </c>
      <c r="L572" s="33">
        <v>72.162411042482447</v>
      </c>
      <c r="M572" s="34">
        <v>90.203013803103048</v>
      </c>
      <c r="N572" s="34">
        <v>54.121808281861838</v>
      </c>
      <c r="O572" s="33">
        <v>54.121808281861838</v>
      </c>
      <c r="P572" s="34">
        <v>108.24361656372371</v>
      </c>
      <c r="Q572" s="33">
        <v>90.203013803103048</v>
      </c>
      <c r="R572" s="33">
        <v>108.24361656372371</v>
      </c>
      <c r="S572" s="33">
        <v>63.142109662172139</v>
      </c>
      <c r="T572" s="34">
        <v>63.142109662172139</v>
      </c>
      <c r="U572" s="34">
        <v>27.060904140930919</v>
      </c>
      <c r="V572" s="34">
        <v>45.101506901551517</v>
      </c>
      <c r="W572" s="34">
        <v>27.060904140930919</v>
      </c>
      <c r="X572" s="34">
        <v>270.60904140930921</v>
      </c>
      <c r="Y572" s="34">
        <v>144.32482208496489</v>
      </c>
      <c r="Z572" s="54"/>
      <c r="AA572" s="53">
        <v>29.563925698423098</v>
      </c>
      <c r="AB572" s="53">
        <v>29.563925698423098</v>
      </c>
      <c r="AC572" s="54">
        <v>9.8546418994743661</v>
      </c>
      <c r="AD572" s="53">
        <v>15.76742703915899</v>
      </c>
      <c r="AE572" s="54">
        <v>19.709283798948729</v>
      </c>
      <c r="AF572" s="54">
        <v>11.82557027936924</v>
      </c>
      <c r="AG572" s="53">
        <v>11.82557027936924</v>
      </c>
      <c r="AH572" s="54">
        <v>23.651140558738479</v>
      </c>
      <c r="AI572" s="53">
        <v>19.709283798948729</v>
      </c>
      <c r="AJ572" s="53">
        <v>23.651140558738479</v>
      </c>
      <c r="AK572" s="53">
        <v>13.79649865926411</v>
      </c>
      <c r="AL572" s="54">
        <v>13.79649865926411</v>
      </c>
      <c r="AM572" s="54">
        <v>5.9127851396846198</v>
      </c>
      <c r="AN572" s="54">
        <v>9.8546418994743661</v>
      </c>
      <c r="AO572" s="54">
        <v>5.9127851396846198</v>
      </c>
      <c r="AP572" s="54">
        <v>59.127851396846197</v>
      </c>
      <c r="AQ572" s="54">
        <v>31.53485407831797</v>
      </c>
      <c r="AR572" s="39"/>
    </row>
    <row r="573" spans="1:44" ht="19.5" customHeight="1">
      <c r="A573" s="207">
        <f>A571+1</f>
        <v>10</v>
      </c>
      <c r="B573" s="101" t="s">
        <v>4965</v>
      </c>
      <c r="C573" s="185" t="s">
        <v>94</v>
      </c>
      <c r="D573" s="101" t="s">
        <v>4966</v>
      </c>
      <c r="E573" s="185"/>
      <c r="F573" s="32">
        <v>115000</v>
      </c>
      <c r="G573" s="32">
        <v>15000</v>
      </c>
      <c r="H573" s="32">
        <v>130000</v>
      </c>
      <c r="I573" s="33">
        <v>39.998252415513612</v>
      </c>
      <c r="J573" s="33">
        <v>39.998252415513612</v>
      </c>
      <c r="K573" s="34">
        <v>13.3327508051712</v>
      </c>
      <c r="L573" s="33">
        <v>21.332401288273921</v>
      </c>
      <c r="M573" s="34">
        <v>26.6655016103424</v>
      </c>
      <c r="N573" s="34">
        <v>15.999300966205441</v>
      </c>
      <c r="O573" s="33">
        <v>15.999300966205441</v>
      </c>
      <c r="P573" s="34">
        <v>31.998601932410889</v>
      </c>
      <c r="Q573" s="33">
        <v>26.6655016103424</v>
      </c>
      <c r="R573" s="33">
        <v>31.998601932410889</v>
      </c>
      <c r="S573" s="33">
        <v>18.66585112723968</v>
      </c>
      <c r="T573" s="34">
        <v>18.66585112723968</v>
      </c>
      <c r="U573" s="34">
        <v>7.9996504831027222</v>
      </c>
      <c r="V573" s="34">
        <v>13.3327508051712</v>
      </c>
      <c r="W573" s="34">
        <v>7.9996504831027222</v>
      </c>
      <c r="X573" s="34">
        <v>79.996504831027224</v>
      </c>
      <c r="Y573" s="34">
        <v>42.664802576547849</v>
      </c>
      <c r="Z573" s="54"/>
      <c r="AA573" s="53">
        <v>5.2171633585452533</v>
      </c>
      <c r="AB573" s="53">
        <v>5.2171633585452533</v>
      </c>
      <c r="AC573" s="54">
        <v>1.739054452848418</v>
      </c>
      <c r="AD573" s="53">
        <v>2.7824871245574681</v>
      </c>
      <c r="AE573" s="54">
        <v>3.4781089056968351</v>
      </c>
      <c r="AF573" s="54">
        <v>2.086865343418101</v>
      </c>
      <c r="AG573" s="53">
        <v>2.086865343418101</v>
      </c>
      <c r="AH573" s="54">
        <v>4.173730686836203</v>
      </c>
      <c r="AI573" s="53">
        <v>3.4781089056968351</v>
      </c>
      <c r="AJ573" s="53">
        <v>4.173730686836203</v>
      </c>
      <c r="AK573" s="53">
        <v>2.4346762339877852</v>
      </c>
      <c r="AL573" s="54">
        <v>2.4346762339877852</v>
      </c>
      <c r="AM573" s="54">
        <v>1.043432671709051</v>
      </c>
      <c r="AN573" s="54">
        <v>1.739054452848418</v>
      </c>
      <c r="AO573" s="54">
        <v>1.043432671709051</v>
      </c>
      <c r="AP573" s="54">
        <v>10.43432671709051</v>
      </c>
      <c r="AQ573" s="54">
        <v>5.564974249114937</v>
      </c>
      <c r="AR573" s="39"/>
    </row>
    <row r="574" spans="1:44" ht="19.5" customHeight="1">
      <c r="A574" s="207">
        <f t="shared" ref="A574:A576" si="65">A573+1</f>
        <v>11</v>
      </c>
      <c r="B574" s="41" t="s">
        <v>133</v>
      </c>
      <c r="C574" s="185" t="s">
        <v>94</v>
      </c>
      <c r="D574" s="101" t="s">
        <v>4967</v>
      </c>
      <c r="E574" s="185"/>
      <c r="F574" s="32">
        <v>0</v>
      </c>
      <c r="G574" s="32">
        <v>0</v>
      </c>
      <c r="H574" s="32">
        <v>0</v>
      </c>
      <c r="I574" s="33">
        <v>0</v>
      </c>
      <c r="J574" s="33">
        <v>0</v>
      </c>
      <c r="K574" s="34">
        <v>0</v>
      </c>
      <c r="L574" s="33">
        <v>0</v>
      </c>
      <c r="M574" s="34">
        <v>0</v>
      </c>
      <c r="N574" s="34">
        <v>0</v>
      </c>
      <c r="O574" s="33">
        <v>0</v>
      </c>
      <c r="P574" s="34">
        <v>0</v>
      </c>
      <c r="Q574" s="33">
        <v>0</v>
      </c>
      <c r="R574" s="33">
        <v>0</v>
      </c>
      <c r="S574" s="33">
        <v>0</v>
      </c>
      <c r="T574" s="34">
        <v>0</v>
      </c>
      <c r="U574" s="34">
        <v>0</v>
      </c>
      <c r="V574" s="34">
        <v>0</v>
      </c>
      <c r="W574" s="34">
        <v>0</v>
      </c>
      <c r="X574" s="34">
        <v>0</v>
      </c>
      <c r="Y574" s="34">
        <v>0</v>
      </c>
      <c r="Z574" s="54"/>
      <c r="AA574" s="33">
        <v>0</v>
      </c>
      <c r="AB574" s="33">
        <v>0</v>
      </c>
      <c r="AC574" s="34">
        <v>0</v>
      </c>
      <c r="AD574" s="33">
        <v>0</v>
      </c>
      <c r="AE574" s="34">
        <v>0</v>
      </c>
      <c r="AF574" s="34">
        <v>0</v>
      </c>
      <c r="AG574" s="33">
        <v>0</v>
      </c>
      <c r="AH574" s="34">
        <v>0</v>
      </c>
      <c r="AI574" s="33">
        <v>0</v>
      </c>
      <c r="AJ574" s="33">
        <v>0</v>
      </c>
      <c r="AK574" s="33">
        <v>0</v>
      </c>
      <c r="AL574" s="34">
        <v>0</v>
      </c>
      <c r="AM574" s="34">
        <v>0</v>
      </c>
      <c r="AN574" s="34">
        <v>0</v>
      </c>
      <c r="AO574" s="34">
        <v>0</v>
      </c>
      <c r="AP574" s="34">
        <v>0</v>
      </c>
      <c r="AQ574" s="34">
        <v>0</v>
      </c>
      <c r="AR574" s="39"/>
    </row>
    <row r="575" spans="1:44" ht="19.5" customHeight="1">
      <c r="A575" s="207">
        <f t="shared" si="65"/>
        <v>12</v>
      </c>
      <c r="B575" s="101" t="s">
        <v>4968</v>
      </c>
      <c r="C575" s="185" t="s">
        <v>159</v>
      </c>
      <c r="D575" s="101" t="s">
        <v>4969</v>
      </c>
      <c r="E575" s="185"/>
      <c r="F575" s="32">
        <v>137820</v>
      </c>
      <c r="G575" s="32">
        <v>21644.082688360701</v>
      </c>
      <c r="H575" s="32">
        <v>159464.08268836071</v>
      </c>
      <c r="I575" s="33">
        <v>47.935296938313783</v>
      </c>
      <c r="J575" s="33">
        <v>47.935296938313783</v>
      </c>
      <c r="K575" s="34">
        <v>15.978432312771259</v>
      </c>
      <c r="L575" s="33">
        <v>25.56549170043402</v>
      </c>
      <c r="M575" s="34">
        <v>31.956864625542519</v>
      </c>
      <c r="N575" s="34">
        <v>19.17411877532551</v>
      </c>
      <c r="O575" s="33">
        <v>19.17411877532551</v>
      </c>
      <c r="P575" s="34">
        <v>38.348237550651028</v>
      </c>
      <c r="Q575" s="33">
        <v>31.956864625542519</v>
      </c>
      <c r="R575" s="33">
        <v>38.348237550651028</v>
      </c>
      <c r="S575" s="33">
        <v>22.36980523787977</v>
      </c>
      <c r="T575" s="34">
        <v>22.36980523787977</v>
      </c>
      <c r="U575" s="34">
        <v>9.587059387662757</v>
      </c>
      <c r="V575" s="34">
        <v>15.978432312771259</v>
      </c>
      <c r="W575" s="34">
        <v>9.587059387662757</v>
      </c>
      <c r="X575" s="34">
        <v>95.870593876627566</v>
      </c>
      <c r="Y575" s="34">
        <v>51.130983400868033</v>
      </c>
      <c r="Z575" s="54"/>
      <c r="AA575" s="33">
        <v>7.5280476754026058</v>
      </c>
      <c r="AB575" s="33">
        <v>7.5280476754026058</v>
      </c>
      <c r="AC575" s="34">
        <v>2.5093492251342022</v>
      </c>
      <c r="AD575" s="33">
        <v>4.0149587602147232</v>
      </c>
      <c r="AE575" s="34">
        <v>5.0186984502684044</v>
      </c>
      <c r="AF575" s="34">
        <v>3.011219070161042</v>
      </c>
      <c r="AG575" s="33">
        <v>3.011219070161042</v>
      </c>
      <c r="AH575" s="34">
        <v>6.0224381403220848</v>
      </c>
      <c r="AI575" s="33">
        <v>5.0186984502684044</v>
      </c>
      <c r="AJ575" s="33">
        <v>6.0224381403220848</v>
      </c>
      <c r="AK575" s="33">
        <v>3.513088915187883</v>
      </c>
      <c r="AL575" s="34">
        <v>3.513088915187883</v>
      </c>
      <c r="AM575" s="34">
        <v>1.505609535080521</v>
      </c>
      <c r="AN575" s="34">
        <v>2.5093492251342022</v>
      </c>
      <c r="AO575" s="34">
        <v>1.505609535080521</v>
      </c>
      <c r="AP575" s="34">
        <v>15.05609535080521</v>
      </c>
      <c r="AQ575" s="34">
        <v>8.0299175204294464</v>
      </c>
      <c r="AR575" s="39"/>
    </row>
    <row r="576" spans="1:44" ht="19.5" customHeight="1">
      <c r="A576" s="207">
        <f t="shared" si="65"/>
        <v>13</v>
      </c>
      <c r="B576" s="41" t="s">
        <v>133</v>
      </c>
      <c r="C576" s="185" t="s">
        <v>94</v>
      </c>
      <c r="D576" s="101" t="s">
        <v>4970</v>
      </c>
      <c r="E576" s="185"/>
      <c r="F576" s="32">
        <v>10000</v>
      </c>
      <c r="G576" s="32">
        <v>20000</v>
      </c>
      <c r="H576" s="32">
        <v>30000</v>
      </c>
      <c r="I576" s="33">
        <v>3.478108905696836</v>
      </c>
      <c r="J576" s="33">
        <v>3.478108905696836</v>
      </c>
      <c r="K576" s="34">
        <v>1.159369635232278</v>
      </c>
      <c r="L576" s="33">
        <v>1.854991416371645</v>
      </c>
      <c r="M576" s="34">
        <v>2.318739270464556</v>
      </c>
      <c r="N576" s="34">
        <v>1.391243562278734</v>
      </c>
      <c r="O576" s="33">
        <v>1.391243562278734</v>
      </c>
      <c r="P576" s="34">
        <v>2.7824871245574681</v>
      </c>
      <c r="Q576" s="33">
        <v>2.318739270464556</v>
      </c>
      <c r="R576" s="33">
        <v>2.7824871245574681</v>
      </c>
      <c r="S576" s="33">
        <v>1.6231174893251901</v>
      </c>
      <c r="T576" s="34">
        <v>1.6231174893251901</v>
      </c>
      <c r="U576" s="34">
        <v>0.69562178113936712</v>
      </c>
      <c r="V576" s="34">
        <v>1.159369635232278</v>
      </c>
      <c r="W576" s="34">
        <v>0.69562178113936712</v>
      </c>
      <c r="X576" s="34">
        <v>6.956217811393671</v>
      </c>
      <c r="Y576" s="34">
        <v>3.7099828327432909</v>
      </c>
      <c r="Z576" s="54"/>
      <c r="AA576" s="33">
        <v>6.956217811393671</v>
      </c>
      <c r="AB576" s="33">
        <v>6.956217811393671</v>
      </c>
      <c r="AC576" s="34">
        <v>2.318739270464556</v>
      </c>
      <c r="AD576" s="33">
        <v>3.7099828327432909</v>
      </c>
      <c r="AE576" s="34">
        <v>4.6374785409291128</v>
      </c>
      <c r="AF576" s="34">
        <v>2.7824871245574681</v>
      </c>
      <c r="AG576" s="33">
        <v>2.7824871245574681</v>
      </c>
      <c r="AH576" s="34">
        <v>5.564974249114937</v>
      </c>
      <c r="AI576" s="33">
        <v>4.6374785409291128</v>
      </c>
      <c r="AJ576" s="33">
        <v>5.564974249114937</v>
      </c>
      <c r="AK576" s="33">
        <v>3.2462349786503801</v>
      </c>
      <c r="AL576" s="34">
        <v>3.2462349786503801</v>
      </c>
      <c r="AM576" s="34">
        <v>1.391243562278734</v>
      </c>
      <c r="AN576" s="34">
        <v>2.318739270464556</v>
      </c>
      <c r="AO576" s="34">
        <v>1.391243562278734</v>
      </c>
      <c r="AP576" s="34">
        <v>13.91243562278734</v>
      </c>
      <c r="AQ576" s="34">
        <v>7.4199656654865818</v>
      </c>
      <c r="AR576" s="37"/>
    </row>
    <row r="577" spans="1:44" ht="19.5" customHeight="1">
      <c r="A577" s="232"/>
      <c r="B577" s="137" t="s">
        <v>4971</v>
      </c>
      <c r="C577" s="232" t="s">
        <v>1506</v>
      </c>
      <c r="D577" s="137" t="s">
        <v>4972</v>
      </c>
      <c r="E577" s="232">
        <v>4</v>
      </c>
      <c r="F577" s="52">
        <v>262820</v>
      </c>
      <c r="G577" s="52">
        <v>56644.082688360701</v>
      </c>
      <c r="H577" s="52">
        <v>319464.08268836071</v>
      </c>
      <c r="I577" s="33">
        <v>91.411658259524231</v>
      </c>
      <c r="J577" s="33">
        <v>91.411658259524231</v>
      </c>
      <c r="K577" s="34">
        <v>30.47055275317474</v>
      </c>
      <c r="L577" s="33">
        <v>48.752884405079591</v>
      </c>
      <c r="M577" s="34">
        <v>60.94110550634948</v>
      </c>
      <c r="N577" s="34">
        <v>36.564663303809702</v>
      </c>
      <c r="O577" s="33">
        <v>36.564663303809702</v>
      </c>
      <c r="P577" s="34">
        <v>73.12932660761939</v>
      </c>
      <c r="Q577" s="33">
        <v>60.94110550634948</v>
      </c>
      <c r="R577" s="33">
        <v>73.12932660761939</v>
      </c>
      <c r="S577" s="33">
        <v>42.65877385444464</v>
      </c>
      <c r="T577" s="34">
        <v>42.65877385444464</v>
      </c>
      <c r="U577" s="34">
        <v>18.282331651904851</v>
      </c>
      <c r="V577" s="34">
        <v>30.47055275317474</v>
      </c>
      <c r="W577" s="34">
        <v>18.282331651904851</v>
      </c>
      <c r="X577" s="34">
        <v>182.82331651904849</v>
      </c>
      <c r="Y577" s="34">
        <v>97.505768810159182</v>
      </c>
      <c r="Z577" s="54"/>
      <c r="AA577" s="33">
        <v>19.701428845341528</v>
      </c>
      <c r="AB577" s="33">
        <v>19.701428845341528</v>
      </c>
      <c r="AC577" s="34">
        <v>6.5671429484471746</v>
      </c>
      <c r="AD577" s="33">
        <v>10.507428717515481</v>
      </c>
      <c r="AE577" s="34">
        <v>13.134285896894349</v>
      </c>
      <c r="AF577" s="34">
        <v>7.8805715381366124</v>
      </c>
      <c r="AG577" s="33">
        <v>7.8805715381366124</v>
      </c>
      <c r="AH577" s="34">
        <v>15.761143076273219</v>
      </c>
      <c r="AI577" s="33">
        <v>13.134285896894349</v>
      </c>
      <c r="AJ577" s="33">
        <v>15.761143076273219</v>
      </c>
      <c r="AK577" s="33">
        <v>9.1940001278260475</v>
      </c>
      <c r="AL577" s="34">
        <v>9.1940001278260475</v>
      </c>
      <c r="AM577" s="34">
        <v>3.9402857690683062</v>
      </c>
      <c r="AN577" s="34">
        <v>6.5671429484471746</v>
      </c>
      <c r="AO577" s="34">
        <v>3.9402857690683062</v>
      </c>
      <c r="AP577" s="34">
        <v>39.402857690683057</v>
      </c>
      <c r="AQ577" s="34">
        <v>21.014857435030969</v>
      </c>
      <c r="AR577" s="37"/>
    </row>
    <row r="578" spans="1:44" ht="19.5" customHeight="1">
      <c r="A578" s="237"/>
      <c r="B578" s="224" t="s">
        <v>4971</v>
      </c>
      <c r="C578" s="234" t="s">
        <v>1506</v>
      </c>
      <c r="D578" s="224" t="s">
        <v>4973</v>
      </c>
      <c r="E578" s="234">
        <f>E577+E572+E567+E561+E556</f>
        <v>20</v>
      </c>
      <c r="F578" s="68">
        <v>1236663.047824841</v>
      </c>
      <c r="G578" s="68">
        <v>453579.23028440902</v>
      </c>
      <c r="H578" s="68">
        <v>1690242.2781092499</v>
      </c>
      <c r="I578" s="148">
        <v>430.12487599857718</v>
      </c>
      <c r="J578" s="148">
        <v>430.12487599857718</v>
      </c>
      <c r="K578" s="149">
        <v>143.37495866619241</v>
      </c>
      <c r="L578" s="148">
        <v>229.39993386590791</v>
      </c>
      <c r="M578" s="149">
        <v>286.74991733238483</v>
      </c>
      <c r="N578" s="149">
        <v>172.04995039943091</v>
      </c>
      <c r="O578" s="148">
        <v>172.04995039943091</v>
      </c>
      <c r="P578" s="149">
        <v>344.09990079886182</v>
      </c>
      <c r="Q578" s="148">
        <v>286.74991733238483</v>
      </c>
      <c r="R578" s="148">
        <v>344.09990079886182</v>
      </c>
      <c r="S578" s="148">
        <v>200.72494213266941</v>
      </c>
      <c r="T578" s="149">
        <v>200.72494213266941</v>
      </c>
      <c r="U578" s="149">
        <v>86.024975199715456</v>
      </c>
      <c r="V578" s="149">
        <v>143.37495866619241</v>
      </c>
      <c r="W578" s="149">
        <v>86.024975199715456</v>
      </c>
      <c r="X578" s="149">
        <v>860.24975199715448</v>
      </c>
      <c r="Y578" s="149">
        <v>458.79986773181571</v>
      </c>
      <c r="Z578" s="70"/>
      <c r="AA578" s="148">
        <v>157.75979602913191</v>
      </c>
      <c r="AB578" s="148">
        <v>157.75979602913191</v>
      </c>
      <c r="AC578" s="149">
        <v>52.586598676377292</v>
      </c>
      <c r="AD578" s="148">
        <v>84.138557882203656</v>
      </c>
      <c r="AE578" s="149">
        <v>105.1731973527546</v>
      </c>
      <c r="AF578" s="149">
        <v>63.103918411652749</v>
      </c>
      <c r="AG578" s="148">
        <v>63.103918411652749</v>
      </c>
      <c r="AH578" s="149">
        <v>126.2078368233055</v>
      </c>
      <c r="AI578" s="148">
        <v>105.1731973527546</v>
      </c>
      <c r="AJ578" s="148">
        <v>126.2078368233055</v>
      </c>
      <c r="AK578" s="148">
        <v>73.621238146928206</v>
      </c>
      <c r="AL578" s="149">
        <v>73.621238146928206</v>
      </c>
      <c r="AM578" s="149">
        <v>31.551959205826371</v>
      </c>
      <c r="AN578" s="149">
        <v>52.586598676377292</v>
      </c>
      <c r="AO578" s="149">
        <v>31.551959205826371</v>
      </c>
      <c r="AP578" s="149">
        <v>315.51959205826381</v>
      </c>
      <c r="AQ578" s="149">
        <v>168.27711576440731</v>
      </c>
      <c r="AR578" s="121"/>
    </row>
    <row r="579" spans="1:44" ht="19.5" customHeight="1">
      <c r="A579" s="32"/>
      <c r="B579" s="32"/>
      <c r="C579" s="32"/>
      <c r="D579" s="151"/>
      <c r="E579" s="32"/>
      <c r="F579" s="32">
        <v>1307478</v>
      </c>
      <c r="G579" s="32">
        <v>474851</v>
      </c>
      <c r="H579" s="32">
        <v>1782329</v>
      </c>
      <c r="I579" s="33">
        <v>454.75508758026871</v>
      </c>
      <c r="J579" s="33">
        <v>454.75508758026871</v>
      </c>
      <c r="K579" s="34">
        <v>151.58502919342291</v>
      </c>
      <c r="L579" s="33">
        <v>242.53604670947661</v>
      </c>
      <c r="M579" s="34">
        <v>303.17005838684582</v>
      </c>
      <c r="N579" s="34">
        <v>181.90203503210751</v>
      </c>
      <c r="O579" s="33">
        <v>181.90203503210751</v>
      </c>
      <c r="P579" s="34">
        <v>363.80407006421501</v>
      </c>
      <c r="Q579" s="33">
        <v>303.17005838684582</v>
      </c>
      <c r="R579" s="33">
        <v>363.80407006421501</v>
      </c>
      <c r="S579" s="33">
        <v>212.2190408707921</v>
      </c>
      <c r="T579" s="34">
        <v>212.2190408707921</v>
      </c>
      <c r="U579" s="34">
        <v>90.951017516053739</v>
      </c>
      <c r="V579" s="34">
        <v>151.58502919342291</v>
      </c>
      <c r="W579" s="34">
        <v>90.951017516053739</v>
      </c>
      <c r="X579" s="34">
        <v>909.51017516053741</v>
      </c>
      <c r="Y579" s="34">
        <v>485.07209341895327</v>
      </c>
      <c r="Z579" s="54"/>
      <c r="AA579" s="33">
        <v>165.15834919790481</v>
      </c>
      <c r="AB579" s="33">
        <v>165.15834919790481</v>
      </c>
      <c r="AC579" s="34">
        <v>55.052783065968264</v>
      </c>
      <c r="AD579" s="33">
        <v>88.084452905549213</v>
      </c>
      <c r="AE579" s="34">
        <v>110.1055661319365</v>
      </c>
      <c r="AF579" s="34">
        <v>66.063339679161913</v>
      </c>
      <c r="AG579" s="33">
        <v>66.063339679161913</v>
      </c>
      <c r="AH579" s="34">
        <v>132.1266793583238</v>
      </c>
      <c r="AI579" s="33">
        <v>110.1055661319365</v>
      </c>
      <c r="AJ579" s="33">
        <v>132.1266793583238</v>
      </c>
      <c r="AK579" s="33">
        <v>77.07389629235557</v>
      </c>
      <c r="AL579" s="34">
        <v>77.07389629235557</v>
      </c>
      <c r="AM579" s="34">
        <v>33.031669839580957</v>
      </c>
      <c r="AN579" s="34">
        <v>55.052783065968264</v>
      </c>
      <c r="AO579" s="34">
        <v>33.031669839580957</v>
      </c>
      <c r="AP579" s="34">
        <v>330.31669839580962</v>
      </c>
      <c r="AQ579" s="34">
        <v>176.1689058110984</v>
      </c>
      <c r="AR579" s="39"/>
    </row>
    <row r="580" spans="1:44" ht="19.5" customHeight="1">
      <c r="A580" s="93"/>
      <c r="B580" s="224" t="s">
        <v>4974</v>
      </c>
      <c r="C580" s="65" t="s">
        <v>81</v>
      </c>
      <c r="D580" s="93"/>
      <c r="E580" s="67">
        <f>+E578+E550+E521+E491</f>
        <v>72</v>
      </c>
      <c r="F580" s="68">
        <v>4373796.9597274</v>
      </c>
      <c r="G580" s="68">
        <v>1653463.5343658431</v>
      </c>
      <c r="H580" s="68">
        <v>6027260.494093243</v>
      </c>
      <c r="I580" s="241">
        <v>1521.2542157337609</v>
      </c>
      <c r="J580" s="241">
        <v>1521.2542157337609</v>
      </c>
      <c r="K580" s="242">
        <v>507.08473857792029</v>
      </c>
      <c r="L580" s="241">
        <v>811.33558172467269</v>
      </c>
      <c r="M580" s="242">
        <v>1014.169477155841</v>
      </c>
      <c r="N580" s="242">
        <v>608.50168629350446</v>
      </c>
      <c r="O580" s="241">
        <v>608.50168629350446</v>
      </c>
      <c r="P580" s="242">
        <v>1217.0033725870089</v>
      </c>
      <c r="Q580" s="241">
        <v>1014.169477155841</v>
      </c>
      <c r="R580" s="241">
        <v>1217.0033725870089</v>
      </c>
      <c r="S580" s="241">
        <v>709.91863400908858</v>
      </c>
      <c r="T580" s="242">
        <v>709.91863400908858</v>
      </c>
      <c r="U580" s="242">
        <v>304.25084314675217</v>
      </c>
      <c r="V580" s="242">
        <v>507.08473857792029</v>
      </c>
      <c r="W580" s="242">
        <v>304.25084314675217</v>
      </c>
      <c r="X580" s="242">
        <v>3042.5084314675219</v>
      </c>
      <c r="Y580" s="242">
        <v>1622.6711634493449</v>
      </c>
      <c r="Z580" s="242"/>
      <c r="AA580" s="241">
        <v>575.09262441228032</v>
      </c>
      <c r="AB580" s="241">
        <v>575.09262441228032</v>
      </c>
      <c r="AC580" s="242">
        <v>191.69754147076009</v>
      </c>
      <c r="AD580" s="241">
        <v>306.71606635321609</v>
      </c>
      <c r="AE580" s="242">
        <v>383.39508294152012</v>
      </c>
      <c r="AF580" s="242">
        <v>230.0370497649121</v>
      </c>
      <c r="AG580" s="241">
        <v>230.0370497649121</v>
      </c>
      <c r="AH580" s="242">
        <v>460.07409952982431</v>
      </c>
      <c r="AI580" s="241">
        <v>383.39508294152012</v>
      </c>
      <c r="AJ580" s="241">
        <v>460.07409952982431</v>
      </c>
      <c r="AK580" s="241">
        <v>268.37655805906411</v>
      </c>
      <c r="AL580" s="242">
        <v>268.37655805906411</v>
      </c>
      <c r="AM580" s="242">
        <v>115.01852488245611</v>
      </c>
      <c r="AN580" s="242">
        <v>191.69754147076009</v>
      </c>
      <c r="AO580" s="242">
        <v>115.01852488245611</v>
      </c>
      <c r="AP580" s="242">
        <v>1150.1852488245611</v>
      </c>
      <c r="AQ580" s="242">
        <v>613.4321327064323</v>
      </c>
      <c r="AR580" s="97"/>
    </row>
    <row r="581" spans="1:44" ht="19.5" customHeight="1">
      <c r="A581" s="62"/>
      <c r="B581" s="76"/>
      <c r="C581" s="51"/>
      <c r="D581" s="63"/>
      <c r="E581" s="234"/>
      <c r="F581" s="32">
        <v>-70814.952175158542</v>
      </c>
      <c r="G581" s="32">
        <v>-21271.769715591039</v>
      </c>
      <c r="H581" s="32">
        <v>-92086.721890749643</v>
      </c>
      <c r="I581" s="33">
        <v>-24.630211581691441</v>
      </c>
      <c r="J581" s="33">
        <v>-24.630211581691441</v>
      </c>
      <c r="K581" s="34">
        <v>-8.2100705272304797</v>
      </c>
      <c r="L581" s="33">
        <v>-13.136112843568769</v>
      </c>
      <c r="M581" s="34">
        <v>-16.420141054460959</v>
      </c>
      <c r="N581" s="34">
        <v>-9.8520846326765756</v>
      </c>
      <c r="O581" s="33">
        <v>-9.8520846326765756</v>
      </c>
      <c r="P581" s="34">
        <v>-19.704169265353151</v>
      </c>
      <c r="Q581" s="33">
        <v>-16.420141054460959</v>
      </c>
      <c r="R581" s="33">
        <v>-19.704169265353151</v>
      </c>
      <c r="S581" s="33">
        <v>-11.49409873812267</v>
      </c>
      <c r="T581" s="34">
        <v>-11.49409873812267</v>
      </c>
      <c r="U581" s="34">
        <v>-4.9260423163382878</v>
      </c>
      <c r="V581" s="34">
        <v>-8.2100705272304797</v>
      </c>
      <c r="W581" s="34">
        <v>-4.9260423163382878</v>
      </c>
      <c r="X581" s="34">
        <v>-49.260423163382882</v>
      </c>
      <c r="Y581" s="34">
        <v>-26.272225687137539</v>
      </c>
      <c r="Z581" s="54"/>
      <c r="AA581" s="33">
        <v>-7.3985531687729438</v>
      </c>
      <c r="AB581" s="33">
        <v>-7.3985531687729438</v>
      </c>
      <c r="AC581" s="34">
        <v>-2.466184389590981</v>
      </c>
      <c r="AD581" s="33">
        <v>-3.9458950233455701</v>
      </c>
      <c r="AE581" s="34">
        <v>-4.9323687791819619</v>
      </c>
      <c r="AF581" s="34">
        <v>-2.9594212675091782</v>
      </c>
      <c r="AG581" s="33">
        <v>-2.9594212675091782</v>
      </c>
      <c r="AH581" s="34">
        <v>-5.9188425350183564</v>
      </c>
      <c r="AI581" s="33">
        <v>-4.9323687791819619</v>
      </c>
      <c r="AJ581" s="33">
        <v>-5.9188425350183564</v>
      </c>
      <c r="AK581" s="33">
        <v>-3.4526581454273741</v>
      </c>
      <c r="AL581" s="34">
        <v>-3.4526581454273741</v>
      </c>
      <c r="AM581" s="34">
        <v>-1.4797106337545891</v>
      </c>
      <c r="AN581" s="34">
        <v>-2.466184389590981</v>
      </c>
      <c r="AO581" s="34">
        <v>-1.4797106337545891</v>
      </c>
      <c r="AP581" s="34">
        <v>-14.797106337545889</v>
      </c>
      <c r="AQ581" s="34">
        <v>-7.8917900466911401</v>
      </c>
      <c r="AR581" s="37"/>
    </row>
    <row r="582" spans="1:44" ht="19.5" customHeight="1">
      <c r="A582" s="76" t="s">
        <v>4975</v>
      </c>
      <c r="B582" s="76"/>
      <c r="C582" s="51"/>
      <c r="D582" s="162"/>
      <c r="E582" s="51"/>
      <c r="F582" s="32"/>
      <c r="G582" s="32"/>
      <c r="H582" s="32">
        <v>0</v>
      </c>
      <c r="I582" s="33">
        <v>0</v>
      </c>
      <c r="J582" s="33">
        <v>0</v>
      </c>
      <c r="K582" s="34">
        <v>0</v>
      </c>
      <c r="L582" s="33">
        <v>0</v>
      </c>
      <c r="M582" s="34">
        <v>0</v>
      </c>
      <c r="N582" s="34">
        <v>0</v>
      </c>
      <c r="O582" s="33">
        <v>0</v>
      </c>
      <c r="P582" s="34">
        <v>0</v>
      </c>
      <c r="Q582" s="33">
        <v>0</v>
      </c>
      <c r="R582" s="33">
        <v>0</v>
      </c>
      <c r="S582" s="33">
        <v>0</v>
      </c>
      <c r="T582" s="34">
        <v>0</v>
      </c>
      <c r="U582" s="34">
        <v>0</v>
      </c>
      <c r="V582" s="34">
        <v>0</v>
      </c>
      <c r="W582" s="34">
        <v>0</v>
      </c>
      <c r="X582" s="34">
        <v>0</v>
      </c>
      <c r="Y582" s="34">
        <v>0</v>
      </c>
      <c r="Z582" s="54"/>
      <c r="AA582" s="33">
        <v>0</v>
      </c>
      <c r="AB582" s="33">
        <v>0</v>
      </c>
      <c r="AC582" s="34">
        <v>0</v>
      </c>
      <c r="AD582" s="33">
        <v>0</v>
      </c>
      <c r="AE582" s="34">
        <v>0</v>
      </c>
      <c r="AF582" s="34">
        <v>0</v>
      </c>
      <c r="AG582" s="33">
        <v>0</v>
      </c>
      <c r="AH582" s="34">
        <v>0</v>
      </c>
      <c r="AI582" s="33">
        <v>0</v>
      </c>
      <c r="AJ582" s="33">
        <v>0</v>
      </c>
      <c r="AK582" s="33">
        <v>0</v>
      </c>
      <c r="AL582" s="34">
        <v>0</v>
      </c>
      <c r="AM582" s="34">
        <v>0</v>
      </c>
      <c r="AN582" s="34">
        <v>0</v>
      </c>
      <c r="AO582" s="34">
        <v>0</v>
      </c>
      <c r="AP582" s="34">
        <v>0</v>
      </c>
      <c r="AQ582" s="34">
        <v>0</v>
      </c>
      <c r="AR582" s="37"/>
    </row>
    <row r="583" spans="1:44" ht="19.5" customHeight="1">
      <c r="A583" s="64">
        <v>1</v>
      </c>
      <c r="B583" s="16" t="s">
        <v>4976</v>
      </c>
      <c r="C583" s="79" t="s">
        <v>94</v>
      </c>
      <c r="D583" s="56" t="s">
        <v>4977</v>
      </c>
      <c r="E583" s="30"/>
      <c r="F583" s="32">
        <v>102228.50661945929</v>
      </c>
      <c r="G583" s="32">
        <v>32466.124032541051</v>
      </c>
      <c r="H583" s="32">
        <v>134694.6306520004</v>
      </c>
      <c r="I583" s="33">
        <v>35.556187928922931</v>
      </c>
      <c r="J583" s="33">
        <v>35.556187928922931</v>
      </c>
      <c r="K583" s="34">
        <v>11.85206264297431</v>
      </c>
      <c r="L583" s="33">
        <v>18.9633002287589</v>
      </c>
      <c r="M583" s="34">
        <v>23.704125285948621</v>
      </c>
      <c r="N583" s="34">
        <v>14.222475171569171</v>
      </c>
      <c r="O583" s="33">
        <v>14.222475171569171</v>
      </c>
      <c r="P583" s="34">
        <v>28.444950343138348</v>
      </c>
      <c r="Q583" s="33">
        <v>23.704125285948621</v>
      </c>
      <c r="R583" s="33">
        <v>28.444950343138348</v>
      </c>
      <c r="S583" s="33">
        <v>16.592887700164031</v>
      </c>
      <c r="T583" s="34">
        <v>16.592887700164031</v>
      </c>
      <c r="U583" s="34">
        <v>7.1112375857845871</v>
      </c>
      <c r="V583" s="34">
        <v>11.85206264297431</v>
      </c>
      <c r="W583" s="34">
        <v>7.1112375857845871</v>
      </c>
      <c r="X583" s="34">
        <v>71.112375857845862</v>
      </c>
      <c r="Y583" s="34">
        <v>37.926600457517793</v>
      </c>
      <c r="Z583" s="54"/>
      <c r="AA583" s="33">
        <v>11.29207151310391</v>
      </c>
      <c r="AB583" s="33">
        <v>11.29207151310391</v>
      </c>
      <c r="AC583" s="34">
        <v>3.764023837701302</v>
      </c>
      <c r="AD583" s="33">
        <v>6.0224381403220839</v>
      </c>
      <c r="AE583" s="34">
        <v>7.528047675402604</v>
      </c>
      <c r="AF583" s="34">
        <v>4.5168286052415629</v>
      </c>
      <c r="AG583" s="33">
        <v>4.5168286052415629</v>
      </c>
      <c r="AH583" s="34">
        <v>9.0336572104831259</v>
      </c>
      <c r="AI583" s="33">
        <v>7.528047675402604</v>
      </c>
      <c r="AJ583" s="33">
        <v>9.0336572104831259</v>
      </c>
      <c r="AK583" s="33">
        <v>5.2696333727818239</v>
      </c>
      <c r="AL583" s="34">
        <v>5.2696333727818239</v>
      </c>
      <c r="AM583" s="34">
        <v>2.258414302620781</v>
      </c>
      <c r="AN583" s="34">
        <v>3.764023837701302</v>
      </c>
      <c r="AO583" s="34">
        <v>2.258414302620781</v>
      </c>
      <c r="AP583" s="34">
        <v>22.584143026207819</v>
      </c>
      <c r="AQ583" s="34">
        <v>12.04487628064417</v>
      </c>
      <c r="AR583" s="37"/>
    </row>
    <row r="584" spans="1:44" ht="19.5" customHeight="1">
      <c r="A584" s="64">
        <f t="shared" ref="A584:A587" si="66">A583+1</f>
        <v>2</v>
      </c>
      <c r="B584" s="41" t="s">
        <v>133</v>
      </c>
      <c r="C584" s="79" t="s">
        <v>94</v>
      </c>
      <c r="D584" s="56" t="s">
        <v>4978</v>
      </c>
      <c r="E584" s="30"/>
      <c r="F584" s="32">
        <v>33151.647914783003</v>
      </c>
      <c r="G584" s="32">
        <v>26524.611137696938</v>
      </c>
      <c r="H584" s="32">
        <v>59676.259052479953</v>
      </c>
      <c r="I584" s="33">
        <v>11.530504185093269</v>
      </c>
      <c r="J584" s="33">
        <v>11.530504185093269</v>
      </c>
      <c r="K584" s="34">
        <v>3.843501395031089</v>
      </c>
      <c r="L584" s="33">
        <v>6.1496022320497437</v>
      </c>
      <c r="M584" s="34">
        <v>7.6870027900621789</v>
      </c>
      <c r="N584" s="34">
        <v>4.6122016740373084</v>
      </c>
      <c r="O584" s="33">
        <v>4.6122016740373084</v>
      </c>
      <c r="P584" s="34">
        <v>9.224403348074615</v>
      </c>
      <c r="Q584" s="33">
        <v>7.6870027900621789</v>
      </c>
      <c r="R584" s="33">
        <v>9.224403348074615</v>
      </c>
      <c r="S584" s="33">
        <v>5.3809019530435256</v>
      </c>
      <c r="T584" s="34">
        <v>5.3809019530435256</v>
      </c>
      <c r="U584" s="34">
        <v>2.3061008370186542</v>
      </c>
      <c r="V584" s="34">
        <v>3.843501395031089</v>
      </c>
      <c r="W584" s="34">
        <v>2.3061008370186542</v>
      </c>
      <c r="X584" s="34">
        <v>23.061008370186538</v>
      </c>
      <c r="Y584" s="34">
        <v>12.299204464099491</v>
      </c>
      <c r="Z584" s="34"/>
      <c r="AA584" s="33">
        <v>9.2255486218169196</v>
      </c>
      <c r="AB584" s="33">
        <v>9.2255486218169196</v>
      </c>
      <c r="AC584" s="34">
        <v>3.075182873938973</v>
      </c>
      <c r="AD584" s="33">
        <v>4.9202925983023569</v>
      </c>
      <c r="AE584" s="34">
        <v>6.1503657478779452</v>
      </c>
      <c r="AF584" s="34">
        <v>3.6902194487267681</v>
      </c>
      <c r="AG584" s="33">
        <v>3.6902194487267681</v>
      </c>
      <c r="AH584" s="34">
        <v>7.3804388974535362</v>
      </c>
      <c r="AI584" s="33">
        <v>6.1503657478779452</v>
      </c>
      <c r="AJ584" s="33">
        <v>7.3804388974535362</v>
      </c>
      <c r="AK584" s="33">
        <v>4.3052560235145627</v>
      </c>
      <c r="AL584" s="34">
        <v>4.3052560235145627</v>
      </c>
      <c r="AM584" s="34">
        <v>1.8451097243633841</v>
      </c>
      <c r="AN584" s="34">
        <v>3.075182873938973</v>
      </c>
      <c r="AO584" s="34">
        <v>1.8451097243633841</v>
      </c>
      <c r="AP584" s="34">
        <v>18.451097243633839</v>
      </c>
      <c r="AQ584" s="34">
        <v>9.8405851966047138</v>
      </c>
      <c r="AR584" s="37"/>
    </row>
    <row r="585" spans="1:44" ht="19.5" customHeight="1">
      <c r="A585" s="64">
        <f t="shared" si="66"/>
        <v>3</v>
      </c>
      <c r="B585" s="16" t="s">
        <v>4979</v>
      </c>
      <c r="C585" s="30" t="s">
        <v>159</v>
      </c>
      <c r="D585" s="56" t="s">
        <v>4980</v>
      </c>
      <c r="E585" s="30"/>
      <c r="F585" s="32">
        <v>128476.9759128241</v>
      </c>
      <c r="G585" s="32">
        <v>33440.107753517281</v>
      </c>
      <c r="H585" s="32">
        <v>161917.08366634141</v>
      </c>
      <c r="I585" s="53">
        <v>44.685691409939118</v>
      </c>
      <c r="J585" s="53">
        <v>44.685691409939118</v>
      </c>
      <c r="K585" s="54">
        <v>14.895230469979699</v>
      </c>
      <c r="L585" s="53">
        <v>23.832368751967529</v>
      </c>
      <c r="M585" s="54">
        <v>29.790460939959409</v>
      </c>
      <c r="N585" s="54">
        <v>17.874276563975648</v>
      </c>
      <c r="O585" s="53">
        <v>17.874276563975648</v>
      </c>
      <c r="P585" s="54">
        <v>35.748553127951297</v>
      </c>
      <c r="Q585" s="53">
        <v>29.790460939959409</v>
      </c>
      <c r="R585" s="53">
        <v>35.748553127951297</v>
      </c>
      <c r="S585" s="53">
        <v>20.853322657971589</v>
      </c>
      <c r="T585" s="54">
        <v>20.853322657971589</v>
      </c>
      <c r="U585" s="54">
        <v>8.9371382819878242</v>
      </c>
      <c r="V585" s="54">
        <v>14.895230469979699</v>
      </c>
      <c r="W585" s="54">
        <v>8.9371382819878242</v>
      </c>
      <c r="X585" s="54">
        <v>89.371382819878249</v>
      </c>
      <c r="Y585" s="54">
        <v>47.664737503935058</v>
      </c>
      <c r="Z585" s="34"/>
      <c r="AA585" s="33">
        <v>11.63083365849702</v>
      </c>
      <c r="AB585" s="33">
        <v>11.63083365849702</v>
      </c>
      <c r="AC585" s="34">
        <v>3.8769445528323412</v>
      </c>
      <c r="AD585" s="33">
        <v>6.2031112845317473</v>
      </c>
      <c r="AE585" s="34">
        <v>7.7538891056646824</v>
      </c>
      <c r="AF585" s="34">
        <v>4.6523334633988096</v>
      </c>
      <c r="AG585" s="33">
        <v>4.6523334633988096</v>
      </c>
      <c r="AH585" s="34">
        <v>9.304666926797621</v>
      </c>
      <c r="AI585" s="33">
        <v>7.7538891056646824</v>
      </c>
      <c r="AJ585" s="33">
        <v>9.304666926797621</v>
      </c>
      <c r="AK585" s="33">
        <v>5.4277223739652776</v>
      </c>
      <c r="AL585" s="34">
        <v>5.4277223739652776</v>
      </c>
      <c r="AM585" s="34">
        <v>2.3261667316994048</v>
      </c>
      <c r="AN585" s="34">
        <v>3.8769445528323412</v>
      </c>
      <c r="AO585" s="34">
        <v>2.3261667316994048</v>
      </c>
      <c r="AP585" s="34">
        <v>23.26166731699405</v>
      </c>
      <c r="AQ585" s="34">
        <v>12.406222569063489</v>
      </c>
      <c r="AR585" s="37"/>
    </row>
    <row r="586" spans="1:44" ht="19.5" customHeight="1">
      <c r="A586" s="64">
        <f t="shared" si="66"/>
        <v>4</v>
      </c>
      <c r="B586" s="16" t="s">
        <v>4981</v>
      </c>
      <c r="C586" s="30" t="s">
        <v>159</v>
      </c>
      <c r="D586" s="243" t="s">
        <v>4982</v>
      </c>
      <c r="E586" s="30"/>
      <c r="F586" s="32">
        <v>128476.9759128241</v>
      </c>
      <c r="G586" s="32">
        <v>27866.756461264398</v>
      </c>
      <c r="H586" s="32">
        <v>156343.73237408849</v>
      </c>
      <c r="I586" s="33">
        <v>44.685691409939118</v>
      </c>
      <c r="J586" s="33">
        <v>44.685691409939118</v>
      </c>
      <c r="K586" s="34">
        <v>14.895230469979699</v>
      </c>
      <c r="L586" s="33">
        <v>23.832368751967529</v>
      </c>
      <c r="M586" s="34">
        <v>29.790460939959409</v>
      </c>
      <c r="N586" s="34">
        <v>17.874276563975648</v>
      </c>
      <c r="O586" s="33">
        <v>17.874276563975648</v>
      </c>
      <c r="P586" s="34">
        <v>35.748553127951297</v>
      </c>
      <c r="Q586" s="33">
        <v>29.790460939959409</v>
      </c>
      <c r="R586" s="33">
        <v>35.748553127951297</v>
      </c>
      <c r="S586" s="33">
        <v>20.853322657971589</v>
      </c>
      <c r="T586" s="34">
        <v>20.853322657971589</v>
      </c>
      <c r="U586" s="34">
        <v>8.9371382819878242</v>
      </c>
      <c r="V586" s="34">
        <v>14.895230469979699</v>
      </c>
      <c r="W586" s="34">
        <v>8.9371382819878242</v>
      </c>
      <c r="X586" s="34">
        <v>89.371382819878249</v>
      </c>
      <c r="Y586" s="34">
        <v>47.664737503935058</v>
      </c>
      <c r="Z586" s="54"/>
      <c r="AA586" s="33">
        <v>9.6923613820808523</v>
      </c>
      <c r="AB586" s="33">
        <v>9.6923613820808523</v>
      </c>
      <c r="AC586" s="34">
        <v>3.230787127360284</v>
      </c>
      <c r="AD586" s="33">
        <v>5.1692594037764552</v>
      </c>
      <c r="AE586" s="34">
        <v>6.4615742547205679</v>
      </c>
      <c r="AF586" s="34">
        <v>3.8769445528323412</v>
      </c>
      <c r="AG586" s="33">
        <v>3.8769445528323412</v>
      </c>
      <c r="AH586" s="34">
        <v>7.7538891056646824</v>
      </c>
      <c r="AI586" s="33">
        <v>6.4615742547205679</v>
      </c>
      <c r="AJ586" s="33">
        <v>7.7538891056646824</v>
      </c>
      <c r="AK586" s="33">
        <v>4.523101978304398</v>
      </c>
      <c r="AL586" s="34">
        <v>4.523101978304398</v>
      </c>
      <c r="AM586" s="34">
        <v>1.938472276416171</v>
      </c>
      <c r="AN586" s="34">
        <v>3.230787127360284</v>
      </c>
      <c r="AO586" s="34">
        <v>1.938472276416171</v>
      </c>
      <c r="AP586" s="34">
        <v>19.384722764161701</v>
      </c>
      <c r="AQ586" s="34">
        <v>10.33851880755291</v>
      </c>
      <c r="AR586" s="37"/>
    </row>
    <row r="587" spans="1:44" ht="19.5" customHeight="1">
      <c r="A587" s="64">
        <f t="shared" si="66"/>
        <v>5</v>
      </c>
      <c r="B587" s="16" t="s">
        <v>4983</v>
      </c>
      <c r="C587" s="30" t="s">
        <v>94</v>
      </c>
      <c r="D587" s="56" t="s">
        <v>4984</v>
      </c>
      <c r="E587" s="30"/>
      <c r="F587" s="32">
        <v>115262.64121344039</v>
      </c>
      <c r="G587" s="32">
        <v>31829.53336523633</v>
      </c>
      <c r="H587" s="32">
        <v>147092.1745786767</v>
      </c>
      <c r="I587" s="33">
        <v>40.089601889860603</v>
      </c>
      <c r="J587" s="33">
        <v>40.089601889860603</v>
      </c>
      <c r="K587" s="34">
        <v>13.36320062995353</v>
      </c>
      <c r="L587" s="33">
        <v>21.38112100792566</v>
      </c>
      <c r="M587" s="34">
        <v>26.726401259907071</v>
      </c>
      <c r="N587" s="34">
        <v>16.035840755944239</v>
      </c>
      <c r="O587" s="33">
        <v>16.035840755944239</v>
      </c>
      <c r="P587" s="34">
        <v>32.071681511888492</v>
      </c>
      <c r="Q587" s="33">
        <v>26.726401259907071</v>
      </c>
      <c r="R587" s="33">
        <v>32.071681511888492</v>
      </c>
      <c r="S587" s="33">
        <v>18.70848088193495</v>
      </c>
      <c r="T587" s="34">
        <v>18.70848088193495</v>
      </c>
      <c r="U587" s="34">
        <v>8.0179203779721213</v>
      </c>
      <c r="V587" s="34">
        <v>13.36320062995353</v>
      </c>
      <c r="W587" s="34">
        <v>8.0179203779721213</v>
      </c>
      <c r="X587" s="34">
        <v>80.179203779721206</v>
      </c>
      <c r="Y587" s="34">
        <v>42.762242015851307</v>
      </c>
      <c r="Z587" s="54"/>
      <c r="AA587" s="33">
        <v>11.0706583461803</v>
      </c>
      <c r="AB587" s="33">
        <v>11.0706583461803</v>
      </c>
      <c r="AC587" s="34">
        <v>3.6902194487267672</v>
      </c>
      <c r="AD587" s="33">
        <v>5.9043511179628281</v>
      </c>
      <c r="AE587" s="34">
        <v>7.3804388974535344</v>
      </c>
      <c r="AF587" s="34">
        <v>4.4282633384721208</v>
      </c>
      <c r="AG587" s="33">
        <v>4.4282633384721208</v>
      </c>
      <c r="AH587" s="34">
        <v>8.8565266769442417</v>
      </c>
      <c r="AI587" s="33">
        <v>7.3804388974535344</v>
      </c>
      <c r="AJ587" s="33">
        <v>8.8565266769442417</v>
      </c>
      <c r="AK587" s="33">
        <v>5.1663072282174749</v>
      </c>
      <c r="AL587" s="34">
        <v>5.1663072282174749</v>
      </c>
      <c r="AM587" s="34">
        <v>2.21413166923606</v>
      </c>
      <c r="AN587" s="34">
        <v>3.6902194487267672</v>
      </c>
      <c r="AO587" s="34">
        <v>2.21413166923606</v>
      </c>
      <c r="AP587" s="34">
        <v>22.141316692360601</v>
      </c>
      <c r="AQ587" s="34">
        <v>11.80870223592566</v>
      </c>
      <c r="AR587" s="37"/>
    </row>
    <row r="588" spans="1:44" ht="19.5" customHeight="1">
      <c r="A588" s="83"/>
      <c r="B588" s="63" t="s">
        <v>3707</v>
      </c>
      <c r="C588" s="49" t="s">
        <v>389</v>
      </c>
      <c r="D588" s="63" t="s">
        <v>4985</v>
      </c>
      <c r="E588" s="51">
        <v>5</v>
      </c>
      <c r="F588" s="52">
        <v>507596.74757333088</v>
      </c>
      <c r="G588" s="52">
        <v>152127.13275025599</v>
      </c>
      <c r="H588" s="52">
        <v>659723.88032358687</v>
      </c>
      <c r="I588" s="33">
        <v>176.5476768237551</v>
      </c>
      <c r="J588" s="33">
        <v>176.5476768237551</v>
      </c>
      <c r="K588" s="34">
        <v>58.849225607918349</v>
      </c>
      <c r="L588" s="33">
        <v>94.15876097266937</v>
      </c>
      <c r="M588" s="34">
        <v>117.6984512158367</v>
      </c>
      <c r="N588" s="34">
        <v>70.619070729502027</v>
      </c>
      <c r="O588" s="33">
        <v>70.619070729502027</v>
      </c>
      <c r="P588" s="34">
        <v>141.23814145900411</v>
      </c>
      <c r="Q588" s="33">
        <v>117.6984512158367</v>
      </c>
      <c r="R588" s="33">
        <v>141.23814145900411</v>
      </c>
      <c r="S588" s="33">
        <v>82.388915851085699</v>
      </c>
      <c r="T588" s="34">
        <v>82.388915851085699</v>
      </c>
      <c r="U588" s="34">
        <v>35.309535364751007</v>
      </c>
      <c r="V588" s="34">
        <v>58.849225607918349</v>
      </c>
      <c r="W588" s="34">
        <v>35.309535364751007</v>
      </c>
      <c r="X588" s="34">
        <v>353.09535364751008</v>
      </c>
      <c r="Y588" s="34">
        <v>188.31752194533871</v>
      </c>
      <c r="Z588" s="34"/>
      <c r="AA588" s="33">
        <v>52.911473521679007</v>
      </c>
      <c r="AB588" s="33">
        <v>52.911473521679007</v>
      </c>
      <c r="AC588" s="34">
        <v>17.63715784055967</v>
      </c>
      <c r="AD588" s="33">
        <v>28.219452544895471</v>
      </c>
      <c r="AE588" s="34">
        <v>35.27431568111934</v>
      </c>
      <c r="AF588" s="34">
        <v>21.16458940867161</v>
      </c>
      <c r="AG588" s="33">
        <v>21.16458940867161</v>
      </c>
      <c r="AH588" s="34">
        <v>42.329178817343212</v>
      </c>
      <c r="AI588" s="33">
        <v>35.27431568111934</v>
      </c>
      <c r="AJ588" s="33">
        <v>42.329178817343212</v>
      </c>
      <c r="AK588" s="33">
        <v>24.692020976783539</v>
      </c>
      <c r="AL588" s="34">
        <v>24.692020976783539</v>
      </c>
      <c r="AM588" s="34">
        <v>10.5822947043358</v>
      </c>
      <c r="AN588" s="34">
        <v>17.63715784055967</v>
      </c>
      <c r="AO588" s="34">
        <v>10.5822947043358</v>
      </c>
      <c r="AP588" s="34">
        <v>105.822947043358</v>
      </c>
      <c r="AQ588" s="34">
        <v>56.43890508979095</v>
      </c>
      <c r="AR588" s="37"/>
    </row>
    <row r="589" spans="1:44" ht="19.5" customHeight="1">
      <c r="A589" s="64">
        <f>A587+1</f>
        <v>6</v>
      </c>
      <c r="B589" s="78" t="s">
        <v>4986</v>
      </c>
      <c r="C589" s="30" t="s">
        <v>230</v>
      </c>
      <c r="D589" s="243" t="s">
        <v>4987</v>
      </c>
      <c r="E589" s="30"/>
      <c r="F589" s="32">
        <v>108650.8879568344</v>
      </c>
      <c r="G589" s="32">
        <v>33440.107753517281</v>
      </c>
      <c r="H589" s="32">
        <v>142090.99571035171</v>
      </c>
      <c r="I589" s="33">
        <v>37.789962101453483</v>
      </c>
      <c r="J589" s="33">
        <v>37.789962101453483</v>
      </c>
      <c r="K589" s="34">
        <v>12.596654033817821</v>
      </c>
      <c r="L589" s="33">
        <v>20.154646454108519</v>
      </c>
      <c r="M589" s="34">
        <v>25.193308067635648</v>
      </c>
      <c r="N589" s="34">
        <v>15.11598484058139</v>
      </c>
      <c r="O589" s="33">
        <v>15.11598484058139</v>
      </c>
      <c r="P589" s="34">
        <v>30.231969681162781</v>
      </c>
      <c r="Q589" s="33">
        <v>25.193308067635648</v>
      </c>
      <c r="R589" s="33">
        <v>30.231969681162781</v>
      </c>
      <c r="S589" s="33">
        <v>17.63531564734496</v>
      </c>
      <c r="T589" s="34">
        <v>17.63531564734496</v>
      </c>
      <c r="U589" s="34">
        <v>7.5579924202906961</v>
      </c>
      <c r="V589" s="34">
        <v>12.596654033817821</v>
      </c>
      <c r="W589" s="34">
        <v>7.5579924202906961</v>
      </c>
      <c r="X589" s="34">
        <v>75.579924202906952</v>
      </c>
      <c r="Y589" s="34">
        <v>40.309292908217053</v>
      </c>
      <c r="Z589" s="34"/>
      <c r="AA589" s="33">
        <v>11.63083365849702</v>
      </c>
      <c r="AB589" s="33">
        <v>11.63083365849702</v>
      </c>
      <c r="AC589" s="34">
        <v>3.8769445528323412</v>
      </c>
      <c r="AD589" s="33">
        <v>6.2031112845317473</v>
      </c>
      <c r="AE589" s="34">
        <v>7.7538891056646824</v>
      </c>
      <c r="AF589" s="34">
        <v>4.6523334633988096</v>
      </c>
      <c r="AG589" s="33">
        <v>4.6523334633988096</v>
      </c>
      <c r="AH589" s="34">
        <v>9.304666926797621</v>
      </c>
      <c r="AI589" s="33">
        <v>7.7538891056646824</v>
      </c>
      <c r="AJ589" s="33">
        <v>9.304666926797621</v>
      </c>
      <c r="AK589" s="33">
        <v>5.4277223739652776</v>
      </c>
      <c r="AL589" s="34">
        <v>5.4277223739652776</v>
      </c>
      <c r="AM589" s="34">
        <v>2.3261667316994048</v>
      </c>
      <c r="AN589" s="34">
        <v>3.8769445528323412</v>
      </c>
      <c r="AO589" s="34">
        <v>2.3261667316994048</v>
      </c>
      <c r="AP589" s="34">
        <v>23.26166731699405</v>
      </c>
      <c r="AQ589" s="34">
        <v>12.406222569063489</v>
      </c>
      <c r="AR589" s="37"/>
    </row>
    <row r="590" spans="1:44" ht="19.5" customHeight="1">
      <c r="A590" s="64">
        <f t="shared" ref="A590:A593" si="67">A589+1</f>
        <v>7</v>
      </c>
      <c r="B590" s="41" t="s">
        <v>133</v>
      </c>
      <c r="C590" s="79" t="s">
        <v>94</v>
      </c>
      <c r="D590" s="56" t="s">
        <v>4988</v>
      </c>
      <c r="E590" s="30"/>
      <c r="F590" s="32">
        <v>20904.451747346691</v>
      </c>
      <c r="G590" s="32">
        <v>38248.489260558978</v>
      </c>
      <c r="H590" s="32">
        <v>59152.941007905683</v>
      </c>
      <c r="I590" s="53">
        <v>7.27079597911563</v>
      </c>
      <c r="J590" s="53">
        <v>7.27079597911563</v>
      </c>
      <c r="K590" s="54">
        <v>2.4235986597052102</v>
      </c>
      <c r="L590" s="53">
        <v>3.8777578555283361</v>
      </c>
      <c r="M590" s="54">
        <v>4.8471973194104194</v>
      </c>
      <c r="N590" s="54">
        <v>2.9083183916462518</v>
      </c>
      <c r="O590" s="53">
        <v>2.9083183916462518</v>
      </c>
      <c r="P590" s="54">
        <v>5.8166367832925054</v>
      </c>
      <c r="Q590" s="53">
        <v>4.8471973194104194</v>
      </c>
      <c r="R590" s="53">
        <v>5.8166367832925054</v>
      </c>
      <c r="S590" s="53">
        <v>3.393038123587294</v>
      </c>
      <c r="T590" s="54">
        <v>3.393038123587294</v>
      </c>
      <c r="U590" s="54">
        <v>1.4541591958231259</v>
      </c>
      <c r="V590" s="54">
        <v>2.4235986597052102</v>
      </c>
      <c r="W590" s="54">
        <v>1.4541591958231259</v>
      </c>
      <c r="X590" s="54">
        <v>14.54159195823126</v>
      </c>
      <c r="Y590" s="54">
        <v>7.7555157110566721</v>
      </c>
      <c r="Z590" s="34"/>
      <c r="AA590" s="33">
        <v>13.30324111266</v>
      </c>
      <c r="AB590" s="33">
        <v>13.30324111266</v>
      </c>
      <c r="AC590" s="34">
        <v>4.434413704219998</v>
      </c>
      <c r="AD590" s="33">
        <v>7.0950619267519981</v>
      </c>
      <c r="AE590" s="34">
        <v>8.8688274084399961</v>
      </c>
      <c r="AF590" s="34">
        <v>5.3212964450639992</v>
      </c>
      <c r="AG590" s="33">
        <v>5.3212964450639992</v>
      </c>
      <c r="AH590" s="34">
        <v>10.642592890128</v>
      </c>
      <c r="AI590" s="33">
        <v>8.8688274084399961</v>
      </c>
      <c r="AJ590" s="33">
        <v>10.642592890128</v>
      </c>
      <c r="AK590" s="33">
        <v>6.2081791859079987</v>
      </c>
      <c r="AL590" s="34">
        <v>6.2081791859079987</v>
      </c>
      <c r="AM590" s="34">
        <v>2.6606482225320001</v>
      </c>
      <c r="AN590" s="34">
        <v>4.434413704219998</v>
      </c>
      <c r="AO590" s="34">
        <v>2.6606482225320001</v>
      </c>
      <c r="AP590" s="34">
        <v>26.60648222531999</v>
      </c>
      <c r="AQ590" s="34">
        <v>14.190123853504</v>
      </c>
      <c r="AR590" s="37"/>
    </row>
    <row r="591" spans="1:44" ht="19.5" customHeight="1">
      <c r="A591" s="64">
        <f t="shared" si="67"/>
        <v>8</v>
      </c>
      <c r="B591" s="16" t="s">
        <v>4989</v>
      </c>
      <c r="C591" s="30" t="s">
        <v>159</v>
      </c>
      <c r="D591" s="56" t="s">
        <v>4990</v>
      </c>
      <c r="E591" s="30"/>
      <c r="F591" s="32">
        <v>108650.8879568344</v>
      </c>
      <c r="G591" s="32">
        <v>39013.459045770171</v>
      </c>
      <c r="H591" s="32">
        <v>147664.3470026046</v>
      </c>
      <c r="I591" s="33">
        <v>37.789962101453483</v>
      </c>
      <c r="J591" s="33">
        <v>37.789962101453483</v>
      </c>
      <c r="K591" s="34">
        <v>12.596654033817821</v>
      </c>
      <c r="L591" s="33">
        <v>20.154646454108519</v>
      </c>
      <c r="M591" s="34">
        <v>25.193308067635648</v>
      </c>
      <c r="N591" s="34">
        <v>15.11598484058139</v>
      </c>
      <c r="O591" s="33">
        <v>15.11598484058139</v>
      </c>
      <c r="P591" s="34">
        <v>30.231969681162781</v>
      </c>
      <c r="Q591" s="33">
        <v>25.193308067635648</v>
      </c>
      <c r="R591" s="33">
        <v>30.231969681162781</v>
      </c>
      <c r="S591" s="33">
        <v>17.63531564734496</v>
      </c>
      <c r="T591" s="34">
        <v>17.63531564734496</v>
      </c>
      <c r="U591" s="34">
        <v>7.5579924202906961</v>
      </c>
      <c r="V591" s="34">
        <v>12.596654033817821</v>
      </c>
      <c r="W591" s="34">
        <v>7.5579924202906961</v>
      </c>
      <c r="X591" s="34">
        <v>75.579924202906952</v>
      </c>
      <c r="Y591" s="34">
        <v>40.309292908217053</v>
      </c>
      <c r="Z591" s="34"/>
      <c r="AA591" s="33">
        <v>13.569305934913199</v>
      </c>
      <c r="AB591" s="33">
        <v>13.569305934913199</v>
      </c>
      <c r="AC591" s="34">
        <v>4.5231019783043998</v>
      </c>
      <c r="AD591" s="33">
        <v>7.2369631652870394</v>
      </c>
      <c r="AE591" s="34">
        <v>9.0462039566087995</v>
      </c>
      <c r="AF591" s="34">
        <v>5.4277223739652802</v>
      </c>
      <c r="AG591" s="33">
        <v>5.4277223739652802</v>
      </c>
      <c r="AH591" s="34">
        <v>10.85544474793056</v>
      </c>
      <c r="AI591" s="33">
        <v>9.0462039566087995</v>
      </c>
      <c r="AJ591" s="33">
        <v>10.85544474793056</v>
      </c>
      <c r="AK591" s="33">
        <v>6.3323427696261598</v>
      </c>
      <c r="AL591" s="34">
        <v>6.3323427696261598</v>
      </c>
      <c r="AM591" s="34">
        <v>2.7138611869826401</v>
      </c>
      <c r="AN591" s="34">
        <v>4.5231019783043998</v>
      </c>
      <c r="AO591" s="34">
        <v>2.7138611869826401</v>
      </c>
      <c r="AP591" s="34">
        <v>27.138611869826399</v>
      </c>
      <c r="AQ591" s="34">
        <v>14.473926330574081</v>
      </c>
      <c r="AR591" s="37"/>
    </row>
    <row r="592" spans="1:44" ht="19.5" customHeight="1">
      <c r="A592" s="64">
        <f t="shared" si="67"/>
        <v>9</v>
      </c>
      <c r="B592" s="41" t="s">
        <v>133</v>
      </c>
      <c r="C592" s="79" t="s">
        <v>94</v>
      </c>
      <c r="D592" s="56" t="s">
        <v>4991</v>
      </c>
      <c r="E592" s="30"/>
      <c r="F592" s="32">
        <v>20000</v>
      </c>
      <c r="G592" s="32">
        <v>21219.688910157551</v>
      </c>
      <c r="H592" s="32">
        <v>41219.688910157551</v>
      </c>
      <c r="I592" s="53">
        <v>6.956217811393671</v>
      </c>
      <c r="J592" s="53">
        <v>6.956217811393671</v>
      </c>
      <c r="K592" s="54">
        <v>2.318739270464556</v>
      </c>
      <c r="L592" s="53">
        <v>3.7099828327432909</v>
      </c>
      <c r="M592" s="54">
        <v>4.6374785409291128</v>
      </c>
      <c r="N592" s="54">
        <v>2.7824871245574681</v>
      </c>
      <c r="O592" s="53">
        <v>2.7824871245574681</v>
      </c>
      <c r="P592" s="54">
        <v>5.564974249114937</v>
      </c>
      <c r="Q592" s="53">
        <v>4.6374785409291128</v>
      </c>
      <c r="R592" s="53">
        <v>5.564974249114937</v>
      </c>
      <c r="S592" s="53">
        <v>3.2462349786503801</v>
      </c>
      <c r="T592" s="54">
        <v>3.2462349786503801</v>
      </c>
      <c r="U592" s="54">
        <v>1.391243562278734</v>
      </c>
      <c r="V592" s="54">
        <v>2.318739270464556</v>
      </c>
      <c r="W592" s="54">
        <v>1.391243562278734</v>
      </c>
      <c r="X592" s="54">
        <v>13.91243562278734</v>
      </c>
      <c r="Y592" s="54">
        <v>7.4199656654865818</v>
      </c>
      <c r="Z592" s="34"/>
      <c r="AA592" s="33">
        <v>7.3804388974535353</v>
      </c>
      <c r="AB592" s="33">
        <v>7.3804388974535353</v>
      </c>
      <c r="AC592" s="34">
        <v>2.460146299151178</v>
      </c>
      <c r="AD592" s="33">
        <v>3.9362340786418848</v>
      </c>
      <c r="AE592" s="34">
        <v>4.920292598302356</v>
      </c>
      <c r="AF592" s="34">
        <v>2.952175558981414</v>
      </c>
      <c r="AG592" s="33">
        <v>2.952175558981414</v>
      </c>
      <c r="AH592" s="34">
        <v>5.9043511179628281</v>
      </c>
      <c r="AI592" s="33">
        <v>4.920292598302356</v>
      </c>
      <c r="AJ592" s="33">
        <v>5.9043511179628281</v>
      </c>
      <c r="AK592" s="33">
        <v>3.4442048188116501</v>
      </c>
      <c r="AL592" s="34">
        <v>3.4442048188116501</v>
      </c>
      <c r="AM592" s="34">
        <v>1.476087779490707</v>
      </c>
      <c r="AN592" s="34">
        <v>2.460146299151178</v>
      </c>
      <c r="AO592" s="34">
        <v>1.476087779490707</v>
      </c>
      <c r="AP592" s="34">
        <v>14.760877794907071</v>
      </c>
      <c r="AQ592" s="34">
        <v>7.8724681572837696</v>
      </c>
      <c r="AR592" s="37"/>
    </row>
    <row r="593" spans="1:44" ht="19.5" customHeight="1">
      <c r="A593" s="64">
        <f t="shared" si="67"/>
        <v>10</v>
      </c>
      <c r="B593" s="16" t="s">
        <v>4992</v>
      </c>
      <c r="C593" s="79" t="s">
        <v>159</v>
      </c>
      <c r="D593" s="56" t="s">
        <v>4993</v>
      </c>
      <c r="E593" s="30"/>
      <c r="F593" s="32">
        <v>100000</v>
      </c>
      <c r="G593" s="32">
        <v>33440.107753517281</v>
      </c>
      <c r="H593" s="32">
        <v>133440.10775351731</v>
      </c>
      <c r="I593" s="33">
        <v>34.781089056968348</v>
      </c>
      <c r="J593" s="33">
        <v>34.781089056968348</v>
      </c>
      <c r="K593" s="34">
        <v>11.59369635232278</v>
      </c>
      <c r="L593" s="33">
        <v>18.549914163716451</v>
      </c>
      <c r="M593" s="34">
        <v>23.187392704645561</v>
      </c>
      <c r="N593" s="34">
        <v>13.91243562278734</v>
      </c>
      <c r="O593" s="33">
        <v>13.91243562278734</v>
      </c>
      <c r="P593" s="34">
        <v>27.824871245574681</v>
      </c>
      <c r="Q593" s="33">
        <v>23.187392704645561</v>
      </c>
      <c r="R593" s="33">
        <v>27.824871245574681</v>
      </c>
      <c r="S593" s="33">
        <v>16.2311748932519</v>
      </c>
      <c r="T593" s="34">
        <v>16.2311748932519</v>
      </c>
      <c r="U593" s="34">
        <v>6.9562178113936701</v>
      </c>
      <c r="V593" s="34">
        <v>11.59369635232278</v>
      </c>
      <c r="W593" s="34">
        <v>6.9562178113936701</v>
      </c>
      <c r="X593" s="34">
        <v>69.562178113936696</v>
      </c>
      <c r="Y593" s="34">
        <v>37.09982832743291</v>
      </c>
      <c r="Z593" s="54"/>
      <c r="AA593" s="53">
        <v>11.63083365849702</v>
      </c>
      <c r="AB593" s="53">
        <v>11.63083365849702</v>
      </c>
      <c r="AC593" s="54">
        <v>3.8769445528323412</v>
      </c>
      <c r="AD593" s="53">
        <v>6.2031112845317473</v>
      </c>
      <c r="AE593" s="54">
        <v>7.7538891056646824</v>
      </c>
      <c r="AF593" s="54">
        <v>4.6523334633988096</v>
      </c>
      <c r="AG593" s="53">
        <v>4.6523334633988096</v>
      </c>
      <c r="AH593" s="54">
        <v>9.304666926797621</v>
      </c>
      <c r="AI593" s="53">
        <v>7.7538891056646824</v>
      </c>
      <c r="AJ593" s="53">
        <v>9.304666926797621</v>
      </c>
      <c r="AK593" s="53">
        <v>5.4277223739652776</v>
      </c>
      <c r="AL593" s="54">
        <v>5.4277223739652776</v>
      </c>
      <c r="AM593" s="54">
        <v>2.3261667316994048</v>
      </c>
      <c r="AN593" s="54">
        <v>3.8769445528323412</v>
      </c>
      <c r="AO593" s="54">
        <v>2.3261667316994048</v>
      </c>
      <c r="AP593" s="54">
        <v>23.26166731699405</v>
      </c>
      <c r="AQ593" s="54">
        <v>12.406222569063489</v>
      </c>
      <c r="AR593" s="39"/>
    </row>
    <row r="594" spans="1:44" ht="19.5" customHeight="1">
      <c r="A594" s="83"/>
      <c r="B594" s="76" t="s">
        <v>133</v>
      </c>
      <c r="C594" s="51" t="s">
        <v>389</v>
      </c>
      <c r="D594" s="63" t="s">
        <v>4994</v>
      </c>
      <c r="E594" s="51">
        <v>5</v>
      </c>
      <c r="F594" s="52">
        <v>358206.22766101552</v>
      </c>
      <c r="G594" s="52">
        <v>165361.8527235213</v>
      </c>
      <c r="H594" s="52">
        <v>523568.08038453682</v>
      </c>
      <c r="I594" s="33">
        <v>124.5880270503846</v>
      </c>
      <c r="J594" s="33">
        <v>124.5880270503846</v>
      </c>
      <c r="K594" s="34">
        <v>41.529342350128204</v>
      </c>
      <c r="L594" s="33">
        <v>66.446947760205134</v>
      </c>
      <c r="M594" s="34">
        <v>83.058684700256407</v>
      </c>
      <c r="N594" s="34">
        <v>49.835210820153847</v>
      </c>
      <c r="O594" s="33">
        <v>49.835210820153847</v>
      </c>
      <c r="P594" s="34">
        <v>99.670421640307708</v>
      </c>
      <c r="Q594" s="33">
        <v>83.058684700256407</v>
      </c>
      <c r="R594" s="33">
        <v>99.670421640307708</v>
      </c>
      <c r="S594" s="33">
        <v>58.141079290179491</v>
      </c>
      <c r="T594" s="34">
        <v>58.141079290179491</v>
      </c>
      <c r="U594" s="34">
        <v>24.917605410076931</v>
      </c>
      <c r="V594" s="34">
        <v>41.529342350128204</v>
      </c>
      <c r="W594" s="34">
        <v>24.917605410076931</v>
      </c>
      <c r="X594" s="34">
        <v>249.17605410076919</v>
      </c>
      <c r="Y594" s="34">
        <v>132.8938955204103</v>
      </c>
      <c r="Z594" s="34"/>
      <c r="AA594" s="33">
        <v>57.514653262020779</v>
      </c>
      <c r="AB594" s="33">
        <v>57.514653262020779</v>
      </c>
      <c r="AC594" s="34">
        <v>19.171551087340259</v>
      </c>
      <c r="AD594" s="33">
        <v>30.674481739744419</v>
      </c>
      <c r="AE594" s="34">
        <v>38.343102174680517</v>
      </c>
      <c r="AF594" s="34">
        <v>23.00586130480831</v>
      </c>
      <c r="AG594" s="33">
        <v>23.00586130480831</v>
      </c>
      <c r="AH594" s="34">
        <v>46.011722609616633</v>
      </c>
      <c r="AI594" s="33">
        <v>38.343102174680517</v>
      </c>
      <c r="AJ594" s="33">
        <v>46.011722609616633</v>
      </c>
      <c r="AK594" s="33">
        <v>26.840171522276361</v>
      </c>
      <c r="AL594" s="34">
        <v>26.840171522276361</v>
      </c>
      <c r="AM594" s="34">
        <v>11.50293065240416</v>
      </c>
      <c r="AN594" s="34">
        <v>19.171551087340259</v>
      </c>
      <c r="AO594" s="34">
        <v>11.50293065240416</v>
      </c>
      <c r="AP594" s="34">
        <v>115.0293065240416</v>
      </c>
      <c r="AQ594" s="34">
        <v>61.34896347948883</v>
      </c>
      <c r="AR594" s="39"/>
    </row>
    <row r="595" spans="1:44" ht="19.5" customHeight="1">
      <c r="A595" s="64">
        <f>A593+1</f>
        <v>11</v>
      </c>
      <c r="B595" s="28" t="s">
        <v>4995</v>
      </c>
      <c r="C595" s="79" t="s">
        <v>94</v>
      </c>
      <c r="D595" s="56" t="s">
        <v>4996</v>
      </c>
      <c r="E595" s="30"/>
      <c r="F595" s="32">
        <v>100000</v>
      </c>
      <c r="G595" s="32">
        <v>44586.810338023053</v>
      </c>
      <c r="H595" s="32">
        <v>144586.81033802309</v>
      </c>
      <c r="I595" s="33">
        <v>34.781089056968348</v>
      </c>
      <c r="J595" s="33">
        <v>34.781089056968348</v>
      </c>
      <c r="K595" s="34">
        <v>11.59369635232278</v>
      </c>
      <c r="L595" s="33">
        <v>18.549914163716451</v>
      </c>
      <c r="M595" s="34">
        <v>23.187392704645561</v>
      </c>
      <c r="N595" s="34">
        <v>13.91243562278734</v>
      </c>
      <c r="O595" s="33">
        <v>13.91243562278734</v>
      </c>
      <c r="P595" s="34">
        <v>27.824871245574681</v>
      </c>
      <c r="Q595" s="33">
        <v>23.187392704645561</v>
      </c>
      <c r="R595" s="33">
        <v>27.824871245574681</v>
      </c>
      <c r="S595" s="33">
        <v>16.2311748932519</v>
      </c>
      <c r="T595" s="34">
        <v>16.2311748932519</v>
      </c>
      <c r="U595" s="34">
        <v>6.9562178113936701</v>
      </c>
      <c r="V595" s="34">
        <v>11.59369635232278</v>
      </c>
      <c r="W595" s="34">
        <v>6.9562178113936701</v>
      </c>
      <c r="X595" s="34">
        <v>69.562178113936696</v>
      </c>
      <c r="Y595" s="34">
        <v>37.09982832743291</v>
      </c>
      <c r="Z595" s="34"/>
      <c r="AA595" s="33">
        <v>15.50777821132937</v>
      </c>
      <c r="AB595" s="33">
        <v>15.50777821132937</v>
      </c>
      <c r="AC595" s="34">
        <v>5.1692594037764552</v>
      </c>
      <c r="AD595" s="33">
        <v>8.2708150460423298</v>
      </c>
      <c r="AE595" s="34">
        <v>10.33851880755291</v>
      </c>
      <c r="AF595" s="34">
        <v>6.2031112845317473</v>
      </c>
      <c r="AG595" s="33">
        <v>6.2031112845317473</v>
      </c>
      <c r="AH595" s="34">
        <v>12.406222569063489</v>
      </c>
      <c r="AI595" s="33">
        <v>10.33851880755291</v>
      </c>
      <c r="AJ595" s="33">
        <v>12.406222569063489</v>
      </c>
      <c r="AK595" s="33">
        <v>7.2369631652870394</v>
      </c>
      <c r="AL595" s="34">
        <v>7.2369631652870394</v>
      </c>
      <c r="AM595" s="34">
        <v>3.1015556422658741</v>
      </c>
      <c r="AN595" s="34">
        <v>5.1692594037764552</v>
      </c>
      <c r="AO595" s="34">
        <v>3.1015556422658741</v>
      </c>
      <c r="AP595" s="34">
        <v>31.015556422658729</v>
      </c>
      <c r="AQ595" s="34">
        <v>16.54163009208466</v>
      </c>
      <c r="AR595" s="37"/>
    </row>
    <row r="596" spans="1:44" ht="19.5" customHeight="1">
      <c r="A596" s="64">
        <f t="shared" ref="A596:A598" si="68">A595+1</f>
        <v>12</v>
      </c>
      <c r="B596" s="56" t="s">
        <v>4997</v>
      </c>
      <c r="C596" s="30" t="s">
        <v>230</v>
      </c>
      <c r="D596" s="56" t="s">
        <v>4998</v>
      </c>
      <c r="E596" s="30"/>
      <c r="F596" s="32">
        <v>135445.55138250359</v>
      </c>
      <c r="G596" s="32">
        <v>27866.756461264398</v>
      </c>
      <c r="H596" s="32">
        <v>163312.30784376801</v>
      </c>
      <c r="I596" s="33">
        <v>47.109437850050398</v>
      </c>
      <c r="J596" s="33">
        <v>47.109437850050398</v>
      </c>
      <c r="K596" s="34">
        <v>15.7031459500168</v>
      </c>
      <c r="L596" s="33">
        <v>25.125033520026879</v>
      </c>
      <c r="M596" s="34">
        <v>31.406291900033601</v>
      </c>
      <c r="N596" s="34">
        <v>18.84377514002016</v>
      </c>
      <c r="O596" s="33">
        <v>18.84377514002016</v>
      </c>
      <c r="P596" s="34">
        <v>37.687550280040327</v>
      </c>
      <c r="Q596" s="33">
        <v>31.406291900033601</v>
      </c>
      <c r="R596" s="33">
        <v>37.687550280040327</v>
      </c>
      <c r="S596" s="33">
        <v>21.984404330023519</v>
      </c>
      <c r="T596" s="34">
        <v>21.984404330023519</v>
      </c>
      <c r="U596" s="34">
        <v>9.4218875700100817</v>
      </c>
      <c r="V596" s="34">
        <v>15.7031459500168</v>
      </c>
      <c r="W596" s="34">
        <v>9.4218875700100817</v>
      </c>
      <c r="X596" s="34">
        <v>94.21887570010081</v>
      </c>
      <c r="Y596" s="34">
        <v>50.250067040053757</v>
      </c>
      <c r="Z596" s="34"/>
      <c r="AA596" s="33">
        <v>9.6923613820808523</v>
      </c>
      <c r="AB596" s="33">
        <v>9.6923613820808523</v>
      </c>
      <c r="AC596" s="34">
        <v>3.230787127360284</v>
      </c>
      <c r="AD596" s="33">
        <v>5.1692594037764552</v>
      </c>
      <c r="AE596" s="34">
        <v>6.4615742547205679</v>
      </c>
      <c r="AF596" s="34">
        <v>3.8769445528323412</v>
      </c>
      <c r="AG596" s="33">
        <v>3.8769445528323412</v>
      </c>
      <c r="AH596" s="34">
        <v>7.7538891056646824</v>
      </c>
      <c r="AI596" s="33">
        <v>6.4615742547205679</v>
      </c>
      <c r="AJ596" s="33">
        <v>7.7538891056646824</v>
      </c>
      <c r="AK596" s="33">
        <v>4.523101978304398</v>
      </c>
      <c r="AL596" s="34">
        <v>4.523101978304398</v>
      </c>
      <c r="AM596" s="34">
        <v>1.938472276416171</v>
      </c>
      <c r="AN596" s="34">
        <v>3.230787127360284</v>
      </c>
      <c r="AO596" s="34">
        <v>1.938472276416171</v>
      </c>
      <c r="AP596" s="34">
        <v>19.384722764161701</v>
      </c>
      <c r="AQ596" s="34">
        <v>10.33851880755291</v>
      </c>
      <c r="AR596" s="37"/>
    </row>
    <row r="597" spans="1:44" ht="19.5" customHeight="1">
      <c r="A597" s="64">
        <f t="shared" si="68"/>
        <v>13</v>
      </c>
      <c r="B597" s="56" t="s">
        <v>4999</v>
      </c>
      <c r="C597" s="79" t="s">
        <v>159</v>
      </c>
      <c r="D597" s="56" t="s">
        <v>5000</v>
      </c>
      <c r="E597" s="30"/>
      <c r="F597" s="32">
        <v>129801.9867415659</v>
      </c>
      <c r="G597" s="32">
        <v>22293.405169011519</v>
      </c>
      <c r="H597" s="32">
        <v>152095.39191057751</v>
      </c>
      <c r="I597" s="33">
        <v>45.146544606298299</v>
      </c>
      <c r="J597" s="33">
        <v>45.146544606298299</v>
      </c>
      <c r="K597" s="34">
        <v>15.04884820209943</v>
      </c>
      <c r="L597" s="33">
        <v>24.078157123359091</v>
      </c>
      <c r="M597" s="34">
        <v>30.09769640419886</v>
      </c>
      <c r="N597" s="34">
        <v>18.058617842519318</v>
      </c>
      <c r="O597" s="33">
        <v>18.058617842519318</v>
      </c>
      <c r="P597" s="34">
        <v>36.117235685038636</v>
      </c>
      <c r="Q597" s="33">
        <v>30.09769640419886</v>
      </c>
      <c r="R597" s="33">
        <v>36.117235685038636</v>
      </c>
      <c r="S597" s="33">
        <v>21.068387482939201</v>
      </c>
      <c r="T597" s="34">
        <v>21.068387482939201</v>
      </c>
      <c r="U597" s="34">
        <v>9.0293089212596591</v>
      </c>
      <c r="V597" s="34">
        <v>15.04884820209943</v>
      </c>
      <c r="W597" s="34">
        <v>9.0293089212596591</v>
      </c>
      <c r="X597" s="34">
        <v>90.293089212596598</v>
      </c>
      <c r="Y597" s="34">
        <v>48.156314246718182</v>
      </c>
      <c r="Z597" s="34"/>
      <c r="AA597" s="33">
        <v>7.7538891056646833</v>
      </c>
      <c r="AB597" s="33">
        <v>7.7538891056646833</v>
      </c>
      <c r="AC597" s="34">
        <v>2.584629701888228</v>
      </c>
      <c r="AD597" s="33">
        <v>4.1354075230211649</v>
      </c>
      <c r="AE597" s="34">
        <v>5.1692594037764552</v>
      </c>
      <c r="AF597" s="34">
        <v>3.1015556422658741</v>
      </c>
      <c r="AG597" s="33">
        <v>3.1015556422658741</v>
      </c>
      <c r="AH597" s="34">
        <v>6.2031112845317473</v>
      </c>
      <c r="AI597" s="33">
        <v>5.1692594037764552</v>
      </c>
      <c r="AJ597" s="33">
        <v>6.2031112845317473</v>
      </c>
      <c r="AK597" s="33">
        <v>3.6184815826435188</v>
      </c>
      <c r="AL597" s="34">
        <v>3.6184815826435188</v>
      </c>
      <c r="AM597" s="34">
        <v>1.5507778211329371</v>
      </c>
      <c r="AN597" s="34">
        <v>2.584629701888228</v>
      </c>
      <c r="AO597" s="34">
        <v>1.5507778211329371</v>
      </c>
      <c r="AP597" s="34">
        <v>15.50777821132937</v>
      </c>
      <c r="AQ597" s="34">
        <v>8.2708150460423298</v>
      </c>
      <c r="AR597" s="39"/>
    </row>
    <row r="598" spans="1:44" ht="19.5" customHeight="1">
      <c r="A598" s="64">
        <f t="shared" si="68"/>
        <v>14</v>
      </c>
      <c r="B598" s="16" t="s">
        <v>5001</v>
      </c>
      <c r="C598" s="58" t="s">
        <v>290</v>
      </c>
      <c r="D598" s="56" t="s">
        <v>5002</v>
      </c>
      <c r="E598" s="30"/>
      <c r="F598" s="32">
        <v>20904.451747346691</v>
      </c>
      <c r="G598" s="32">
        <v>43712.559154924558</v>
      </c>
      <c r="H598" s="32">
        <v>64617.01090227125</v>
      </c>
      <c r="I598" s="33">
        <v>7.27079597911563</v>
      </c>
      <c r="J598" s="33">
        <v>7.27079597911563</v>
      </c>
      <c r="K598" s="34">
        <v>2.4235986597052102</v>
      </c>
      <c r="L598" s="33">
        <v>3.8777578555283361</v>
      </c>
      <c r="M598" s="34">
        <v>4.8471973194104194</v>
      </c>
      <c r="N598" s="34">
        <v>2.9083183916462518</v>
      </c>
      <c r="O598" s="33">
        <v>2.9083183916462518</v>
      </c>
      <c r="P598" s="34">
        <v>5.8166367832925054</v>
      </c>
      <c r="Q598" s="33">
        <v>4.8471973194104194</v>
      </c>
      <c r="R598" s="33">
        <v>5.8166367832925054</v>
      </c>
      <c r="S598" s="33">
        <v>3.393038123587294</v>
      </c>
      <c r="T598" s="34">
        <v>3.393038123587294</v>
      </c>
      <c r="U598" s="34">
        <v>1.4541591958231259</v>
      </c>
      <c r="V598" s="34">
        <v>2.4235986597052102</v>
      </c>
      <c r="W598" s="34">
        <v>1.4541591958231259</v>
      </c>
      <c r="X598" s="34">
        <v>14.54159195823126</v>
      </c>
      <c r="Y598" s="34">
        <v>7.7555157110566721</v>
      </c>
      <c r="Z598" s="34"/>
      <c r="AA598" s="33">
        <v>15.20370412875428</v>
      </c>
      <c r="AB598" s="33">
        <v>15.20370412875428</v>
      </c>
      <c r="AC598" s="34">
        <v>5.0679013762514273</v>
      </c>
      <c r="AD598" s="33">
        <v>8.1086422020022848</v>
      </c>
      <c r="AE598" s="34">
        <v>10.135802752502849</v>
      </c>
      <c r="AF598" s="34">
        <v>6.0814816515017132</v>
      </c>
      <c r="AG598" s="33">
        <v>6.0814816515017132</v>
      </c>
      <c r="AH598" s="34">
        <v>12.16296330300343</v>
      </c>
      <c r="AI598" s="33">
        <v>10.135802752502849</v>
      </c>
      <c r="AJ598" s="33">
        <v>12.16296330300343</v>
      </c>
      <c r="AK598" s="33">
        <v>7.095061926751999</v>
      </c>
      <c r="AL598" s="34">
        <v>7.095061926751999</v>
      </c>
      <c r="AM598" s="34">
        <v>3.040740825750857</v>
      </c>
      <c r="AN598" s="34">
        <v>5.0679013762514273</v>
      </c>
      <c r="AO598" s="34">
        <v>3.040740825750857</v>
      </c>
      <c r="AP598" s="34">
        <v>30.407408257508571</v>
      </c>
      <c r="AQ598" s="34">
        <v>16.21728440400457</v>
      </c>
      <c r="AR598" s="39"/>
    </row>
    <row r="599" spans="1:44" ht="19.5" customHeight="1">
      <c r="A599" s="83"/>
      <c r="B599" s="76" t="s">
        <v>5001</v>
      </c>
      <c r="C599" s="51" t="s">
        <v>997</v>
      </c>
      <c r="D599" s="63" t="s">
        <v>5003</v>
      </c>
      <c r="E599" s="51">
        <v>4</v>
      </c>
      <c r="F599" s="52">
        <v>386151.98987141618</v>
      </c>
      <c r="G599" s="52">
        <v>138459.53112322351</v>
      </c>
      <c r="H599" s="52">
        <v>524611.52099463972</v>
      </c>
      <c r="I599" s="33">
        <v>134.30786749243271</v>
      </c>
      <c r="J599" s="33">
        <v>134.30786749243271</v>
      </c>
      <c r="K599" s="34">
        <v>44.769289164144233</v>
      </c>
      <c r="L599" s="33">
        <v>71.630862662630761</v>
      </c>
      <c r="M599" s="34">
        <v>89.538578328288452</v>
      </c>
      <c r="N599" s="34">
        <v>53.723146996973078</v>
      </c>
      <c r="O599" s="33">
        <v>53.723146996973078</v>
      </c>
      <c r="P599" s="34">
        <v>107.4462939939462</v>
      </c>
      <c r="Q599" s="33">
        <v>89.538578328288452</v>
      </c>
      <c r="R599" s="33">
        <v>107.4462939939462</v>
      </c>
      <c r="S599" s="33">
        <v>62.677004829801923</v>
      </c>
      <c r="T599" s="34">
        <v>62.677004829801923</v>
      </c>
      <c r="U599" s="34">
        <v>26.861573498486539</v>
      </c>
      <c r="V599" s="34">
        <v>44.769289164144233</v>
      </c>
      <c r="W599" s="34">
        <v>26.861573498486539</v>
      </c>
      <c r="X599" s="34">
        <v>268.61573498486541</v>
      </c>
      <c r="Y599" s="34">
        <v>143.26172532526149</v>
      </c>
      <c r="Z599" s="34"/>
      <c r="AA599" s="33">
        <v>48.157732827829193</v>
      </c>
      <c r="AB599" s="33">
        <v>48.157732827829193</v>
      </c>
      <c r="AC599" s="34">
        <v>16.052577609276401</v>
      </c>
      <c r="AD599" s="33">
        <v>25.684124174842239</v>
      </c>
      <c r="AE599" s="34">
        <v>32.105155218552802</v>
      </c>
      <c r="AF599" s="34">
        <v>19.263093131131679</v>
      </c>
      <c r="AG599" s="33">
        <v>19.263093131131679</v>
      </c>
      <c r="AH599" s="34">
        <v>38.526186262263359</v>
      </c>
      <c r="AI599" s="33">
        <v>32.105155218552802</v>
      </c>
      <c r="AJ599" s="33">
        <v>38.526186262263359</v>
      </c>
      <c r="AK599" s="33">
        <v>22.473608652986961</v>
      </c>
      <c r="AL599" s="34">
        <v>22.473608652986961</v>
      </c>
      <c r="AM599" s="34">
        <v>9.6315465655658397</v>
      </c>
      <c r="AN599" s="34">
        <v>16.052577609276401</v>
      </c>
      <c r="AO599" s="34">
        <v>9.6315465655658397</v>
      </c>
      <c r="AP599" s="34">
        <v>96.315465655658386</v>
      </c>
      <c r="AQ599" s="34">
        <v>51.368248349684471</v>
      </c>
      <c r="AR599" s="39"/>
    </row>
    <row r="600" spans="1:44" ht="19.5" customHeight="1">
      <c r="A600" s="64">
        <f>A598+1</f>
        <v>15</v>
      </c>
      <c r="B600" s="56" t="s">
        <v>5004</v>
      </c>
      <c r="C600" s="30" t="s">
        <v>159</v>
      </c>
      <c r="D600" s="56" t="s">
        <v>5005</v>
      </c>
      <c r="E600" s="30"/>
      <c r="F600" s="32">
        <v>127309.00340452571</v>
      </c>
      <c r="G600" s="32">
        <v>50160.161630275928</v>
      </c>
      <c r="H600" s="32">
        <v>177469.16503480161</v>
      </c>
      <c r="I600" s="33">
        <v>44.279457851666947</v>
      </c>
      <c r="J600" s="33">
        <v>44.279457851666947</v>
      </c>
      <c r="K600" s="34">
        <v>14.75981928388898</v>
      </c>
      <c r="L600" s="33">
        <v>23.615710854222371</v>
      </c>
      <c r="M600" s="34">
        <v>29.51963856777796</v>
      </c>
      <c r="N600" s="34">
        <v>17.711783140666778</v>
      </c>
      <c r="O600" s="33">
        <v>17.711783140666778</v>
      </c>
      <c r="P600" s="34">
        <v>35.423566281333557</v>
      </c>
      <c r="Q600" s="33">
        <v>29.51963856777796</v>
      </c>
      <c r="R600" s="33">
        <v>35.423566281333557</v>
      </c>
      <c r="S600" s="33">
        <v>20.66374699744458</v>
      </c>
      <c r="T600" s="34">
        <v>20.66374699744458</v>
      </c>
      <c r="U600" s="34">
        <v>8.8558915703333891</v>
      </c>
      <c r="V600" s="34">
        <v>14.75981928388898</v>
      </c>
      <c r="W600" s="34">
        <v>8.8558915703333891</v>
      </c>
      <c r="X600" s="34">
        <v>88.558915703333895</v>
      </c>
      <c r="Y600" s="34">
        <v>47.231421708444742</v>
      </c>
      <c r="Z600" s="34"/>
      <c r="AA600" s="33">
        <v>17.446250487745541</v>
      </c>
      <c r="AB600" s="33">
        <v>17.446250487745541</v>
      </c>
      <c r="AC600" s="34">
        <v>5.8154168292485124</v>
      </c>
      <c r="AD600" s="33">
        <v>9.304666926797621</v>
      </c>
      <c r="AE600" s="34">
        <v>11.63083365849702</v>
      </c>
      <c r="AF600" s="34">
        <v>6.9785001950982162</v>
      </c>
      <c r="AG600" s="33">
        <v>6.9785001950982162</v>
      </c>
      <c r="AH600" s="34">
        <v>13.957000390196431</v>
      </c>
      <c r="AI600" s="33">
        <v>11.63083365849702</v>
      </c>
      <c r="AJ600" s="33">
        <v>13.957000390196431</v>
      </c>
      <c r="AK600" s="33">
        <v>8.1415835609479181</v>
      </c>
      <c r="AL600" s="34">
        <v>8.1415835609479181</v>
      </c>
      <c r="AM600" s="34">
        <v>3.4892500975491081</v>
      </c>
      <c r="AN600" s="34">
        <v>5.8154168292485124</v>
      </c>
      <c r="AO600" s="34">
        <v>3.4892500975491081</v>
      </c>
      <c r="AP600" s="34">
        <v>34.892500975491082</v>
      </c>
      <c r="AQ600" s="34">
        <v>18.609333853595238</v>
      </c>
      <c r="AR600" s="39"/>
    </row>
    <row r="601" spans="1:44" ht="19.5" customHeight="1">
      <c r="A601" s="64">
        <f t="shared" ref="A601:A603" si="69">A600+1</f>
        <v>16</v>
      </c>
      <c r="B601" s="56" t="s">
        <v>5006</v>
      </c>
      <c r="C601" s="30" t="s">
        <v>230</v>
      </c>
      <c r="D601" s="56" t="s">
        <v>5007</v>
      </c>
      <c r="E601" s="30"/>
      <c r="F601" s="32">
        <v>135332.6800896849</v>
      </c>
      <c r="G601" s="32">
        <v>44586.810338023053</v>
      </c>
      <c r="H601" s="32">
        <v>179919.4904277079</v>
      </c>
      <c r="I601" s="33">
        <v>47.070179985175372</v>
      </c>
      <c r="J601" s="33">
        <v>47.070179985175372</v>
      </c>
      <c r="K601" s="34">
        <v>15.69005999505846</v>
      </c>
      <c r="L601" s="33">
        <v>25.10409599209353</v>
      </c>
      <c r="M601" s="34">
        <v>31.38011999011691</v>
      </c>
      <c r="N601" s="34">
        <v>18.82807199407015</v>
      </c>
      <c r="O601" s="33">
        <v>18.82807199407015</v>
      </c>
      <c r="P601" s="34">
        <v>37.6561439881403</v>
      </c>
      <c r="Q601" s="33">
        <v>31.38011999011691</v>
      </c>
      <c r="R601" s="33">
        <v>37.6561439881403</v>
      </c>
      <c r="S601" s="33">
        <v>21.966083993081838</v>
      </c>
      <c r="T601" s="34">
        <v>21.966083993081838</v>
      </c>
      <c r="U601" s="34">
        <v>9.4140359970350751</v>
      </c>
      <c r="V601" s="34">
        <v>15.69005999505846</v>
      </c>
      <c r="W601" s="34">
        <v>9.4140359970350751</v>
      </c>
      <c r="X601" s="34">
        <v>94.140359970350744</v>
      </c>
      <c r="Y601" s="34">
        <v>50.208191984187067</v>
      </c>
      <c r="Z601" s="34"/>
      <c r="AA601" s="33">
        <v>15.50777821132937</v>
      </c>
      <c r="AB601" s="33">
        <v>15.50777821132937</v>
      </c>
      <c r="AC601" s="34">
        <v>5.1692594037764552</v>
      </c>
      <c r="AD601" s="33">
        <v>8.2708150460423298</v>
      </c>
      <c r="AE601" s="34">
        <v>10.33851880755291</v>
      </c>
      <c r="AF601" s="34">
        <v>6.2031112845317473</v>
      </c>
      <c r="AG601" s="33">
        <v>6.2031112845317473</v>
      </c>
      <c r="AH601" s="34">
        <v>12.406222569063489</v>
      </c>
      <c r="AI601" s="33">
        <v>10.33851880755291</v>
      </c>
      <c r="AJ601" s="33">
        <v>12.406222569063489</v>
      </c>
      <c r="AK601" s="33">
        <v>7.2369631652870394</v>
      </c>
      <c r="AL601" s="34">
        <v>7.2369631652870394</v>
      </c>
      <c r="AM601" s="34">
        <v>3.1015556422658741</v>
      </c>
      <c r="AN601" s="34">
        <v>5.1692594037764552</v>
      </c>
      <c r="AO601" s="34">
        <v>3.1015556422658741</v>
      </c>
      <c r="AP601" s="34">
        <v>31.015556422658729</v>
      </c>
      <c r="AQ601" s="34">
        <v>16.54163009208466</v>
      </c>
      <c r="AR601" s="39"/>
    </row>
    <row r="602" spans="1:44" ht="19.5" customHeight="1">
      <c r="A602" s="64">
        <f t="shared" si="69"/>
        <v>17</v>
      </c>
      <c r="B602" s="56" t="s">
        <v>5008</v>
      </c>
      <c r="C602" s="79" t="s">
        <v>1369</v>
      </c>
      <c r="D602" s="56" t="s">
        <v>5009</v>
      </c>
      <c r="E602" s="30"/>
      <c r="F602" s="32">
        <v>45000</v>
      </c>
      <c r="G602" s="32">
        <v>21219.688910157551</v>
      </c>
      <c r="H602" s="32">
        <v>66219.688910157551</v>
      </c>
      <c r="I602" s="33">
        <v>15.65149007563576</v>
      </c>
      <c r="J602" s="33">
        <v>15.65149007563576</v>
      </c>
      <c r="K602" s="34">
        <v>5.2171633585452524</v>
      </c>
      <c r="L602" s="33">
        <v>8.3474613736724042</v>
      </c>
      <c r="M602" s="34">
        <v>10.434326717090499</v>
      </c>
      <c r="N602" s="34">
        <v>6.2605960302543036</v>
      </c>
      <c r="O602" s="33">
        <v>6.2605960302543036</v>
      </c>
      <c r="P602" s="34">
        <v>12.521192060508611</v>
      </c>
      <c r="Q602" s="33">
        <v>10.434326717090499</v>
      </c>
      <c r="R602" s="33">
        <v>12.521192060508611</v>
      </c>
      <c r="S602" s="33">
        <v>7.3040287019633539</v>
      </c>
      <c r="T602" s="34">
        <v>7.3040287019633539</v>
      </c>
      <c r="U602" s="34">
        <v>3.1302980151271518</v>
      </c>
      <c r="V602" s="34">
        <v>5.2171633585452524</v>
      </c>
      <c r="W602" s="34">
        <v>3.1302980151271518</v>
      </c>
      <c r="X602" s="34">
        <v>31.30298015127152</v>
      </c>
      <c r="Y602" s="34">
        <v>16.694922747344808</v>
      </c>
      <c r="Z602" s="34"/>
      <c r="AA602" s="33">
        <v>7.3804388974535353</v>
      </c>
      <c r="AB602" s="33">
        <v>7.3804388974535353</v>
      </c>
      <c r="AC602" s="34">
        <v>2.460146299151178</v>
      </c>
      <c r="AD602" s="33">
        <v>3.9362340786418848</v>
      </c>
      <c r="AE602" s="34">
        <v>4.920292598302356</v>
      </c>
      <c r="AF602" s="34">
        <v>2.952175558981414</v>
      </c>
      <c r="AG602" s="33">
        <v>2.952175558981414</v>
      </c>
      <c r="AH602" s="34">
        <v>5.9043511179628281</v>
      </c>
      <c r="AI602" s="33">
        <v>4.920292598302356</v>
      </c>
      <c r="AJ602" s="33">
        <v>5.9043511179628281</v>
      </c>
      <c r="AK602" s="33">
        <v>3.4442048188116501</v>
      </c>
      <c r="AL602" s="34">
        <v>3.4442048188116501</v>
      </c>
      <c r="AM602" s="34">
        <v>1.476087779490707</v>
      </c>
      <c r="AN602" s="34">
        <v>2.460146299151178</v>
      </c>
      <c r="AO602" s="34">
        <v>1.476087779490707</v>
      </c>
      <c r="AP602" s="34">
        <v>14.760877794907071</v>
      </c>
      <c r="AQ602" s="34">
        <v>7.8724681572837696</v>
      </c>
      <c r="AR602" s="39"/>
    </row>
    <row r="603" spans="1:44" ht="19.5" customHeight="1">
      <c r="A603" s="64">
        <f t="shared" si="69"/>
        <v>18</v>
      </c>
      <c r="B603" s="129" t="s">
        <v>133</v>
      </c>
      <c r="C603" s="30" t="s">
        <v>94</v>
      </c>
      <c r="D603" s="56" t="s">
        <v>5010</v>
      </c>
      <c r="E603" s="30"/>
      <c r="F603" s="32">
        <v>22101.098609855329</v>
      </c>
      <c r="G603" s="32">
        <v>32784.419366193411</v>
      </c>
      <c r="H603" s="32">
        <v>54885.517976048737</v>
      </c>
      <c r="I603" s="33">
        <v>7.687002790062178</v>
      </c>
      <c r="J603" s="33">
        <v>7.687002790062178</v>
      </c>
      <c r="K603" s="34">
        <v>2.5623342633540589</v>
      </c>
      <c r="L603" s="34">
        <v>4.0997348213664946</v>
      </c>
      <c r="M603" s="34">
        <v>5.1246685267081187</v>
      </c>
      <c r="N603" s="34">
        <v>3.0748011160248709</v>
      </c>
      <c r="O603" s="34">
        <v>3.0748011160248709</v>
      </c>
      <c r="P603" s="34">
        <v>6.1496022320497428</v>
      </c>
      <c r="Q603" s="34">
        <v>5.1246685267081187</v>
      </c>
      <c r="R603" s="34">
        <v>6.1496022320497428</v>
      </c>
      <c r="S603" s="34">
        <v>3.587267968695683</v>
      </c>
      <c r="T603" s="34">
        <v>3.587267968695683</v>
      </c>
      <c r="U603" s="34">
        <v>1.5374005580124359</v>
      </c>
      <c r="V603" s="34">
        <v>2.5623342633540589</v>
      </c>
      <c r="W603" s="34">
        <v>1.5374005580124359</v>
      </c>
      <c r="X603" s="34">
        <v>15.37400558012436</v>
      </c>
      <c r="Y603" s="34">
        <v>8.1994696427329909</v>
      </c>
      <c r="Z603" s="34"/>
      <c r="AA603" s="34">
        <v>11.40277809656571</v>
      </c>
      <c r="AB603" s="34">
        <v>11.40277809656571</v>
      </c>
      <c r="AC603" s="34">
        <v>3.8009260321885701</v>
      </c>
      <c r="AD603" s="34">
        <v>6.0814816515017123</v>
      </c>
      <c r="AE603" s="34">
        <v>7.6018520643771392</v>
      </c>
      <c r="AF603" s="34">
        <v>4.5611112386262844</v>
      </c>
      <c r="AG603" s="34">
        <v>4.5611112386262844</v>
      </c>
      <c r="AH603" s="34">
        <v>9.1222224772525689</v>
      </c>
      <c r="AI603" s="34">
        <v>7.6018520643771392</v>
      </c>
      <c r="AJ603" s="34">
        <v>9.1222224772525689</v>
      </c>
      <c r="AK603" s="34">
        <v>5.3212964450639983</v>
      </c>
      <c r="AL603" s="34">
        <v>5.3212964450639983</v>
      </c>
      <c r="AM603" s="34">
        <v>2.2805556193131422</v>
      </c>
      <c r="AN603" s="34">
        <v>3.8009260321885701</v>
      </c>
      <c r="AO603" s="34">
        <v>2.2805556193131422</v>
      </c>
      <c r="AP603" s="34">
        <v>22.805556193131419</v>
      </c>
      <c r="AQ603" s="34">
        <v>12.162963303003419</v>
      </c>
      <c r="AR603" s="39"/>
    </row>
    <row r="604" spans="1:44" ht="19.5" customHeight="1">
      <c r="A604" s="83"/>
      <c r="B604" s="63" t="s">
        <v>133</v>
      </c>
      <c r="C604" s="51" t="s">
        <v>389</v>
      </c>
      <c r="D604" s="63" t="s">
        <v>5011</v>
      </c>
      <c r="E604" s="51">
        <v>4</v>
      </c>
      <c r="F604" s="52">
        <v>329742.78210406587</v>
      </c>
      <c r="G604" s="52">
        <v>148751.08024464999</v>
      </c>
      <c r="H604" s="52">
        <v>478493.86234871577</v>
      </c>
      <c r="I604" s="53">
        <v>114.68813070254031</v>
      </c>
      <c r="J604" s="53">
        <v>114.68813070254031</v>
      </c>
      <c r="K604" s="54">
        <v>38.229376900846752</v>
      </c>
      <c r="L604" s="54">
        <v>61.167003041354803</v>
      </c>
      <c r="M604" s="54">
        <v>76.458753801693504</v>
      </c>
      <c r="N604" s="54">
        <v>45.87525228101611</v>
      </c>
      <c r="O604" s="54">
        <v>45.87525228101611</v>
      </c>
      <c r="P604" s="54">
        <v>91.750504562032219</v>
      </c>
      <c r="Q604" s="54">
        <v>76.458753801693504</v>
      </c>
      <c r="R604" s="54">
        <v>91.750504562032219</v>
      </c>
      <c r="S604" s="54">
        <v>53.521127661185453</v>
      </c>
      <c r="T604" s="54">
        <v>53.521127661185453</v>
      </c>
      <c r="U604" s="54">
        <v>22.937626140508051</v>
      </c>
      <c r="V604" s="54">
        <v>38.229376900846752</v>
      </c>
      <c r="W604" s="54">
        <v>22.937626140508051</v>
      </c>
      <c r="X604" s="54">
        <v>229.3762614050805</v>
      </c>
      <c r="Y604" s="54">
        <v>122.33400608270961</v>
      </c>
      <c r="Z604" s="54"/>
      <c r="AA604" s="54">
        <v>51.73724569309416</v>
      </c>
      <c r="AB604" s="54">
        <v>51.73724569309416</v>
      </c>
      <c r="AC604" s="54">
        <v>17.245748564364721</v>
      </c>
      <c r="AD604" s="54">
        <v>27.593197702983549</v>
      </c>
      <c r="AE604" s="54">
        <v>34.491497128729428</v>
      </c>
      <c r="AF604" s="54">
        <v>20.69489827723767</v>
      </c>
      <c r="AG604" s="54">
        <v>20.69489827723767</v>
      </c>
      <c r="AH604" s="54">
        <v>41.389796554475332</v>
      </c>
      <c r="AI604" s="54">
        <v>34.491497128729428</v>
      </c>
      <c r="AJ604" s="54">
        <v>41.389796554475332</v>
      </c>
      <c r="AK604" s="54">
        <v>24.144047990110611</v>
      </c>
      <c r="AL604" s="54">
        <v>24.144047990110611</v>
      </c>
      <c r="AM604" s="54">
        <v>10.347449138618829</v>
      </c>
      <c r="AN604" s="54">
        <v>17.245748564364721</v>
      </c>
      <c r="AO604" s="54">
        <v>10.347449138618829</v>
      </c>
      <c r="AP604" s="54">
        <v>103.4744913861883</v>
      </c>
      <c r="AQ604" s="54">
        <v>55.186395405967097</v>
      </c>
      <c r="AR604" s="37"/>
    </row>
    <row r="605" spans="1:44" ht="18.75" customHeight="1">
      <c r="A605" s="64">
        <f>A603+1</f>
        <v>19</v>
      </c>
      <c r="B605" s="56" t="s">
        <v>5012</v>
      </c>
      <c r="C605" s="30" t="s">
        <v>1369</v>
      </c>
      <c r="D605" s="56" t="s">
        <v>5013</v>
      </c>
      <c r="E605" s="30"/>
      <c r="F605" s="32">
        <v>60000</v>
      </c>
      <c r="G605" s="32">
        <v>21856.279577462279</v>
      </c>
      <c r="H605" s="32">
        <v>81856.279577462279</v>
      </c>
      <c r="I605" s="33">
        <v>20.868653434181009</v>
      </c>
      <c r="J605" s="33">
        <v>20.868653434181009</v>
      </c>
      <c r="K605" s="34">
        <v>6.9562178113936701</v>
      </c>
      <c r="L605" s="33">
        <v>11.12994849822987</v>
      </c>
      <c r="M605" s="34">
        <v>13.91243562278734</v>
      </c>
      <c r="N605" s="34">
        <v>8.3474613736724059</v>
      </c>
      <c r="O605" s="33">
        <v>8.3474613736724059</v>
      </c>
      <c r="P605" s="34">
        <v>16.694922747344808</v>
      </c>
      <c r="Q605" s="33">
        <v>13.91243562278734</v>
      </c>
      <c r="R605" s="33">
        <v>16.694922747344808</v>
      </c>
      <c r="S605" s="33">
        <v>9.7387049359511391</v>
      </c>
      <c r="T605" s="34">
        <v>9.7387049359511391</v>
      </c>
      <c r="U605" s="34">
        <v>4.173730686836203</v>
      </c>
      <c r="V605" s="34">
        <v>6.9562178113936701</v>
      </c>
      <c r="W605" s="34">
        <v>4.173730686836203</v>
      </c>
      <c r="X605" s="34">
        <v>41.737306868362033</v>
      </c>
      <c r="Y605" s="34">
        <v>22.259896996459752</v>
      </c>
      <c r="Z605" s="34"/>
      <c r="AA605" s="33">
        <v>7.6018520643771419</v>
      </c>
      <c r="AB605" s="33">
        <v>7.6018520643771419</v>
      </c>
      <c r="AC605" s="34">
        <v>2.5339506881257141</v>
      </c>
      <c r="AD605" s="33">
        <v>4.0543211010011424</v>
      </c>
      <c r="AE605" s="34">
        <v>5.0679013762514273</v>
      </c>
      <c r="AF605" s="34">
        <v>3.040740825750857</v>
      </c>
      <c r="AG605" s="33">
        <v>3.040740825750857</v>
      </c>
      <c r="AH605" s="34">
        <v>6.0814816515017132</v>
      </c>
      <c r="AI605" s="33">
        <v>5.0679013762514273</v>
      </c>
      <c r="AJ605" s="33">
        <v>6.0814816515017132</v>
      </c>
      <c r="AK605" s="33">
        <v>3.547530963375999</v>
      </c>
      <c r="AL605" s="34">
        <v>3.547530963375999</v>
      </c>
      <c r="AM605" s="34">
        <v>1.5203704128754281</v>
      </c>
      <c r="AN605" s="34">
        <v>2.5339506881257141</v>
      </c>
      <c r="AO605" s="34">
        <v>1.5203704128754281</v>
      </c>
      <c r="AP605" s="34">
        <v>15.20370412875428</v>
      </c>
      <c r="AQ605" s="34">
        <v>8.1086422020022848</v>
      </c>
      <c r="AR605" s="39"/>
    </row>
    <row r="606" spans="1:44" ht="18.75" customHeight="1">
      <c r="A606" s="64">
        <f t="shared" ref="A606:A611" si="70">A605+1</f>
        <v>20</v>
      </c>
      <c r="B606" s="41" t="s">
        <v>133</v>
      </c>
      <c r="C606" s="30" t="s">
        <v>94</v>
      </c>
      <c r="D606" s="56" t="s">
        <v>5014</v>
      </c>
      <c r="E606" s="30"/>
      <c r="F606" s="32">
        <v>20904.451747346691</v>
      </c>
      <c r="G606" s="32">
        <v>21856.279577462279</v>
      </c>
      <c r="H606" s="32">
        <v>42760.73132480897</v>
      </c>
      <c r="I606" s="33">
        <v>7.27079597911563</v>
      </c>
      <c r="J606" s="33">
        <v>7.27079597911563</v>
      </c>
      <c r="K606" s="34">
        <v>2.4235986597052102</v>
      </c>
      <c r="L606" s="33">
        <v>3.8777578555283361</v>
      </c>
      <c r="M606" s="34">
        <v>4.8471973194104194</v>
      </c>
      <c r="N606" s="34">
        <v>2.9083183916462518</v>
      </c>
      <c r="O606" s="33">
        <v>2.9083183916462518</v>
      </c>
      <c r="P606" s="34">
        <v>5.8166367832925054</v>
      </c>
      <c r="Q606" s="33">
        <v>4.8471973194104194</v>
      </c>
      <c r="R606" s="33">
        <v>5.8166367832925054</v>
      </c>
      <c r="S606" s="33">
        <v>3.393038123587294</v>
      </c>
      <c r="T606" s="34">
        <v>3.393038123587294</v>
      </c>
      <c r="U606" s="34">
        <v>1.4541591958231259</v>
      </c>
      <c r="V606" s="34">
        <v>2.4235986597052102</v>
      </c>
      <c r="W606" s="34">
        <v>1.4541591958231259</v>
      </c>
      <c r="X606" s="34">
        <v>14.54159195823126</v>
      </c>
      <c r="Y606" s="34">
        <v>7.7555157110566721</v>
      </c>
      <c r="Z606" s="54"/>
      <c r="AA606" s="53">
        <v>7.6018520643771419</v>
      </c>
      <c r="AB606" s="53">
        <v>7.6018520643771419</v>
      </c>
      <c r="AC606" s="54">
        <v>2.5339506881257141</v>
      </c>
      <c r="AD606" s="53">
        <v>4.0543211010011424</v>
      </c>
      <c r="AE606" s="54">
        <v>5.0679013762514273</v>
      </c>
      <c r="AF606" s="54">
        <v>3.040740825750857</v>
      </c>
      <c r="AG606" s="53">
        <v>3.040740825750857</v>
      </c>
      <c r="AH606" s="54">
        <v>6.0814816515017132</v>
      </c>
      <c r="AI606" s="53">
        <v>5.0679013762514273</v>
      </c>
      <c r="AJ606" s="53">
        <v>6.0814816515017132</v>
      </c>
      <c r="AK606" s="53">
        <v>3.547530963375999</v>
      </c>
      <c r="AL606" s="54">
        <v>3.547530963375999</v>
      </c>
      <c r="AM606" s="54">
        <v>1.5203704128754281</v>
      </c>
      <c r="AN606" s="54">
        <v>2.5339506881257141</v>
      </c>
      <c r="AO606" s="54">
        <v>1.5203704128754281</v>
      </c>
      <c r="AP606" s="54">
        <v>15.20370412875428</v>
      </c>
      <c r="AQ606" s="54">
        <v>8.1086422020022848</v>
      </c>
      <c r="AR606" s="37"/>
    </row>
    <row r="607" spans="1:44" ht="18.75" customHeight="1">
      <c r="A607" s="64">
        <f t="shared" si="70"/>
        <v>21</v>
      </c>
      <c r="B607" s="41" t="s">
        <v>133</v>
      </c>
      <c r="C607" s="30" t="s">
        <v>94</v>
      </c>
      <c r="D607" s="56" t="s">
        <v>5015</v>
      </c>
      <c r="E607" s="30"/>
      <c r="F607" s="32">
        <v>10452.225873673349</v>
      </c>
      <c r="G607" s="32">
        <v>10928.13978873114</v>
      </c>
      <c r="H607" s="32">
        <v>21380.365662404489</v>
      </c>
      <c r="I607" s="33">
        <v>3.635397989557815</v>
      </c>
      <c r="J607" s="33">
        <v>3.635397989557815</v>
      </c>
      <c r="K607" s="34">
        <v>1.2117993298526051</v>
      </c>
      <c r="L607" s="33">
        <v>1.938878927764168</v>
      </c>
      <c r="M607" s="34">
        <v>2.4235986597052102</v>
      </c>
      <c r="N607" s="34">
        <v>1.4541591958231259</v>
      </c>
      <c r="O607" s="33">
        <v>1.4541591958231259</v>
      </c>
      <c r="P607" s="34">
        <v>2.9083183916462518</v>
      </c>
      <c r="Q607" s="33">
        <v>2.4235986597052102</v>
      </c>
      <c r="R607" s="33">
        <v>2.9083183916462518</v>
      </c>
      <c r="S607" s="33">
        <v>1.696519061793647</v>
      </c>
      <c r="T607" s="34">
        <v>1.696519061793647</v>
      </c>
      <c r="U607" s="34">
        <v>0.72707959791156307</v>
      </c>
      <c r="V607" s="34">
        <v>1.2117993298526051</v>
      </c>
      <c r="W607" s="34">
        <v>0.72707959791156307</v>
      </c>
      <c r="X607" s="34">
        <v>7.27079597911563</v>
      </c>
      <c r="Y607" s="34">
        <v>3.8777578555283361</v>
      </c>
      <c r="Z607" s="34"/>
      <c r="AA607" s="33">
        <v>3.8009260321885709</v>
      </c>
      <c r="AB607" s="33">
        <v>3.8009260321885709</v>
      </c>
      <c r="AC607" s="34">
        <v>1.2669753440628571</v>
      </c>
      <c r="AD607" s="33">
        <v>2.0271605505005712</v>
      </c>
      <c r="AE607" s="34">
        <v>2.5339506881257141</v>
      </c>
      <c r="AF607" s="34">
        <v>1.5203704128754281</v>
      </c>
      <c r="AG607" s="33">
        <v>1.5203704128754281</v>
      </c>
      <c r="AH607" s="34">
        <v>3.040740825750857</v>
      </c>
      <c r="AI607" s="33">
        <v>2.5339506881257141</v>
      </c>
      <c r="AJ607" s="33">
        <v>3.040740825750857</v>
      </c>
      <c r="AK607" s="33">
        <v>1.773765481688</v>
      </c>
      <c r="AL607" s="34">
        <v>1.773765481688</v>
      </c>
      <c r="AM607" s="34">
        <v>0.76018520643771414</v>
      </c>
      <c r="AN607" s="34">
        <v>1.2669753440628571</v>
      </c>
      <c r="AO607" s="34">
        <v>0.76018520643771414</v>
      </c>
      <c r="AP607" s="34">
        <v>7.6018520643771419</v>
      </c>
      <c r="AQ607" s="34">
        <v>4.0543211010011424</v>
      </c>
      <c r="AR607" s="37"/>
    </row>
    <row r="608" spans="1:44" ht="18.75" customHeight="1">
      <c r="A608" s="64">
        <f t="shared" si="70"/>
        <v>22</v>
      </c>
      <c r="B608" s="41" t="s">
        <v>133</v>
      </c>
      <c r="C608" s="30" t="s">
        <v>94</v>
      </c>
      <c r="D608" s="56" t="s">
        <v>5016</v>
      </c>
      <c r="E608" s="30"/>
      <c r="F608" s="32">
        <v>15678.33881051002</v>
      </c>
      <c r="G608" s="32">
        <v>16392.209683096709</v>
      </c>
      <c r="H608" s="32">
        <v>32070.548493606719</v>
      </c>
      <c r="I608" s="33">
        <v>5.4530969843367219</v>
      </c>
      <c r="J608" s="33">
        <v>5.4530969843367219</v>
      </c>
      <c r="K608" s="34">
        <v>1.8176989947789071</v>
      </c>
      <c r="L608" s="33">
        <v>2.9083183916462518</v>
      </c>
      <c r="M608" s="34">
        <v>3.6353979895578141</v>
      </c>
      <c r="N608" s="34">
        <v>2.1812387937346891</v>
      </c>
      <c r="O608" s="33">
        <v>2.1812387937346891</v>
      </c>
      <c r="P608" s="34">
        <v>4.3624775874693782</v>
      </c>
      <c r="Q608" s="33">
        <v>3.6353979895578141</v>
      </c>
      <c r="R608" s="33">
        <v>4.3624775874693782</v>
      </c>
      <c r="S608" s="33">
        <v>2.54477859269047</v>
      </c>
      <c r="T608" s="34">
        <v>2.54477859269047</v>
      </c>
      <c r="U608" s="34">
        <v>1.090619396867345</v>
      </c>
      <c r="V608" s="34">
        <v>1.8176989947789071</v>
      </c>
      <c r="W608" s="34">
        <v>1.090619396867345</v>
      </c>
      <c r="X608" s="34">
        <v>10.90619396867344</v>
      </c>
      <c r="Y608" s="34">
        <v>5.8166367832925037</v>
      </c>
      <c r="Z608" s="34"/>
      <c r="AA608" s="33">
        <v>5.7013890482828549</v>
      </c>
      <c r="AB608" s="33">
        <v>5.7013890482828549</v>
      </c>
      <c r="AC608" s="34">
        <v>1.900463016094285</v>
      </c>
      <c r="AD608" s="33">
        <v>3.0407408257508561</v>
      </c>
      <c r="AE608" s="34">
        <v>3.8009260321885701</v>
      </c>
      <c r="AF608" s="34">
        <v>2.2805556193131422</v>
      </c>
      <c r="AG608" s="33">
        <v>2.2805556193131422</v>
      </c>
      <c r="AH608" s="34">
        <v>4.5611112386262844</v>
      </c>
      <c r="AI608" s="33">
        <v>3.8009260321885701</v>
      </c>
      <c r="AJ608" s="33">
        <v>4.5611112386262844</v>
      </c>
      <c r="AK608" s="33">
        <v>2.6606482225319992</v>
      </c>
      <c r="AL608" s="34">
        <v>2.6606482225319992</v>
      </c>
      <c r="AM608" s="34">
        <v>1.1402778096565711</v>
      </c>
      <c r="AN608" s="34">
        <v>1.900463016094285</v>
      </c>
      <c r="AO608" s="34">
        <v>1.1402778096565711</v>
      </c>
      <c r="AP608" s="34">
        <v>11.40277809656571</v>
      </c>
      <c r="AQ608" s="34">
        <v>6.0814816515017123</v>
      </c>
      <c r="AR608" s="37"/>
    </row>
    <row r="609" spans="1:44" ht="18.75" customHeight="1">
      <c r="A609" s="64">
        <f t="shared" si="70"/>
        <v>23</v>
      </c>
      <c r="B609" s="41" t="s">
        <v>133</v>
      </c>
      <c r="C609" s="30" t="s">
        <v>94</v>
      </c>
      <c r="D609" s="56" t="s">
        <v>5017</v>
      </c>
      <c r="E609" s="30"/>
      <c r="F609" s="32">
        <v>31356.677621020041</v>
      </c>
      <c r="G609" s="32">
        <v>32784.419366193411</v>
      </c>
      <c r="H609" s="32">
        <v>64141.096987213437</v>
      </c>
      <c r="I609" s="33">
        <v>10.90619396867344</v>
      </c>
      <c r="J609" s="33">
        <v>10.90619396867344</v>
      </c>
      <c r="K609" s="34">
        <v>3.6353979895578141</v>
      </c>
      <c r="L609" s="33">
        <v>5.8166367832925037</v>
      </c>
      <c r="M609" s="34">
        <v>7.2707959791156282</v>
      </c>
      <c r="N609" s="34">
        <v>4.3624775874693782</v>
      </c>
      <c r="O609" s="33">
        <v>4.3624775874693782</v>
      </c>
      <c r="P609" s="34">
        <v>8.7249551749387564</v>
      </c>
      <c r="Q609" s="33">
        <v>7.2707959791156282</v>
      </c>
      <c r="R609" s="33">
        <v>8.7249551749387564</v>
      </c>
      <c r="S609" s="33">
        <v>5.0895571853809409</v>
      </c>
      <c r="T609" s="34">
        <v>5.0895571853809409</v>
      </c>
      <c r="U609" s="34">
        <v>2.1812387937346891</v>
      </c>
      <c r="V609" s="34">
        <v>3.6353979895578141</v>
      </c>
      <c r="W609" s="34">
        <v>2.1812387937346891</v>
      </c>
      <c r="X609" s="34">
        <v>21.812387937346891</v>
      </c>
      <c r="Y609" s="34">
        <v>11.633273566585011</v>
      </c>
      <c r="Z609" s="34"/>
      <c r="AA609" s="33">
        <v>11.40277809656571</v>
      </c>
      <c r="AB609" s="33">
        <v>11.40277809656571</v>
      </c>
      <c r="AC609" s="34">
        <v>3.8009260321885701</v>
      </c>
      <c r="AD609" s="33">
        <v>6.0814816515017123</v>
      </c>
      <c r="AE609" s="34">
        <v>7.6018520643771392</v>
      </c>
      <c r="AF609" s="34">
        <v>4.5611112386262844</v>
      </c>
      <c r="AG609" s="33">
        <v>4.5611112386262844</v>
      </c>
      <c r="AH609" s="34">
        <v>9.1222224772525689</v>
      </c>
      <c r="AI609" s="33">
        <v>7.6018520643771392</v>
      </c>
      <c r="AJ609" s="33">
        <v>9.1222224772525689</v>
      </c>
      <c r="AK609" s="33">
        <v>5.3212964450639983</v>
      </c>
      <c r="AL609" s="34">
        <v>5.3212964450639983</v>
      </c>
      <c r="AM609" s="34">
        <v>2.2805556193131422</v>
      </c>
      <c r="AN609" s="34">
        <v>3.8009260321885701</v>
      </c>
      <c r="AO609" s="34">
        <v>2.2805556193131422</v>
      </c>
      <c r="AP609" s="34">
        <v>22.805556193131419</v>
      </c>
      <c r="AQ609" s="34">
        <v>12.162963303003419</v>
      </c>
      <c r="AR609" s="39"/>
    </row>
    <row r="610" spans="1:44" ht="18.75" customHeight="1">
      <c r="A610" s="64">
        <f t="shared" si="70"/>
        <v>24</v>
      </c>
      <c r="B610" s="56" t="s">
        <v>5018</v>
      </c>
      <c r="C610" s="30" t="s">
        <v>1369</v>
      </c>
      <c r="D610" s="56" t="s">
        <v>5019</v>
      </c>
      <c r="E610" s="30"/>
      <c r="F610" s="32">
        <v>60000</v>
      </c>
      <c r="G610" s="32">
        <v>21856.279577462279</v>
      </c>
      <c r="H610" s="32">
        <v>81856.279577462279</v>
      </c>
      <c r="I610" s="33">
        <v>20.868653434181009</v>
      </c>
      <c r="J610" s="33">
        <v>20.868653434181009</v>
      </c>
      <c r="K610" s="34">
        <v>6.9562178113936701</v>
      </c>
      <c r="L610" s="33">
        <v>11.12994849822987</v>
      </c>
      <c r="M610" s="34">
        <v>13.91243562278734</v>
      </c>
      <c r="N610" s="34">
        <v>8.3474613736724059</v>
      </c>
      <c r="O610" s="33">
        <v>8.3474613736724059</v>
      </c>
      <c r="P610" s="34">
        <v>16.694922747344808</v>
      </c>
      <c r="Q610" s="33">
        <v>13.91243562278734</v>
      </c>
      <c r="R610" s="33">
        <v>16.694922747344808</v>
      </c>
      <c r="S610" s="33">
        <v>9.7387049359511391</v>
      </c>
      <c r="T610" s="34">
        <v>9.7387049359511391</v>
      </c>
      <c r="U610" s="34">
        <v>4.173730686836203</v>
      </c>
      <c r="V610" s="34">
        <v>6.9562178113936701</v>
      </c>
      <c r="W610" s="34">
        <v>4.173730686836203</v>
      </c>
      <c r="X610" s="34">
        <v>41.737306868362033</v>
      </c>
      <c r="Y610" s="34">
        <v>22.259896996459752</v>
      </c>
      <c r="Z610" s="34"/>
      <c r="AA610" s="33">
        <v>7.6018520643771419</v>
      </c>
      <c r="AB610" s="33">
        <v>7.6018520643771419</v>
      </c>
      <c r="AC610" s="34">
        <v>2.5339506881257141</v>
      </c>
      <c r="AD610" s="33">
        <v>4.0543211010011424</v>
      </c>
      <c r="AE610" s="34">
        <v>5.0679013762514273</v>
      </c>
      <c r="AF610" s="34">
        <v>3.040740825750857</v>
      </c>
      <c r="AG610" s="33">
        <v>3.040740825750857</v>
      </c>
      <c r="AH610" s="34">
        <v>6.0814816515017132</v>
      </c>
      <c r="AI610" s="33">
        <v>5.0679013762514273</v>
      </c>
      <c r="AJ610" s="33">
        <v>6.0814816515017132</v>
      </c>
      <c r="AK610" s="33">
        <v>3.547530963375999</v>
      </c>
      <c r="AL610" s="34">
        <v>3.547530963375999</v>
      </c>
      <c r="AM610" s="34">
        <v>1.5203704128754281</v>
      </c>
      <c r="AN610" s="34">
        <v>2.5339506881257141</v>
      </c>
      <c r="AO610" s="34">
        <v>1.5203704128754281</v>
      </c>
      <c r="AP610" s="34">
        <v>15.20370412875428</v>
      </c>
      <c r="AQ610" s="34">
        <v>8.1086422020022848</v>
      </c>
      <c r="AR610" s="37"/>
    </row>
    <row r="611" spans="1:44" ht="18.75" customHeight="1">
      <c r="A611" s="64">
        <f t="shared" si="70"/>
        <v>25</v>
      </c>
      <c r="B611" s="56" t="s">
        <v>5020</v>
      </c>
      <c r="C611" s="30" t="s">
        <v>230</v>
      </c>
      <c r="D611" s="56" t="s">
        <v>5021</v>
      </c>
      <c r="E611" s="30"/>
      <c r="F611" s="32">
        <v>147635.65100692891</v>
      </c>
      <c r="G611" s="32">
        <v>33440.107753517281</v>
      </c>
      <c r="H611" s="32">
        <v>181075.75876044619</v>
      </c>
      <c r="I611" s="33">
        <v>51.349287256554952</v>
      </c>
      <c r="J611" s="33">
        <v>51.349287256554952</v>
      </c>
      <c r="K611" s="34">
        <v>17.11642908551832</v>
      </c>
      <c r="L611" s="33">
        <v>27.38628653682931</v>
      </c>
      <c r="M611" s="34">
        <v>34.232858171036632</v>
      </c>
      <c r="N611" s="34">
        <v>20.539714902621981</v>
      </c>
      <c r="O611" s="33">
        <v>20.539714902621981</v>
      </c>
      <c r="P611" s="34">
        <v>41.079429805243961</v>
      </c>
      <c r="Q611" s="33">
        <v>34.232858171036632</v>
      </c>
      <c r="R611" s="33">
        <v>41.079429805243961</v>
      </c>
      <c r="S611" s="33">
        <v>23.963000719725649</v>
      </c>
      <c r="T611" s="34">
        <v>23.963000719725649</v>
      </c>
      <c r="U611" s="34">
        <v>10.26985745131099</v>
      </c>
      <c r="V611" s="34">
        <v>17.11642908551832</v>
      </c>
      <c r="W611" s="34">
        <v>10.26985745131099</v>
      </c>
      <c r="X611" s="34">
        <v>102.6985745131099</v>
      </c>
      <c r="Y611" s="34">
        <v>54.772573073658613</v>
      </c>
      <c r="Z611" s="34"/>
      <c r="AA611" s="33">
        <v>11.63083365849702</v>
      </c>
      <c r="AB611" s="33">
        <v>11.63083365849702</v>
      </c>
      <c r="AC611" s="34">
        <v>3.8769445528323412</v>
      </c>
      <c r="AD611" s="33">
        <v>6.2031112845317473</v>
      </c>
      <c r="AE611" s="34">
        <v>7.7538891056646824</v>
      </c>
      <c r="AF611" s="34">
        <v>4.6523334633988096</v>
      </c>
      <c r="AG611" s="33">
        <v>4.6523334633988096</v>
      </c>
      <c r="AH611" s="34">
        <v>9.304666926797621</v>
      </c>
      <c r="AI611" s="33">
        <v>7.7538891056646824</v>
      </c>
      <c r="AJ611" s="33">
        <v>9.304666926797621</v>
      </c>
      <c r="AK611" s="33">
        <v>5.4277223739652776</v>
      </c>
      <c r="AL611" s="34">
        <v>5.4277223739652776</v>
      </c>
      <c r="AM611" s="34">
        <v>2.3261667316994048</v>
      </c>
      <c r="AN611" s="34">
        <v>3.8769445528323412</v>
      </c>
      <c r="AO611" s="34">
        <v>2.3261667316994048</v>
      </c>
      <c r="AP611" s="34">
        <v>23.26166731699405</v>
      </c>
      <c r="AQ611" s="34">
        <v>12.406222569063489</v>
      </c>
      <c r="AR611" s="244"/>
    </row>
    <row r="612" spans="1:44" ht="18.75" customHeight="1">
      <c r="A612" s="83"/>
      <c r="B612" s="63" t="s">
        <v>133</v>
      </c>
      <c r="C612" s="51" t="s">
        <v>389</v>
      </c>
      <c r="D612" s="63" t="s">
        <v>5022</v>
      </c>
      <c r="E612" s="51">
        <v>7</v>
      </c>
      <c r="F612" s="52">
        <v>346027.345059479</v>
      </c>
      <c r="G612" s="52">
        <v>159113.7153239254</v>
      </c>
      <c r="H612" s="52">
        <v>505141.06038340437</v>
      </c>
      <c r="I612" s="33">
        <v>120.35207904660059</v>
      </c>
      <c r="J612" s="33">
        <v>120.35207904660059</v>
      </c>
      <c r="K612" s="34">
        <v>40.117359682200188</v>
      </c>
      <c r="L612" s="33">
        <v>64.187775491520313</v>
      </c>
      <c r="M612" s="34">
        <v>80.234719364400377</v>
      </c>
      <c r="N612" s="34">
        <v>48.140831618640227</v>
      </c>
      <c r="O612" s="33">
        <v>48.140831618640227</v>
      </c>
      <c r="P612" s="34">
        <v>96.281663237280469</v>
      </c>
      <c r="Q612" s="33">
        <v>80.234719364400377</v>
      </c>
      <c r="R612" s="33">
        <v>96.281663237280469</v>
      </c>
      <c r="S612" s="33">
        <v>56.164303555080267</v>
      </c>
      <c r="T612" s="34">
        <v>56.164303555080267</v>
      </c>
      <c r="U612" s="34">
        <v>24.070415809320121</v>
      </c>
      <c r="V612" s="34">
        <v>40.117359682200188</v>
      </c>
      <c r="W612" s="34">
        <v>24.070415809320121</v>
      </c>
      <c r="X612" s="34">
        <v>240.70415809320119</v>
      </c>
      <c r="Y612" s="34">
        <v>128.3755509830406</v>
      </c>
      <c r="Z612" s="34"/>
      <c r="AA612" s="33">
        <v>55.341483028665593</v>
      </c>
      <c r="AB612" s="33">
        <v>55.341483028665593</v>
      </c>
      <c r="AC612" s="34">
        <v>18.447161009555192</v>
      </c>
      <c r="AD612" s="33">
        <v>29.515457615288309</v>
      </c>
      <c r="AE612" s="34">
        <v>36.894322019110383</v>
      </c>
      <c r="AF612" s="34">
        <v>22.136593211466231</v>
      </c>
      <c r="AG612" s="33">
        <v>22.136593211466231</v>
      </c>
      <c r="AH612" s="34">
        <v>44.273186422932469</v>
      </c>
      <c r="AI612" s="33">
        <v>36.894322019110383</v>
      </c>
      <c r="AJ612" s="33">
        <v>44.273186422932469</v>
      </c>
      <c r="AK612" s="33">
        <v>25.82602541337727</v>
      </c>
      <c r="AL612" s="34">
        <v>25.82602541337727</v>
      </c>
      <c r="AM612" s="34">
        <v>11.068296605733121</v>
      </c>
      <c r="AN612" s="34">
        <v>18.447161009555192</v>
      </c>
      <c r="AO612" s="34">
        <v>11.068296605733121</v>
      </c>
      <c r="AP612" s="34">
        <v>110.6829660573312</v>
      </c>
      <c r="AQ612" s="34">
        <v>59.030915230576618</v>
      </c>
      <c r="AR612" s="39"/>
    </row>
    <row r="613" spans="1:44" ht="19.5" customHeight="1">
      <c r="A613" s="64">
        <f>A611+1</f>
        <v>26</v>
      </c>
      <c r="B613" s="81" t="s">
        <v>133</v>
      </c>
      <c r="C613" s="26" t="s">
        <v>94</v>
      </c>
      <c r="D613" s="56" t="s">
        <v>5023</v>
      </c>
      <c r="E613" s="30">
        <v>1</v>
      </c>
      <c r="F613" s="32">
        <v>30000</v>
      </c>
      <c r="G613" s="32">
        <v>33951.502256252083</v>
      </c>
      <c r="H613" s="32">
        <v>63951.502256252083</v>
      </c>
      <c r="I613" s="53">
        <v>10.43432671709051</v>
      </c>
      <c r="J613" s="53">
        <v>10.43432671709051</v>
      </c>
      <c r="K613" s="54">
        <v>3.4781089056968351</v>
      </c>
      <c r="L613" s="53">
        <v>5.564974249114937</v>
      </c>
      <c r="M613" s="54">
        <v>6.9562178113936701</v>
      </c>
      <c r="N613" s="54">
        <v>4.173730686836203</v>
      </c>
      <c r="O613" s="53">
        <v>4.173730686836203</v>
      </c>
      <c r="P613" s="54">
        <v>8.3474613736724059</v>
      </c>
      <c r="Q613" s="53">
        <v>6.9562178113936701</v>
      </c>
      <c r="R613" s="53">
        <v>8.3474613736724059</v>
      </c>
      <c r="S613" s="53">
        <v>4.8693524679755704</v>
      </c>
      <c r="T613" s="54">
        <v>4.8693524679755704</v>
      </c>
      <c r="U613" s="54">
        <v>2.086865343418101</v>
      </c>
      <c r="V613" s="54">
        <v>3.4781089056968351</v>
      </c>
      <c r="W613" s="54">
        <v>2.086865343418101</v>
      </c>
      <c r="X613" s="54">
        <v>20.868653434181009</v>
      </c>
      <c r="Y613" s="54">
        <v>11.12994849822987</v>
      </c>
      <c r="Z613" s="34"/>
      <c r="AA613" s="33">
        <v>11.80870223592566</v>
      </c>
      <c r="AB613" s="33">
        <v>11.80870223592566</v>
      </c>
      <c r="AC613" s="34">
        <v>3.9362340786418848</v>
      </c>
      <c r="AD613" s="33">
        <v>6.2979745258270166</v>
      </c>
      <c r="AE613" s="34">
        <v>7.8724681572837696</v>
      </c>
      <c r="AF613" s="34">
        <v>4.7234808943702626</v>
      </c>
      <c r="AG613" s="33">
        <v>4.7234808943702626</v>
      </c>
      <c r="AH613" s="34">
        <v>9.4469617887405253</v>
      </c>
      <c r="AI613" s="33">
        <v>7.8724681572837696</v>
      </c>
      <c r="AJ613" s="33">
        <v>9.4469617887405253</v>
      </c>
      <c r="AK613" s="33">
        <v>5.5107277100986396</v>
      </c>
      <c r="AL613" s="34">
        <v>5.5107277100986396</v>
      </c>
      <c r="AM613" s="34">
        <v>2.3617404471851309</v>
      </c>
      <c r="AN613" s="34">
        <v>3.9362340786418848</v>
      </c>
      <c r="AO613" s="34">
        <v>2.3617404471851309</v>
      </c>
      <c r="AP613" s="34">
        <v>23.617404471851309</v>
      </c>
      <c r="AQ613" s="34">
        <v>12.59594905165403</v>
      </c>
      <c r="AR613" s="39"/>
    </row>
    <row r="614" spans="1:44" ht="19.5" customHeight="1">
      <c r="A614" s="90"/>
      <c r="B614" s="118" t="s">
        <v>2164</v>
      </c>
      <c r="C614" s="67" t="s">
        <v>2324</v>
      </c>
      <c r="D614" s="93" t="s">
        <v>5024</v>
      </c>
      <c r="E614" s="67">
        <f>E613+E612+E604+E599+E594+E588</f>
        <v>26</v>
      </c>
      <c r="F614" s="68">
        <v>1957725.092269307</v>
      </c>
      <c r="G614" s="68">
        <v>797764.81442182814</v>
      </c>
      <c r="H614" s="68">
        <v>2755489.9066911358</v>
      </c>
      <c r="I614" s="33">
        <v>680.91810783280368</v>
      </c>
      <c r="J614" s="33">
        <v>680.91810783280368</v>
      </c>
      <c r="K614" s="34">
        <v>226.9727026109345</v>
      </c>
      <c r="L614" s="33">
        <v>363.15632417749532</v>
      </c>
      <c r="M614" s="34">
        <v>453.94540522186912</v>
      </c>
      <c r="N614" s="34">
        <v>272.36724313312152</v>
      </c>
      <c r="O614" s="33">
        <v>272.36724313312152</v>
      </c>
      <c r="P614" s="34">
        <v>544.73448626624293</v>
      </c>
      <c r="Q614" s="33">
        <v>453.94540522186912</v>
      </c>
      <c r="R614" s="33">
        <v>544.73448626624293</v>
      </c>
      <c r="S614" s="33">
        <v>317.76178365530842</v>
      </c>
      <c r="T614" s="34">
        <v>317.76178365530842</v>
      </c>
      <c r="U614" s="34">
        <v>136.1836215665607</v>
      </c>
      <c r="V614" s="34">
        <v>226.9727026109345</v>
      </c>
      <c r="W614" s="34">
        <v>136.1836215665607</v>
      </c>
      <c r="X614" s="34">
        <v>1361.8362156656069</v>
      </c>
      <c r="Y614" s="34">
        <v>726.31264835499064</v>
      </c>
      <c r="Z614" s="34"/>
      <c r="AA614" s="33">
        <v>277.47129056921432</v>
      </c>
      <c r="AB614" s="33">
        <v>277.47129056921432</v>
      </c>
      <c r="AC614" s="34">
        <v>92.490430189738106</v>
      </c>
      <c r="AD614" s="33">
        <v>147.98468830358101</v>
      </c>
      <c r="AE614" s="34">
        <v>184.98086037947621</v>
      </c>
      <c r="AF614" s="34">
        <v>110.98851622768569</v>
      </c>
      <c r="AG614" s="33">
        <v>110.98851622768569</v>
      </c>
      <c r="AH614" s="34">
        <v>221.9770324553715</v>
      </c>
      <c r="AI614" s="33">
        <v>184.98086037947621</v>
      </c>
      <c r="AJ614" s="33">
        <v>221.9770324553715</v>
      </c>
      <c r="AK614" s="33">
        <v>129.48660226563339</v>
      </c>
      <c r="AL614" s="34">
        <v>129.48660226563339</v>
      </c>
      <c r="AM614" s="34">
        <v>55.494258113842868</v>
      </c>
      <c r="AN614" s="34">
        <v>92.490430189738106</v>
      </c>
      <c r="AO614" s="34">
        <v>55.494258113842868</v>
      </c>
      <c r="AP614" s="34">
        <v>554.94258113842864</v>
      </c>
      <c r="AQ614" s="34">
        <v>295.96937660716202</v>
      </c>
      <c r="AR614" s="39"/>
    </row>
    <row r="615" spans="1:44" ht="19.5" customHeight="1">
      <c r="A615" s="30"/>
      <c r="B615" s="56"/>
      <c r="C615" s="30"/>
      <c r="D615" s="56"/>
      <c r="E615" s="30"/>
      <c r="F615" s="32"/>
      <c r="G615" s="32"/>
      <c r="H615" s="32">
        <v>0</v>
      </c>
      <c r="I615" s="33">
        <v>0</v>
      </c>
      <c r="J615" s="33">
        <v>0</v>
      </c>
      <c r="K615" s="34">
        <v>0</v>
      </c>
      <c r="L615" s="33">
        <v>0</v>
      </c>
      <c r="M615" s="34">
        <v>0</v>
      </c>
      <c r="N615" s="34">
        <v>0</v>
      </c>
      <c r="O615" s="33">
        <v>0</v>
      </c>
      <c r="P615" s="34">
        <v>0</v>
      </c>
      <c r="Q615" s="33">
        <v>0</v>
      </c>
      <c r="R615" s="33">
        <v>0</v>
      </c>
      <c r="S615" s="33">
        <v>0</v>
      </c>
      <c r="T615" s="34">
        <v>0</v>
      </c>
      <c r="U615" s="34">
        <v>0</v>
      </c>
      <c r="V615" s="34">
        <v>0</v>
      </c>
      <c r="W615" s="34">
        <v>0</v>
      </c>
      <c r="X615" s="34">
        <v>0</v>
      </c>
      <c r="Y615" s="34">
        <v>0</v>
      </c>
      <c r="Z615" s="34"/>
      <c r="AA615" s="33">
        <v>0</v>
      </c>
      <c r="AB615" s="33">
        <v>0</v>
      </c>
      <c r="AC615" s="34">
        <v>0</v>
      </c>
      <c r="AD615" s="33">
        <v>0</v>
      </c>
      <c r="AE615" s="34">
        <v>0</v>
      </c>
      <c r="AF615" s="34">
        <v>0</v>
      </c>
      <c r="AG615" s="33">
        <v>0</v>
      </c>
      <c r="AH615" s="34">
        <v>0</v>
      </c>
      <c r="AI615" s="33">
        <v>0</v>
      </c>
      <c r="AJ615" s="33">
        <v>0</v>
      </c>
      <c r="AK615" s="33">
        <v>0</v>
      </c>
      <c r="AL615" s="34">
        <v>0</v>
      </c>
      <c r="AM615" s="34">
        <v>0</v>
      </c>
      <c r="AN615" s="34">
        <v>0</v>
      </c>
      <c r="AO615" s="34">
        <v>0</v>
      </c>
      <c r="AP615" s="34">
        <v>0</v>
      </c>
      <c r="AQ615" s="34">
        <v>0</v>
      </c>
      <c r="AR615" s="37"/>
    </row>
    <row r="616" spans="1:44" ht="19.5" customHeight="1">
      <c r="A616" s="76" t="s">
        <v>5025</v>
      </c>
      <c r="B616" s="245"/>
      <c r="C616" s="246"/>
      <c r="D616" s="247"/>
      <c r="E616" s="246"/>
      <c r="F616" s="32"/>
      <c r="G616" s="32"/>
      <c r="H616" s="32">
        <v>0</v>
      </c>
      <c r="I616" s="33">
        <v>0</v>
      </c>
      <c r="J616" s="33">
        <v>0</v>
      </c>
      <c r="K616" s="34">
        <v>0</v>
      </c>
      <c r="L616" s="33">
        <v>0</v>
      </c>
      <c r="M616" s="34">
        <v>0</v>
      </c>
      <c r="N616" s="34">
        <v>0</v>
      </c>
      <c r="O616" s="33">
        <v>0</v>
      </c>
      <c r="P616" s="34">
        <v>0</v>
      </c>
      <c r="Q616" s="33">
        <v>0</v>
      </c>
      <c r="R616" s="33">
        <v>0</v>
      </c>
      <c r="S616" s="33">
        <v>0</v>
      </c>
      <c r="T616" s="34">
        <v>0</v>
      </c>
      <c r="U616" s="34">
        <v>0</v>
      </c>
      <c r="V616" s="34">
        <v>0</v>
      </c>
      <c r="W616" s="34">
        <v>0</v>
      </c>
      <c r="X616" s="34">
        <v>0</v>
      </c>
      <c r="Y616" s="34">
        <v>0</v>
      </c>
      <c r="Z616" s="34"/>
      <c r="AA616" s="33">
        <v>0</v>
      </c>
      <c r="AB616" s="33">
        <v>0</v>
      </c>
      <c r="AC616" s="34">
        <v>0</v>
      </c>
      <c r="AD616" s="33">
        <v>0</v>
      </c>
      <c r="AE616" s="34">
        <v>0</v>
      </c>
      <c r="AF616" s="34">
        <v>0</v>
      </c>
      <c r="AG616" s="33">
        <v>0</v>
      </c>
      <c r="AH616" s="34">
        <v>0</v>
      </c>
      <c r="AI616" s="33">
        <v>0</v>
      </c>
      <c r="AJ616" s="33">
        <v>0</v>
      </c>
      <c r="AK616" s="33">
        <v>0</v>
      </c>
      <c r="AL616" s="34">
        <v>0</v>
      </c>
      <c r="AM616" s="34">
        <v>0</v>
      </c>
      <c r="AN616" s="34">
        <v>0</v>
      </c>
      <c r="AO616" s="34">
        <v>0</v>
      </c>
      <c r="AP616" s="34">
        <v>0</v>
      </c>
      <c r="AQ616" s="34">
        <v>0</v>
      </c>
      <c r="AR616" s="39"/>
    </row>
    <row r="617" spans="1:44" ht="19.5" customHeight="1">
      <c r="A617" s="64">
        <v>1</v>
      </c>
      <c r="B617" s="56" t="s">
        <v>5026</v>
      </c>
      <c r="C617" s="30" t="s">
        <v>94</v>
      </c>
      <c r="D617" s="56" t="s">
        <v>5027</v>
      </c>
      <c r="E617" s="30"/>
      <c r="F617" s="32">
        <v>125000</v>
      </c>
      <c r="G617" s="32">
        <v>20000</v>
      </c>
      <c r="H617" s="32">
        <v>145000</v>
      </c>
      <c r="I617" s="33">
        <v>43.476361321210447</v>
      </c>
      <c r="J617" s="33">
        <v>43.476361321210447</v>
      </c>
      <c r="K617" s="34">
        <v>14.492120440403481</v>
      </c>
      <c r="L617" s="34">
        <v>23.187392704645571</v>
      </c>
      <c r="M617" s="34">
        <v>28.984240880806961</v>
      </c>
      <c r="N617" s="34">
        <v>17.390544528484181</v>
      </c>
      <c r="O617" s="34">
        <v>17.390544528484181</v>
      </c>
      <c r="P617" s="34">
        <v>34.781089056968362</v>
      </c>
      <c r="Q617" s="34">
        <v>28.984240880806961</v>
      </c>
      <c r="R617" s="34">
        <v>34.781089056968362</v>
      </c>
      <c r="S617" s="34">
        <v>20.288968616564869</v>
      </c>
      <c r="T617" s="34">
        <v>20.288968616564869</v>
      </c>
      <c r="U617" s="34">
        <v>8.6952722642420888</v>
      </c>
      <c r="V617" s="34">
        <v>14.492120440403481</v>
      </c>
      <c r="W617" s="34">
        <v>8.6952722642420888</v>
      </c>
      <c r="X617" s="34">
        <v>86.952722642420895</v>
      </c>
      <c r="Y617" s="34">
        <v>46.374785409291142</v>
      </c>
      <c r="Z617" s="34"/>
      <c r="AA617" s="34">
        <v>6.956217811393671</v>
      </c>
      <c r="AB617" s="34">
        <v>6.956217811393671</v>
      </c>
      <c r="AC617" s="34">
        <v>2.318739270464556</v>
      </c>
      <c r="AD617" s="34">
        <v>3.7099828327432909</v>
      </c>
      <c r="AE617" s="34">
        <v>4.6374785409291128</v>
      </c>
      <c r="AF617" s="34">
        <v>2.7824871245574681</v>
      </c>
      <c r="AG617" s="34">
        <v>2.7824871245574681</v>
      </c>
      <c r="AH617" s="34">
        <v>5.564974249114937</v>
      </c>
      <c r="AI617" s="34">
        <v>4.6374785409291128</v>
      </c>
      <c r="AJ617" s="34">
        <v>5.564974249114937</v>
      </c>
      <c r="AK617" s="34">
        <v>3.2462349786503801</v>
      </c>
      <c r="AL617" s="34">
        <v>3.2462349786503801</v>
      </c>
      <c r="AM617" s="34">
        <v>1.391243562278734</v>
      </c>
      <c r="AN617" s="34">
        <v>2.318739270464556</v>
      </c>
      <c r="AO617" s="34">
        <v>1.391243562278734</v>
      </c>
      <c r="AP617" s="34">
        <v>13.91243562278734</v>
      </c>
      <c r="AQ617" s="34">
        <v>7.4199656654865818</v>
      </c>
      <c r="AR617" s="39"/>
    </row>
    <row r="618" spans="1:44" ht="19.5" customHeight="1">
      <c r="A618" s="64">
        <v>2</v>
      </c>
      <c r="B618" s="56" t="s">
        <v>5028</v>
      </c>
      <c r="C618" s="30" t="s">
        <v>159</v>
      </c>
      <c r="D618" s="56" t="s">
        <v>5029</v>
      </c>
      <c r="E618" s="30"/>
      <c r="F618" s="32">
        <v>137000</v>
      </c>
      <c r="G618" s="32">
        <v>30000</v>
      </c>
      <c r="H618" s="32">
        <v>167000</v>
      </c>
      <c r="I618" s="33">
        <v>47.650092008046649</v>
      </c>
      <c r="J618" s="33">
        <v>47.650092008046649</v>
      </c>
      <c r="K618" s="34">
        <v>15.88336400268221</v>
      </c>
      <c r="L618" s="33">
        <v>25.41338240429155</v>
      </c>
      <c r="M618" s="34">
        <v>31.766728005364431</v>
      </c>
      <c r="N618" s="34">
        <v>19.060036803218662</v>
      </c>
      <c r="O618" s="33">
        <v>19.060036803218662</v>
      </c>
      <c r="P618" s="34">
        <v>38.120073606437323</v>
      </c>
      <c r="Q618" s="33">
        <v>31.766728005364431</v>
      </c>
      <c r="R618" s="33">
        <v>38.120073606437323</v>
      </c>
      <c r="S618" s="33">
        <v>22.236709603755099</v>
      </c>
      <c r="T618" s="34">
        <v>22.236709603755099</v>
      </c>
      <c r="U618" s="34">
        <v>9.530018401609329</v>
      </c>
      <c r="V618" s="34">
        <v>15.88336400268221</v>
      </c>
      <c r="W618" s="34">
        <v>9.530018401609329</v>
      </c>
      <c r="X618" s="34">
        <v>95.300184016093297</v>
      </c>
      <c r="Y618" s="34">
        <v>50.826764808583093</v>
      </c>
      <c r="Z618" s="34"/>
      <c r="AA618" s="33">
        <v>10.43432671709051</v>
      </c>
      <c r="AB618" s="33">
        <v>10.43432671709051</v>
      </c>
      <c r="AC618" s="34">
        <v>3.4781089056968351</v>
      </c>
      <c r="AD618" s="33">
        <v>5.564974249114937</v>
      </c>
      <c r="AE618" s="34">
        <v>6.9562178113936701</v>
      </c>
      <c r="AF618" s="34">
        <v>4.173730686836203</v>
      </c>
      <c r="AG618" s="33">
        <v>4.173730686836203</v>
      </c>
      <c r="AH618" s="34">
        <v>8.3474613736724059</v>
      </c>
      <c r="AI618" s="33">
        <v>6.9562178113936701</v>
      </c>
      <c r="AJ618" s="33">
        <v>8.3474613736724059</v>
      </c>
      <c r="AK618" s="33">
        <v>4.8693524679755704</v>
      </c>
      <c r="AL618" s="34">
        <v>4.8693524679755704</v>
      </c>
      <c r="AM618" s="34">
        <v>2.086865343418101</v>
      </c>
      <c r="AN618" s="34">
        <v>3.4781089056968351</v>
      </c>
      <c r="AO618" s="34">
        <v>2.086865343418101</v>
      </c>
      <c r="AP618" s="34">
        <v>20.868653434181009</v>
      </c>
      <c r="AQ618" s="34">
        <v>11.12994849822987</v>
      </c>
      <c r="AR618" s="39"/>
    </row>
    <row r="619" spans="1:44" ht="19.5" customHeight="1">
      <c r="A619" s="64">
        <v>3</v>
      </c>
      <c r="B619" s="56" t="s">
        <v>5030</v>
      </c>
      <c r="C619" s="30" t="s">
        <v>230</v>
      </c>
      <c r="D619" s="56" t="s">
        <v>5031</v>
      </c>
      <c r="E619" s="30"/>
      <c r="F619" s="32">
        <v>135000</v>
      </c>
      <c r="G619" s="32">
        <v>30000</v>
      </c>
      <c r="H619" s="32">
        <v>165000</v>
      </c>
      <c r="I619" s="33">
        <v>46.954470226907283</v>
      </c>
      <c r="J619" s="33">
        <v>46.954470226907283</v>
      </c>
      <c r="K619" s="34">
        <v>15.65149007563576</v>
      </c>
      <c r="L619" s="33">
        <v>25.042384121017211</v>
      </c>
      <c r="M619" s="34">
        <v>31.30298015127152</v>
      </c>
      <c r="N619" s="34">
        <v>18.781788090762909</v>
      </c>
      <c r="O619" s="33">
        <v>18.781788090762909</v>
      </c>
      <c r="P619" s="34">
        <v>37.563576181525818</v>
      </c>
      <c r="Q619" s="33">
        <v>31.30298015127152</v>
      </c>
      <c r="R619" s="33">
        <v>37.563576181525818</v>
      </c>
      <c r="S619" s="33">
        <v>21.912086105890069</v>
      </c>
      <c r="T619" s="34">
        <v>21.912086105890069</v>
      </c>
      <c r="U619" s="34">
        <v>9.3908940453814562</v>
      </c>
      <c r="V619" s="34">
        <v>15.65149007563576</v>
      </c>
      <c r="W619" s="34">
        <v>9.3908940453814562</v>
      </c>
      <c r="X619" s="34">
        <v>93.908940453814552</v>
      </c>
      <c r="Y619" s="34">
        <v>50.084768242034428</v>
      </c>
      <c r="Z619" s="34"/>
      <c r="AA619" s="33">
        <v>10.43432671709051</v>
      </c>
      <c r="AB619" s="33">
        <v>10.43432671709051</v>
      </c>
      <c r="AC619" s="34">
        <v>3.4781089056968351</v>
      </c>
      <c r="AD619" s="33">
        <v>5.564974249114937</v>
      </c>
      <c r="AE619" s="34">
        <v>6.9562178113936701</v>
      </c>
      <c r="AF619" s="34">
        <v>4.173730686836203</v>
      </c>
      <c r="AG619" s="33">
        <v>4.173730686836203</v>
      </c>
      <c r="AH619" s="34">
        <v>8.3474613736724059</v>
      </c>
      <c r="AI619" s="33">
        <v>6.9562178113936701</v>
      </c>
      <c r="AJ619" s="33">
        <v>8.3474613736724059</v>
      </c>
      <c r="AK619" s="33">
        <v>4.8693524679755704</v>
      </c>
      <c r="AL619" s="34">
        <v>4.8693524679755704</v>
      </c>
      <c r="AM619" s="34">
        <v>2.086865343418101</v>
      </c>
      <c r="AN619" s="34">
        <v>3.4781089056968351</v>
      </c>
      <c r="AO619" s="34">
        <v>2.086865343418101</v>
      </c>
      <c r="AP619" s="34">
        <v>20.868653434181009</v>
      </c>
      <c r="AQ619" s="34">
        <v>11.12994849822987</v>
      </c>
      <c r="AR619" s="39"/>
    </row>
    <row r="620" spans="1:44" ht="19.5" customHeight="1">
      <c r="A620" s="64">
        <v>4</v>
      </c>
      <c r="B620" s="56" t="s">
        <v>5032</v>
      </c>
      <c r="C620" s="30" t="s">
        <v>1014</v>
      </c>
      <c r="D620" s="56" t="s">
        <v>5033</v>
      </c>
      <c r="E620" s="30"/>
      <c r="F620" s="32">
        <v>105000</v>
      </c>
      <c r="G620" s="32">
        <v>20000</v>
      </c>
      <c r="H620" s="32">
        <v>125000</v>
      </c>
      <c r="I620" s="33">
        <v>36.520143509816769</v>
      </c>
      <c r="J620" s="33">
        <v>36.520143509816769</v>
      </c>
      <c r="K620" s="34">
        <v>12.173381169938921</v>
      </c>
      <c r="L620" s="33">
        <v>19.477409871902282</v>
      </c>
      <c r="M620" s="34">
        <v>24.346762339877841</v>
      </c>
      <c r="N620" s="34">
        <v>14.608057403926709</v>
      </c>
      <c r="O620" s="33">
        <v>14.608057403926709</v>
      </c>
      <c r="P620" s="34">
        <v>29.216114807853419</v>
      </c>
      <c r="Q620" s="33">
        <v>24.346762339877841</v>
      </c>
      <c r="R620" s="33">
        <v>29.216114807853419</v>
      </c>
      <c r="S620" s="33">
        <v>17.042733637914491</v>
      </c>
      <c r="T620" s="34">
        <v>17.042733637914491</v>
      </c>
      <c r="U620" s="34">
        <v>7.3040287019633539</v>
      </c>
      <c r="V620" s="34">
        <v>12.173381169938921</v>
      </c>
      <c r="W620" s="34">
        <v>7.3040287019633539</v>
      </c>
      <c r="X620" s="34">
        <v>73.040287019633539</v>
      </c>
      <c r="Y620" s="34">
        <v>38.954819743804563</v>
      </c>
      <c r="Z620" s="34"/>
      <c r="AA620" s="33">
        <v>6.956217811393671</v>
      </c>
      <c r="AB620" s="33">
        <v>6.956217811393671</v>
      </c>
      <c r="AC620" s="34">
        <v>2.318739270464556</v>
      </c>
      <c r="AD620" s="33">
        <v>3.7099828327432909</v>
      </c>
      <c r="AE620" s="34">
        <v>4.6374785409291128</v>
      </c>
      <c r="AF620" s="34">
        <v>2.7824871245574681</v>
      </c>
      <c r="AG620" s="33">
        <v>2.7824871245574681</v>
      </c>
      <c r="AH620" s="34">
        <v>5.564974249114937</v>
      </c>
      <c r="AI620" s="33">
        <v>4.6374785409291128</v>
      </c>
      <c r="AJ620" s="33">
        <v>5.564974249114937</v>
      </c>
      <c r="AK620" s="33">
        <v>3.2462349786503801</v>
      </c>
      <c r="AL620" s="34">
        <v>3.2462349786503801</v>
      </c>
      <c r="AM620" s="34">
        <v>1.391243562278734</v>
      </c>
      <c r="AN620" s="34">
        <v>2.318739270464556</v>
      </c>
      <c r="AO620" s="34">
        <v>1.391243562278734</v>
      </c>
      <c r="AP620" s="34">
        <v>13.91243562278734</v>
      </c>
      <c r="AQ620" s="34">
        <v>7.4199656654865818</v>
      </c>
      <c r="AR620" s="39"/>
    </row>
    <row r="621" spans="1:44" ht="19.5" customHeight="1">
      <c r="A621" s="67"/>
      <c r="B621" s="93" t="s">
        <v>133</v>
      </c>
      <c r="C621" s="67" t="s">
        <v>389</v>
      </c>
      <c r="D621" s="93" t="s">
        <v>5034</v>
      </c>
      <c r="E621" s="67">
        <v>4</v>
      </c>
      <c r="F621" s="68">
        <v>502000</v>
      </c>
      <c r="G621" s="68">
        <v>100000</v>
      </c>
      <c r="H621" s="68">
        <v>602000</v>
      </c>
      <c r="I621" s="148">
        <v>174.60106706598111</v>
      </c>
      <c r="J621" s="148">
        <v>174.60106706598111</v>
      </c>
      <c r="K621" s="149">
        <v>58.200355688660373</v>
      </c>
      <c r="L621" s="148">
        <v>93.120569101856603</v>
      </c>
      <c r="M621" s="149">
        <v>116.4007113773207</v>
      </c>
      <c r="N621" s="149">
        <v>69.840426826392445</v>
      </c>
      <c r="O621" s="148">
        <v>69.840426826392445</v>
      </c>
      <c r="P621" s="149">
        <v>139.68085365278489</v>
      </c>
      <c r="Q621" s="148">
        <v>116.4007113773207</v>
      </c>
      <c r="R621" s="148">
        <v>139.68085365278489</v>
      </c>
      <c r="S621" s="148">
        <v>81.480497964124524</v>
      </c>
      <c r="T621" s="149">
        <v>81.480497964124524</v>
      </c>
      <c r="U621" s="149">
        <v>34.920213413196223</v>
      </c>
      <c r="V621" s="149">
        <v>58.200355688660373</v>
      </c>
      <c r="W621" s="149">
        <v>34.920213413196223</v>
      </c>
      <c r="X621" s="149">
        <v>349.20213413196223</v>
      </c>
      <c r="Y621" s="149">
        <v>186.24113820371321</v>
      </c>
      <c r="Z621" s="149"/>
      <c r="AA621" s="148">
        <v>34.781089056968348</v>
      </c>
      <c r="AB621" s="148">
        <v>34.781089056968348</v>
      </c>
      <c r="AC621" s="149">
        <v>11.59369635232278</v>
      </c>
      <c r="AD621" s="148">
        <v>18.549914163716451</v>
      </c>
      <c r="AE621" s="149">
        <v>23.187392704645561</v>
      </c>
      <c r="AF621" s="149">
        <v>13.91243562278734</v>
      </c>
      <c r="AG621" s="148">
        <v>13.91243562278734</v>
      </c>
      <c r="AH621" s="149">
        <v>27.824871245574681</v>
      </c>
      <c r="AI621" s="148">
        <v>23.187392704645561</v>
      </c>
      <c r="AJ621" s="148">
        <v>27.824871245574681</v>
      </c>
      <c r="AK621" s="148">
        <v>16.2311748932519</v>
      </c>
      <c r="AL621" s="149">
        <v>16.2311748932519</v>
      </c>
      <c r="AM621" s="149">
        <v>6.9562178113936701</v>
      </c>
      <c r="AN621" s="149">
        <v>11.59369635232278</v>
      </c>
      <c r="AO621" s="149">
        <v>6.9562178113936701</v>
      </c>
      <c r="AP621" s="149">
        <v>69.562178113936696</v>
      </c>
      <c r="AQ621" s="149">
        <v>37.09982832743291</v>
      </c>
      <c r="AR621" s="97"/>
    </row>
    <row r="622" spans="1:44" ht="19.5" customHeight="1">
      <c r="A622" s="30"/>
      <c r="B622" s="56"/>
      <c r="C622" s="30"/>
      <c r="D622" s="56"/>
      <c r="E622" s="30"/>
      <c r="F622" s="32"/>
      <c r="G622" s="32"/>
      <c r="H622" s="32">
        <v>0</v>
      </c>
      <c r="I622" s="33">
        <v>0</v>
      </c>
      <c r="J622" s="33">
        <v>0</v>
      </c>
      <c r="K622" s="34">
        <v>0</v>
      </c>
      <c r="L622" s="33">
        <v>0</v>
      </c>
      <c r="M622" s="34">
        <v>0</v>
      </c>
      <c r="N622" s="34">
        <v>0</v>
      </c>
      <c r="O622" s="33">
        <v>0</v>
      </c>
      <c r="P622" s="34">
        <v>0</v>
      </c>
      <c r="Q622" s="33">
        <v>0</v>
      </c>
      <c r="R622" s="33">
        <v>0</v>
      </c>
      <c r="S622" s="33">
        <v>0</v>
      </c>
      <c r="T622" s="34">
        <v>0</v>
      </c>
      <c r="U622" s="34">
        <v>0</v>
      </c>
      <c r="V622" s="34">
        <v>0</v>
      </c>
      <c r="W622" s="34">
        <v>0</v>
      </c>
      <c r="X622" s="34">
        <v>0</v>
      </c>
      <c r="Y622" s="34">
        <v>0</v>
      </c>
      <c r="Z622" s="34"/>
      <c r="AA622" s="33">
        <v>0</v>
      </c>
      <c r="AB622" s="33">
        <v>0</v>
      </c>
      <c r="AC622" s="34">
        <v>0</v>
      </c>
      <c r="AD622" s="33">
        <v>0</v>
      </c>
      <c r="AE622" s="34">
        <v>0</v>
      </c>
      <c r="AF622" s="34">
        <v>0</v>
      </c>
      <c r="AG622" s="33">
        <v>0</v>
      </c>
      <c r="AH622" s="34">
        <v>0</v>
      </c>
      <c r="AI622" s="33">
        <v>0</v>
      </c>
      <c r="AJ622" s="33">
        <v>0</v>
      </c>
      <c r="AK622" s="33">
        <v>0</v>
      </c>
      <c r="AL622" s="34">
        <v>0</v>
      </c>
      <c r="AM622" s="34">
        <v>0</v>
      </c>
      <c r="AN622" s="34">
        <v>0</v>
      </c>
      <c r="AO622" s="34">
        <v>0</v>
      </c>
      <c r="AP622" s="34">
        <v>0</v>
      </c>
      <c r="AQ622" s="34">
        <v>0</v>
      </c>
      <c r="AR622" s="39"/>
    </row>
    <row r="623" spans="1:44" ht="19.5" customHeight="1">
      <c r="A623" s="76" t="s">
        <v>5035</v>
      </c>
      <c r="B623" s="16"/>
      <c r="C623" s="30"/>
      <c r="D623" s="56"/>
      <c r="E623" s="30"/>
      <c r="F623" s="32"/>
      <c r="G623" s="32"/>
      <c r="H623" s="32">
        <v>0</v>
      </c>
      <c r="I623" s="33">
        <v>0</v>
      </c>
      <c r="J623" s="33">
        <v>0</v>
      </c>
      <c r="K623" s="34">
        <v>0</v>
      </c>
      <c r="L623" s="33">
        <v>0</v>
      </c>
      <c r="M623" s="34">
        <v>0</v>
      </c>
      <c r="N623" s="34">
        <v>0</v>
      </c>
      <c r="O623" s="33">
        <v>0</v>
      </c>
      <c r="P623" s="34">
        <v>0</v>
      </c>
      <c r="Q623" s="33">
        <v>0</v>
      </c>
      <c r="R623" s="33">
        <v>0</v>
      </c>
      <c r="S623" s="33">
        <v>0</v>
      </c>
      <c r="T623" s="34">
        <v>0</v>
      </c>
      <c r="U623" s="34">
        <v>0</v>
      </c>
      <c r="V623" s="34">
        <v>0</v>
      </c>
      <c r="W623" s="34">
        <v>0</v>
      </c>
      <c r="X623" s="34">
        <v>0</v>
      </c>
      <c r="Y623" s="34">
        <v>0</v>
      </c>
      <c r="Z623" s="34"/>
      <c r="AA623" s="33">
        <v>0</v>
      </c>
      <c r="AB623" s="33">
        <v>0</v>
      </c>
      <c r="AC623" s="34">
        <v>0</v>
      </c>
      <c r="AD623" s="33">
        <v>0</v>
      </c>
      <c r="AE623" s="34">
        <v>0</v>
      </c>
      <c r="AF623" s="34">
        <v>0</v>
      </c>
      <c r="AG623" s="33">
        <v>0</v>
      </c>
      <c r="AH623" s="34">
        <v>0</v>
      </c>
      <c r="AI623" s="33">
        <v>0</v>
      </c>
      <c r="AJ623" s="33">
        <v>0</v>
      </c>
      <c r="AK623" s="33">
        <v>0</v>
      </c>
      <c r="AL623" s="34">
        <v>0</v>
      </c>
      <c r="AM623" s="34">
        <v>0</v>
      </c>
      <c r="AN623" s="34">
        <v>0</v>
      </c>
      <c r="AO623" s="34">
        <v>0</v>
      </c>
      <c r="AP623" s="34">
        <v>0</v>
      </c>
      <c r="AQ623" s="34">
        <v>0</v>
      </c>
      <c r="AR623" s="39"/>
    </row>
    <row r="624" spans="1:44" ht="18.75" customHeight="1">
      <c r="A624" s="64">
        <v>1</v>
      </c>
      <c r="B624" s="16" t="s">
        <v>5036</v>
      </c>
      <c r="C624" s="30" t="s">
        <v>159</v>
      </c>
      <c r="D624" s="56" t="s">
        <v>5037</v>
      </c>
      <c r="E624" s="30"/>
      <c r="F624" s="32">
        <v>130000</v>
      </c>
      <c r="G624" s="32">
        <v>30000</v>
      </c>
      <c r="H624" s="32">
        <v>160000</v>
      </c>
      <c r="I624" s="33">
        <v>45.215415774058862</v>
      </c>
      <c r="J624" s="33">
        <v>45.215415774058862</v>
      </c>
      <c r="K624" s="34">
        <v>15.071805258019619</v>
      </c>
      <c r="L624" s="33">
        <v>24.114888412831391</v>
      </c>
      <c r="M624" s="34">
        <v>30.143610516039239</v>
      </c>
      <c r="N624" s="34">
        <v>18.08616630962355</v>
      </c>
      <c r="O624" s="33">
        <v>18.08616630962355</v>
      </c>
      <c r="P624" s="34">
        <v>36.172332619247094</v>
      </c>
      <c r="Q624" s="33">
        <v>30.143610516039239</v>
      </c>
      <c r="R624" s="33">
        <v>36.172332619247094</v>
      </c>
      <c r="S624" s="33">
        <v>21.100527361227471</v>
      </c>
      <c r="T624" s="34">
        <v>21.100527361227471</v>
      </c>
      <c r="U624" s="34">
        <v>9.0430831548117734</v>
      </c>
      <c r="V624" s="34">
        <v>15.071805258019619</v>
      </c>
      <c r="W624" s="34">
        <v>9.0430831548117734</v>
      </c>
      <c r="X624" s="34">
        <v>90.430831548117723</v>
      </c>
      <c r="Y624" s="34">
        <v>48.229776825662782</v>
      </c>
      <c r="Z624" s="34"/>
      <c r="AA624" s="33">
        <v>10.43432671709051</v>
      </c>
      <c r="AB624" s="33">
        <v>10.43432671709051</v>
      </c>
      <c r="AC624" s="34">
        <v>3.4781089056968351</v>
      </c>
      <c r="AD624" s="33">
        <v>5.564974249114937</v>
      </c>
      <c r="AE624" s="34">
        <v>6.9562178113936701</v>
      </c>
      <c r="AF624" s="34">
        <v>4.173730686836203</v>
      </c>
      <c r="AG624" s="33">
        <v>4.173730686836203</v>
      </c>
      <c r="AH624" s="34">
        <v>8.3474613736724059</v>
      </c>
      <c r="AI624" s="33">
        <v>6.9562178113936701</v>
      </c>
      <c r="AJ624" s="33">
        <v>8.3474613736724059</v>
      </c>
      <c r="AK624" s="33">
        <v>4.8693524679755704</v>
      </c>
      <c r="AL624" s="34">
        <v>4.8693524679755704</v>
      </c>
      <c r="AM624" s="34">
        <v>2.086865343418101</v>
      </c>
      <c r="AN624" s="34">
        <v>3.4781089056968351</v>
      </c>
      <c r="AO624" s="34">
        <v>2.086865343418101</v>
      </c>
      <c r="AP624" s="34">
        <v>20.868653434181009</v>
      </c>
      <c r="AQ624" s="34">
        <v>11.12994849822987</v>
      </c>
      <c r="AR624" s="39"/>
    </row>
    <row r="625" spans="1:44" ht="18.75" customHeight="1">
      <c r="A625" s="64">
        <v>2</v>
      </c>
      <c r="B625" s="16" t="s">
        <v>5038</v>
      </c>
      <c r="C625" s="30" t="s">
        <v>94</v>
      </c>
      <c r="D625" s="56" t="s">
        <v>5039</v>
      </c>
      <c r="E625" s="30"/>
      <c r="F625" s="32">
        <v>110000</v>
      </c>
      <c r="G625" s="32">
        <v>20000</v>
      </c>
      <c r="H625" s="32">
        <v>130000</v>
      </c>
      <c r="I625" s="33">
        <v>38.259197962665183</v>
      </c>
      <c r="J625" s="33">
        <v>38.259197962665183</v>
      </c>
      <c r="K625" s="34">
        <v>12.753065987555059</v>
      </c>
      <c r="L625" s="33">
        <v>20.404905580088101</v>
      </c>
      <c r="M625" s="34">
        <v>25.506131975110119</v>
      </c>
      <c r="N625" s="34">
        <v>15.30367918506608</v>
      </c>
      <c r="O625" s="33">
        <v>15.30367918506608</v>
      </c>
      <c r="P625" s="34">
        <v>30.60735837013215</v>
      </c>
      <c r="Q625" s="33">
        <v>25.506131975110119</v>
      </c>
      <c r="R625" s="33">
        <v>30.60735837013215</v>
      </c>
      <c r="S625" s="33">
        <v>17.854292382577089</v>
      </c>
      <c r="T625" s="34">
        <v>17.854292382577089</v>
      </c>
      <c r="U625" s="34">
        <v>7.6518395925330376</v>
      </c>
      <c r="V625" s="34">
        <v>12.753065987555059</v>
      </c>
      <c r="W625" s="34">
        <v>7.6518395925330376</v>
      </c>
      <c r="X625" s="34">
        <v>76.518395925330367</v>
      </c>
      <c r="Y625" s="34">
        <v>40.809811160176203</v>
      </c>
      <c r="Z625" s="34"/>
      <c r="AA625" s="33">
        <v>6.956217811393671</v>
      </c>
      <c r="AB625" s="33">
        <v>6.956217811393671</v>
      </c>
      <c r="AC625" s="34">
        <v>2.318739270464556</v>
      </c>
      <c r="AD625" s="33">
        <v>3.7099828327432909</v>
      </c>
      <c r="AE625" s="34">
        <v>4.6374785409291128</v>
      </c>
      <c r="AF625" s="34">
        <v>2.7824871245574681</v>
      </c>
      <c r="AG625" s="33">
        <v>2.7824871245574681</v>
      </c>
      <c r="AH625" s="34">
        <v>5.564974249114937</v>
      </c>
      <c r="AI625" s="33">
        <v>4.6374785409291128</v>
      </c>
      <c r="AJ625" s="33">
        <v>5.564974249114937</v>
      </c>
      <c r="AK625" s="33">
        <v>3.2462349786503801</v>
      </c>
      <c r="AL625" s="34">
        <v>3.2462349786503801</v>
      </c>
      <c r="AM625" s="34">
        <v>1.391243562278734</v>
      </c>
      <c r="AN625" s="34">
        <v>2.318739270464556</v>
      </c>
      <c r="AO625" s="34">
        <v>1.391243562278734</v>
      </c>
      <c r="AP625" s="34">
        <v>13.91243562278734</v>
      </c>
      <c r="AQ625" s="34">
        <v>7.4199656654865818</v>
      </c>
      <c r="AR625" s="39"/>
    </row>
    <row r="626" spans="1:44" ht="18.75" customHeight="1">
      <c r="A626" s="64">
        <v>3</v>
      </c>
      <c r="B626" s="129" t="s">
        <v>133</v>
      </c>
      <c r="C626" s="30" t="s">
        <v>94</v>
      </c>
      <c r="D626" s="56" t="s">
        <v>5040</v>
      </c>
      <c r="E626" s="30"/>
      <c r="F626" s="32">
        <v>30000</v>
      </c>
      <c r="G626" s="32">
        <v>29800</v>
      </c>
      <c r="H626" s="32">
        <v>59800</v>
      </c>
      <c r="I626" s="33">
        <v>10.43432671709051</v>
      </c>
      <c r="J626" s="33">
        <v>10.43432671709051</v>
      </c>
      <c r="K626" s="34">
        <v>3.4781089056968351</v>
      </c>
      <c r="L626" s="33">
        <v>5.564974249114937</v>
      </c>
      <c r="M626" s="34">
        <v>6.9562178113936701</v>
      </c>
      <c r="N626" s="34">
        <v>4.173730686836203</v>
      </c>
      <c r="O626" s="33">
        <v>4.173730686836203</v>
      </c>
      <c r="P626" s="34">
        <v>8.3474613736724059</v>
      </c>
      <c r="Q626" s="33">
        <v>6.9562178113936701</v>
      </c>
      <c r="R626" s="33">
        <v>8.3474613736724059</v>
      </c>
      <c r="S626" s="33">
        <v>4.8693524679755704</v>
      </c>
      <c r="T626" s="34">
        <v>4.8693524679755704</v>
      </c>
      <c r="U626" s="34">
        <v>2.086865343418101</v>
      </c>
      <c r="V626" s="34">
        <v>3.4781089056968351</v>
      </c>
      <c r="W626" s="34">
        <v>2.086865343418101</v>
      </c>
      <c r="X626" s="34">
        <v>20.868653434181009</v>
      </c>
      <c r="Y626" s="34">
        <v>11.12994849822987</v>
      </c>
      <c r="Z626" s="34"/>
      <c r="AA626" s="33">
        <v>10.364764538976569</v>
      </c>
      <c r="AB626" s="33">
        <v>10.364764538976569</v>
      </c>
      <c r="AC626" s="34">
        <v>3.4549215129921889</v>
      </c>
      <c r="AD626" s="33">
        <v>5.5278744207875032</v>
      </c>
      <c r="AE626" s="34">
        <v>6.9098430259843786</v>
      </c>
      <c r="AF626" s="34">
        <v>4.1459058155906279</v>
      </c>
      <c r="AG626" s="33">
        <v>4.1459058155906279</v>
      </c>
      <c r="AH626" s="34">
        <v>8.2918116311812557</v>
      </c>
      <c r="AI626" s="33">
        <v>6.9098430259843786</v>
      </c>
      <c r="AJ626" s="33">
        <v>8.2918116311812557</v>
      </c>
      <c r="AK626" s="33">
        <v>4.836890118189066</v>
      </c>
      <c r="AL626" s="34">
        <v>4.836890118189066</v>
      </c>
      <c r="AM626" s="34">
        <v>2.0729529077953139</v>
      </c>
      <c r="AN626" s="34">
        <v>3.4549215129921889</v>
      </c>
      <c r="AO626" s="34">
        <v>2.0729529077953139</v>
      </c>
      <c r="AP626" s="34">
        <v>20.729529077953138</v>
      </c>
      <c r="AQ626" s="34">
        <v>11.05574884157501</v>
      </c>
      <c r="AR626" s="39"/>
    </row>
    <row r="627" spans="1:44" ht="18.75" customHeight="1">
      <c r="A627" s="64">
        <v>4</v>
      </c>
      <c r="B627" s="56" t="s">
        <v>5041</v>
      </c>
      <c r="C627" s="79" t="s">
        <v>159</v>
      </c>
      <c r="D627" s="56" t="s">
        <v>5042</v>
      </c>
      <c r="E627" s="30"/>
      <c r="F627" s="32">
        <v>120000</v>
      </c>
      <c r="G627" s="32">
        <v>38000</v>
      </c>
      <c r="H627" s="32">
        <v>158000</v>
      </c>
      <c r="I627" s="33">
        <v>41.737306868362033</v>
      </c>
      <c r="J627" s="33">
        <v>41.737306868362033</v>
      </c>
      <c r="K627" s="34">
        <v>13.91243562278734</v>
      </c>
      <c r="L627" s="33">
        <v>22.259896996459752</v>
      </c>
      <c r="M627" s="34">
        <v>27.824871245574681</v>
      </c>
      <c r="N627" s="34">
        <v>16.694922747344808</v>
      </c>
      <c r="O627" s="33">
        <v>16.694922747344808</v>
      </c>
      <c r="P627" s="34">
        <v>33.389845494689617</v>
      </c>
      <c r="Q627" s="33">
        <v>27.824871245574681</v>
      </c>
      <c r="R627" s="33">
        <v>33.389845494689617</v>
      </c>
      <c r="S627" s="33">
        <v>19.477409871902282</v>
      </c>
      <c r="T627" s="34">
        <v>19.477409871902282</v>
      </c>
      <c r="U627" s="34">
        <v>8.3474613736724059</v>
      </c>
      <c r="V627" s="34">
        <v>13.91243562278734</v>
      </c>
      <c r="W627" s="34">
        <v>8.3474613736724059</v>
      </c>
      <c r="X627" s="34">
        <v>83.474613736724052</v>
      </c>
      <c r="Y627" s="34">
        <v>44.519793992919503</v>
      </c>
      <c r="Z627" s="34"/>
      <c r="AA627" s="33">
        <v>13.216813841647969</v>
      </c>
      <c r="AB627" s="33">
        <v>13.216813841647969</v>
      </c>
      <c r="AC627" s="34">
        <v>4.4056046138826579</v>
      </c>
      <c r="AD627" s="33">
        <v>7.0489673822122532</v>
      </c>
      <c r="AE627" s="34">
        <v>8.8112092277653158</v>
      </c>
      <c r="AF627" s="34">
        <v>5.2867255366591897</v>
      </c>
      <c r="AG627" s="33">
        <v>5.2867255366591897</v>
      </c>
      <c r="AH627" s="34">
        <v>10.573451073318379</v>
      </c>
      <c r="AI627" s="33">
        <v>8.8112092277653158</v>
      </c>
      <c r="AJ627" s="33">
        <v>10.573451073318379</v>
      </c>
      <c r="AK627" s="33">
        <v>6.1678464594357214</v>
      </c>
      <c r="AL627" s="34">
        <v>6.1678464594357214</v>
      </c>
      <c r="AM627" s="34">
        <v>2.6433627683295948</v>
      </c>
      <c r="AN627" s="34">
        <v>4.4056046138826579</v>
      </c>
      <c r="AO627" s="34">
        <v>2.6433627683295948</v>
      </c>
      <c r="AP627" s="34">
        <v>26.433627683295949</v>
      </c>
      <c r="AQ627" s="34">
        <v>14.09793476442451</v>
      </c>
      <c r="AR627" s="39"/>
    </row>
    <row r="628" spans="1:44" ht="18.75" customHeight="1">
      <c r="A628" s="64">
        <v>5</v>
      </c>
      <c r="B628" s="81" t="s">
        <v>133</v>
      </c>
      <c r="C628" s="26" t="s">
        <v>94</v>
      </c>
      <c r="D628" s="56" t="s">
        <v>5043</v>
      </c>
      <c r="E628" s="30"/>
      <c r="F628" s="32">
        <v>30000</v>
      </c>
      <c r="G628" s="32">
        <v>20000</v>
      </c>
      <c r="H628" s="32">
        <v>50000</v>
      </c>
      <c r="I628" s="33">
        <v>10.43432671709051</v>
      </c>
      <c r="J628" s="33">
        <v>10.43432671709051</v>
      </c>
      <c r="K628" s="34">
        <v>3.4781089056968351</v>
      </c>
      <c r="L628" s="33">
        <v>5.564974249114937</v>
      </c>
      <c r="M628" s="34">
        <v>6.9562178113936701</v>
      </c>
      <c r="N628" s="34">
        <v>4.173730686836203</v>
      </c>
      <c r="O628" s="33">
        <v>4.173730686836203</v>
      </c>
      <c r="P628" s="34">
        <v>8.3474613736724059</v>
      </c>
      <c r="Q628" s="33">
        <v>6.9562178113936701</v>
      </c>
      <c r="R628" s="33">
        <v>8.3474613736724059</v>
      </c>
      <c r="S628" s="33">
        <v>4.8693524679755704</v>
      </c>
      <c r="T628" s="34">
        <v>4.8693524679755704</v>
      </c>
      <c r="U628" s="34">
        <v>2.086865343418101</v>
      </c>
      <c r="V628" s="34">
        <v>3.4781089056968351</v>
      </c>
      <c r="W628" s="34">
        <v>2.086865343418101</v>
      </c>
      <c r="X628" s="34">
        <v>20.868653434181009</v>
      </c>
      <c r="Y628" s="34">
        <v>11.12994849822987</v>
      </c>
      <c r="Z628" s="34"/>
      <c r="AA628" s="33">
        <v>6.956217811393671</v>
      </c>
      <c r="AB628" s="33">
        <v>6.956217811393671</v>
      </c>
      <c r="AC628" s="34">
        <v>2.318739270464556</v>
      </c>
      <c r="AD628" s="33">
        <v>3.7099828327432909</v>
      </c>
      <c r="AE628" s="34">
        <v>4.6374785409291128</v>
      </c>
      <c r="AF628" s="34">
        <v>2.7824871245574681</v>
      </c>
      <c r="AG628" s="33">
        <v>2.7824871245574681</v>
      </c>
      <c r="AH628" s="34">
        <v>5.564974249114937</v>
      </c>
      <c r="AI628" s="33">
        <v>4.6374785409291128</v>
      </c>
      <c r="AJ628" s="33">
        <v>5.564974249114937</v>
      </c>
      <c r="AK628" s="33">
        <v>3.2462349786503801</v>
      </c>
      <c r="AL628" s="34">
        <v>3.2462349786503801</v>
      </c>
      <c r="AM628" s="34">
        <v>1.391243562278734</v>
      </c>
      <c r="AN628" s="34">
        <v>2.318739270464556</v>
      </c>
      <c r="AO628" s="34">
        <v>1.391243562278734</v>
      </c>
      <c r="AP628" s="34">
        <v>13.91243562278734</v>
      </c>
      <c r="AQ628" s="34">
        <v>7.4199656654865818</v>
      </c>
      <c r="AR628" s="39"/>
    </row>
    <row r="629" spans="1:44" ht="18.75" customHeight="1">
      <c r="A629" s="83"/>
      <c r="B629" s="76" t="s">
        <v>133</v>
      </c>
      <c r="C629" s="51" t="s">
        <v>389</v>
      </c>
      <c r="D629" s="63" t="s">
        <v>5044</v>
      </c>
      <c r="E629" s="51">
        <v>5</v>
      </c>
      <c r="F629" s="52">
        <v>420000</v>
      </c>
      <c r="G629" s="52">
        <v>137800</v>
      </c>
      <c r="H629" s="52">
        <v>557800</v>
      </c>
      <c r="I629" s="33">
        <v>146.08057403926711</v>
      </c>
      <c r="J629" s="33">
        <v>146.08057403926711</v>
      </c>
      <c r="K629" s="34">
        <v>48.693524679755683</v>
      </c>
      <c r="L629" s="33">
        <v>77.909639487609113</v>
      </c>
      <c r="M629" s="34">
        <v>97.387049359511366</v>
      </c>
      <c r="N629" s="34">
        <v>58.432229615706831</v>
      </c>
      <c r="O629" s="33">
        <v>58.432229615706831</v>
      </c>
      <c r="P629" s="34">
        <v>116.8644592314137</v>
      </c>
      <c r="Q629" s="33">
        <v>97.387049359511366</v>
      </c>
      <c r="R629" s="33">
        <v>116.8644592314137</v>
      </c>
      <c r="S629" s="33">
        <v>68.170934551657965</v>
      </c>
      <c r="T629" s="34">
        <v>68.170934551657965</v>
      </c>
      <c r="U629" s="34">
        <v>29.216114807853419</v>
      </c>
      <c r="V629" s="34">
        <v>48.693524679755683</v>
      </c>
      <c r="W629" s="34">
        <v>29.216114807853419</v>
      </c>
      <c r="X629" s="34">
        <v>292.16114807853421</v>
      </c>
      <c r="Y629" s="34">
        <v>155.8192789752182</v>
      </c>
      <c r="Z629" s="34"/>
      <c r="AA629" s="33">
        <v>47.928340720502391</v>
      </c>
      <c r="AB629" s="33">
        <v>47.928340720502391</v>
      </c>
      <c r="AC629" s="34">
        <v>15.9761135735008</v>
      </c>
      <c r="AD629" s="33">
        <v>25.561781717601271</v>
      </c>
      <c r="AE629" s="34">
        <v>31.95222714700159</v>
      </c>
      <c r="AF629" s="34">
        <v>19.171336288200951</v>
      </c>
      <c r="AG629" s="33">
        <v>19.171336288200951</v>
      </c>
      <c r="AH629" s="34">
        <v>38.34267257640191</v>
      </c>
      <c r="AI629" s="33">
        <v>31.95222714700159</v>
      </c>
      <c r="AJ629" s="33">
        <v>38.34267257640191</v>
      </c>
      <c r="AK629" s="33">
        <v>22.36655900290112</v>
      </c>
      <c r="AL629" s="34">
        <v>22.36655900290112</v>
      </c>
      <c r="AM629" s="34">
        <v>9.5856681441004774</v>
      </c>
      <c r="AN629" s="34">
        <v>15.9761135735008</v>
      </c>
      <c r="AO629" s="34">
        <v>9.5856681441004774</v>
      </c>
      <c r="AP629" s="34">
        <v>95.856681441004781</v>
      </c>
      <c r="AQ629" s="34">
        <v>51.123563435202549</v>
      </c>
      <c r="AR629" s="39"/>
    </row>
    <row r="630" spans="1:44" ht="18.75" customHeight="1">
      <c r="A630" s="64">
        <v>6</v>
      </c>
      <c r="B630" s="16" t="s">
        <v>5045</v>
      </c>
      <c r="C630" s="30" t="s">
        <v>94</v>
      </c>
      <c r="D630" s="56" t="s">
        <v>5046</v>
      </c>
      <c r="E630" s="30"/>
      <c r="F630" s="32">
        <v>130000</v>
      </c>
      <c r="G630" s="32">
        <v>40000</v>
      </c>
      <c r="H630" s="32">
        <v>170000</v>
      </c>
      <c r="I630" s="33">
        <v>45.215415774058862</v>
      </c>
      <c r="J630" s="33">
        <v>45.215415774058862</v>
      </c>
      <c r="K630" s="34">
        <v>15.071805258019619</v>
      </c>
      <c r="L630" s="33">
        <v>24.114888412831391</v>
      </c>
      <c r="M630" s="34">
        <v>30.143610516039239</v>
      </c>
      <c r="N630" s="34">
        <v>18.08616630962355</v>
      </c>
      <c r="O630" s="33">
        <v>18.08616630962355</v>
      </c>
      <c r="P630" s="34">
        <v>36.172332619247094</v>
      </c>
      <c r="Q630" s="33">
        <v>30.143610516039239</v>
      </c>
      <c r="R630" s="33">
        <v>36.172332619247094</v>
      </c>
      <c r="S630" s="33">
        <v>21.100527361227471</v>
      </c>
      <c r="T630" s="34">
        <v>21.100527361227471</v>
      </c>
      <c r="U630" s="34">
        <v>9.0430831548117734</v>
      </c>
      <c r="V630" s="34">
        <v>15.071805258019619</v>
      </c>
      <c r="W630" s="34">
        <v>9.0430831548117734</v>
      </c>
      <c r="X630" s="34">
        <v>90.430831548117723</v>
      </c>
      <c r="Y630" s="34">
        <v>48.229776825662782</v>
      </c>
      <c r="Z630" s="34"/>
      <c r="AA630" s="33">
        <v>13.91243562278734</v>
      </c>
      <c r="AB630" s="33">
        <v>13.91243562278734</v>
      </c>
      <c r="AC630" s="34">
        <v>4.6374785409291128</v>
      </c>
      <c r="AD630" s="33">
        <v>7.4199656654865818</v>
      </c>
      <c r="AE630" s="34">
        <v>9.2749570818582256</v>
      </c>
      <c r="AF630" s="34">
        <v>5.564974249114937</v>
      </c>
      <c r="AG630" s="33">
        <v>5.564974249114937</v>
      </c>
      <c r="AH630" s="34">
        <v>11.12994849822987</v>
      </c>
      <c r="AI630" s="33">
        <v>9.2749570818582256</v>
      </c>
      <c r="AJ630" s="33">
        <v>11.12994849822987</v>
      </c>
      <c r="AK630" s="33">
        <v>6.4924699573007594</v>
      </c>
      <c r="AL630" s="34">
        <v>6.4924699573007594</v>
      </c>
      <c r="AM630" s="34">
        <v>2.7824871245574681</v>
      </c>
      <c r="AN630" s="34">
        <v>4.6374785409291128</v>
      </c>
      <c r="AO630" s="34">
        <v>2.7824871245574681</v>
      </c>
      <c r="AP630" s="34">
        <v>27.824871245574681</v>
      </c>
      <c r="AQ630" s="34">
        <v>14.83993133097316</v>
      </c>
      <c r="AR630" s="39"/>
    </row>
    <row r="631" spans="1:44" ht="18.75" customHeight="1">
      <c r="A631" s="64">
        <v>7</v>
      </c>
      <c r="B631" s="129" t="s">
        <v>133</v>
      </c>
      <c r="C631" s="30" t="s">
        <v>94</v>
      </c>
      <c r="D631" s="56" t="s">
        <v>5047</v>
      </c>
      <c r="E631" s="30"/>
      <c r="F631" s="32">
        <v>30000</v>
      </c>
      <c r="G631" s="32">
        <v>40000</v>
      </c>
      <c r="H631" s="32">
        <v>70000</v>
      </c>
      <c r="I631" s="33">
        <v>10.43432671709051</v>
      </c>
      <c r="J631" s="33">
        <v>10.43432671709051</v>
      </c>
      <c r="K631" s="34">
        <v>3.4781089056968351</v>
      </c>
      <c r="L631" s="33">
        <v>5.564974249114937</v>
      </c>
      <c r="M631" s="34">
        <v>6.9562178113936701</v>
      </c>
      <c r="N631" s="34">
        <v>4.173730686836203</v>
      </c>
      <c r="O631" s="33">
        <v>4.173730686836203</v>
      </c>
      <c r="P631" s="34">
        <v>8.3474613736724059</v>
      </c>
      <c r="Q631" s="33">
        <v>6.9562178113936701</v>
      </c>
      <c r="R631" s="33">
        <v>8.3474613736724059</v>
      </c>
      <c r="S631" s="33">
        <v>4.8693524679755704</v>
      </c>
      <c r="T631" s="34">
        <v>4.8693524679755704</v>
      </c>
      <c r="U631" s="34">
        <v>2.086865343418101</v>
      </c>
      <c r="V631" s="34">
        <v>3.4781089056968351</v>
      </c>
      <c r="W631" s="34">
        <v>2.086865343418101</v>
      </c>
      <c r="X631" s="34">
        <v>20.868653434181009</v>
      </c>
      <c r="Y631" s="34">
        <v>11.12994849822987</v>
      </c>
      <c r="Z631" s="34"/>
      <c r="AA631" s="33">
        <v>13.91243562278734</v>
      </c>
      <c r="AB631" s="33">
        <v>13.91243562278734</v>
      </c>
      <c r="AC631" s="34">
        <v>4.6374785409291128</v>
      </c>
      <c r="AD631" s="33">
        <v>7.4199656654865818</v>
      </c>
      <c r="AE631" s="34">
        <v>9.2749570818582256</v>
      </c>
      <c r="AF631" s="34">
        <v>5.564974249114937</v>
      </c>
      <c r="AG631" s="33">
        <v>5.564974249114937</v>
      </c>
      <c r="AH631" s="34">
        <v>11.12994849822987</v>
      </c>
      <c r="AI631" s="33">
        <v>9.2749570818582256</v>
      </c>
      <c r="AJ631" s="33">
        <v>11.12994849822987</v>
      </c>
      <c r="AK631" s="33">
        <v>6.4924699573007594</v>
      </c>
      <c r="AL631" s="34">
        <v>6.4924699573007594</v>
      </c>
      <c r="AM631" s="34">
        <v>2.7824871245574681</v>
      </c>
      <c r="AN631" s="34">
        <v>4.6374785409291128</v>
      </c>
      <c r="AO631" s="34">
        <v>2.7824871245574681</v>
      </c>
      <c r="AP631" s="34">
        <v>27.824871245574681</v>
      </c>
      <c r="AQ631" s="34">
        <v>14.83993133097316</v>
      </c>
      <c r="AR631" s="39"/>
    </row>
    <row r="632" spans="1:44" ht="18.75" customHeight="1">
      <c r="A632" s="64">
        <v>8</v>
      </c>
      <c r="B632" s="56" t="s">
        <v>5048</v>
      </c>
      <c r="C632" s="30" t="s">
        <v>159</v>
      </c>
      <c r="D632" s="56" t="s">
        <v>5049</v>
      </c>
      <c r="E632" s="30"/>
      <c r="F632" s="32">
        <v>130000</v>
      </c>
      <c r="G632" s="32">
        <v>35000</v>
      </c>
      <c r="H632" s="32">
        <v>165000</v>
      </c>
      <c r="I632" s="53">
        <v>45.215415774058862</v>
      </c>
      <c r="J632" s="53">
        <v>45.215415774058862</v>
      </c>
      <c r="K632" s="54">
        <v>15.071805258019619</v>
      </c>
      <c r="L632" s="53">
        <v>24.114888412831391</v>
      </c>
      <c r="M632" s="54">
        <v>30.143610516039239</v>
      </c>
      <c r="N632" s="54">
        <v>18.08616630962355</v>
      </c>
      <c r="O632" s="53">
        <v>18.08616630962355</v>
      </c>
      <c r="P632" s="54">
        <v>36.172332619247094</v>
      </c>
      <c r="Q632" s="53">
        <v>30.143610516039239</v>
      </c>
      <c r="R632" s="53">
        <v>36.172332619247094</v>
      </c>
      <c r="S632" s="53">
        <v>21.100527361227471</v>
      </c>
      <c r="T632" s="54">
        <v>21.100527361227471</v>
      </c>
      <c r="U632" s="54">
        <v>9.0430831548117734</v>
      </c>
      <c r="V632" s="54">
        <v>15.071805258019619</v>
      </c>
      <c r="W632" s="54">
        <v>9.0430831548117734</v>
      </c>
      <c r="X632" s="54">
        <v>90.430831548117723</v>
      </c>
      <c r="Y632" s="54">
        <v>48.229776825662782</v>
      </c>
      <c r="Z632" s="54"/>
      <c r="AA632" s="53">
        <v>12.173381169938921</v>
      </c>
      <c r="AB632" s="53">
        <v>12.173381169938921</v>
      </c>
      <c r="AC632" s="54">
        <v>4.0577937233129742</v>
      </c>
      <c r="AD632" s="53">
        <v>6.4924699573007594</v>
      </c>
      <c r="AE632" s="54">
        <v>8.1155874466259483</v>
      </c>
      <c r="AF632" s="54">
        <v>4.8693524679755704</v>
      </c>
      <c r="AG632" s="53">
        <v>4.8693524679755704</v>
      </c>
      <c r="AH632" s="54">
        <v>9.7387049359511391</v>
      </c>
      <c r="AI632" s="53">
        <v>8.1155874466259483</v>
      </c>
      <c r="AJ632" s="53">
        <v>9.7387049359511391</v>
      </c>
      <c r="AK632" s="53">
        <v>5.6809112126381649</v>
      </c>
      <c r="AL632" s="54">
        <v>5.6809112126381649</v>
      </c>
      <c r="AM632" s="54">
        <v>2.4346762339877852</v>
      </c>
      <c r="AN632" s="54">
        <v>4.0577937233129742</v>
      </c>
      <c r="AO632" s="54">
        <v>2.4346762339877852</v>
      </c>
      <c r="AP632" s="54">
        <v>24.346762339877849</v>
      </c>
      <c r="AQ632" s="54">
        <v>12.984939914601521</v>
      </c>
      <c r="AR632" s="39"/>
    </row>
    <row r="633" spans="1:44" ht="18.75" customHeight="1">
      <c r="A633" s="30">
        <v>9</v>
      </c>
      <c r="B633" s="16" t="s">
        <v>5050</v>
      </c>
      <c r="C633" s="30" t="s">
        <v>94</v>
      </c>
      <c r="D633" s="56" t="s">
        <v>5051</v>
      </c>
      <c r="E633" s="30"/>
      <c r="F633" s="32">
        <v>120000</v>
      </c>
      <c r="G633" s="32">
        <v>25000</v>
      </c>
      <c r="H633" s="32">
        <v>145000</v>
      </c>
      <c r="I633" s="33">
        <v>41.737306868362033</v>
      </c>
      <c r="J633" s="33">
        <v>41.737306868362033</v>
      </c>
      <c r="K633" s="34">
        <v>13.91243562278734</v>
      </c>
      <c r="L633" s="33">
        <v>22.259896996459752</v>
      </c>
      <c r="M633" s="34">
        <v>27.824871245574681</v>
      </c>
      <c r="N633" s="34">
        <v>16.694922747344808</v>
      </c>
      <c r="O633" s="33">
        <v>16.694922747344808</v>
      </c>
      <c r="P633" s="34">
        <v>33.389845494689617</v>
      </c>
      <c r="Q633" s="33">
        <v>27.824871245574681</v>
      </c>
      <c r="R633" s="33">
        <v>33.389845494689617</v>
      </c>
      <c r="S633" s="33">
        <v>19.477409871902282</v>
      </c>
      <c r="T633" s="34">
        <v>19.477409871902282</v>
      </c>
      <c r="U633" s="34">
        <v>8.3474613736724059</v>
      </c>
      <c r="V633" s="34">
        <v>13.91243562278734</v>
      </c>
      <c r="W633" s="34">
        <v>8.3474613736724059</v>
      </c>
      <c r="X633" s="34">
        <v>83.474613736724052</v>
      </c>
      <c r="Y633" s="34">
        <v>44.519793992919503</v>
      </c>
      <c r="Z633" s="34"/>
      <c r="AA633" s="33">
        <v>8.695272264242087</v>
      </c>
      <c r="AB633" s="33">
        <v>8.695272264242087</v>
      </c>
      <c r="AC633" s="34">
        <v>2.898424088080696</v>
      </c>
      <c r="AD633" s="33">
        <v>4.6374785409291137</v>
      </c>
      <c r="AE633" s="34">
        <v>5.796848176161391</v>
      </c>
      <c r="AF633" s="34">
        <v>3.4781089056968351</v>
      </c>
      <c r="AG633" s="33">
        <v>3.4781089056968351</v>
      </c>
      <c r="AH633" s="34">
        <v>6.9562178113936701</v>
      </c>
      <c r="AI633" s="33">
        <v>5.796848176161391</v>
      </c>
      <c r="AJ633" s="33">
        <v>6.9562178113936701</v>
      </c>
      <c r="AK633" s="33">
        <v>4.0577937233129742</v>
      </c>
      <c r="AL633" s="34">
        <v>4.0577937233129742</v>
      </c>
      <c r="AM633" s="34">
        <v>1.739054452848418</v>
      </c>
      <c r="AN633" s="34">
        <v>2.898424088080696</v>
      </c>
      <c r="AO633" s="34">
        <v>1.739054452848418</v>
      </c>
      <c r="AP633" s="34">
        <v>17.39054452848417</v>
      </c>
      <c r="AQ633" s="34">
        <v>9.2749570818582274</v>
      </c>
      <c r="AR633" s="39"/>
    </row>
    <row r="634" spans="1:44" ht="18.75" customHeight="1">
      <c r="A634" s="30">
        <v>10</v>
      </c>
      <c r="B634" s="129" t="s">
        <v>133</v>
      </c>
      <c r="C634" s="30" t="s">
        <v>94</v>
      </c>
      <c r="D634" s="56" t="s">
        <v>5052</v>
      </c>
      <c r="E634" s="30"/>
      <c r="F634" s="32">
        <v>30000</v>
      </c>
      <c r="G634" s="32">
        <v>51000</v>
      </c>
      <c r="H634" s="32">
        <v>81000</v>
      </c>
      <c r="I634" s="33">
        <v>10.43432671709051</v>
      </c>
      <c r="J634" s="33">
        <v>10.43432671709051</v>
      </c>
      <c r="K634" s="34">
        <v>3.4781089056968351</v>
      </c>
      <c r="L634" s="33">
        <v>5.564974249114937</v>
      </c>
      <c r="M634" s="34">
        <v>6.9562178113936701</v>
      </c>
      <c r="N634" s="34">
        <v>4.173730686836203</v>
      </c>
      <c r="O634" s="33">
        <v>4.173730686836203</v>
      </c>
      <c r="P634" s="34">
        <v>8.3474613736724059</v>
      </c>
      <c r="Q634" s="33">
        <v>6.9562178113936701</v>
      </c>
      <c r="R634" s="33">
        <v>8.3474613736724059</v>
      </c>
      <c r="S634" s="33">
        <v>4.8693524679755704</v>
      </c>
      <c r="T634" s="34">
        <v>4.8693524679755704</v>
      </c>
      <c r="U634" s="34">
        <v>2.086865343418101</v>
      </c>
      <c r="V634" s="34">
        <v>3.4781089056968351</v>
      </c>
      <c r="W634" s="34">
        <v>2.086865343418101</v>
      </c>
      <c r="X634" s="34">
        <v>20.868653434181009</v>
      </c>
      <c r="Y634" s="34">
        <v>11.12994849822987</v>
      </c>
      <c r="Z634" s="54"/>
      <c r="AA634" s="33">
        <v>17.73835541905386</v>
      </c>
      <c r="AB634" s="33">
        <v>17.73835541905386</v>
      </c>
      <c r="AC634" s="34">
        <v>5.9127851396846189</v>
      </c>
      <c r="AD634" s="33">
        <v>9.4604562234953917</v>
      </c>
      <c r="AE634" s="34">
        <v>11.82557027936924</v>
      </c>
      <c r="AF634" s="34">
        <v>7.0953421676215438</v>
      </c>
      <c r="AG634" s="33">
        <v>7.0953421676215438</v>
      </c>
      <c r="AH634" s="34">
        <v>14.190684335243089</v>
      </c>
      <c r="AI634" s="33">
        <v>11.82557027936924</v>
      </c>
      <c r="AJ634" s="33">
        <v>14.190684335243089</v>
      </c>
      <c r="AK634" s="33">
        <v>8.2778991955584686</v>
      </c>
      <c r="AL634" s="34">
        <v>8.2778991955584686</v>
      </c>
      <c r="AM634" s="34">
        <v>3.5476710838107719</v>
      </c>
      <c r="AN634" s="34">
        <v>5.9127851396846189</v>
      </c>
      <c r="AO634" s="34">
        <v>3.5476710838107719</v>
      </c>
      <c r="AP634" s="34">
        <v>35.476710838107721</v>
      </c>
      <c r="AQ634" s="34">
        <v>18.92091244699078</v>
      </c>
      <c r="AR634" s="39"/>
    </row>
    <row r="635" spans="1:44" ht="18.75" customHeight="1">
      <c r="A635" s="51"/>
      <c r="B635" s="76" t="s">
        <v>5053</v>
      </c>
      <c r="C635" s="51" t="s">
        <v>997</v>
      </c>
      <c r="D635" s="63" t="s">
        <v>5054</v>
      </c>
      <c r="E635" s="51">
        <v>5</v>
      </c>
      <c r="F635" s="52">
        <v>440000</v>
      </c>
      <c r="G635" s="52">
        <v>191000</v>
      </c>
      <c r="H635" s="52">
        <v>631000</v>
      </c>
      <c r="I635" s="33">
        <v>153.03679185066071</v>
      </c>
      <c r="J635" s="33">
        <v>153.03679185066071</v>
      </c>
      <c r="K635" s="34">
        <v>51.012263950220238</v>
      </c>
      <c r="L635" s="33">
        <v>81.619622320352391</v>
      </c>
      <c r="M635" s="34">
        <v>102.0245279004405</v>
      </c>
      <c r="N635" s="34">
        <v>61.214716740264301</v>
      </c>
      <c r="O635" s="33">
        <v>61.214716740264301</v>
      </c>
      <c r="P635" s="34">
        <v>122.4294334805286</v>
      </c>
      <c r="Q635" s="33">
        <v>102.0245279004405</v>
      </c>
      <c r="R635" s="33">
        <v>122.4294334805286</v>
      </c>
      <c r="S635" s="33">
        <v>71.417169530308342</v>
      </c>
      <c r="T635" s="34">
        <v>71.417169530308342</v>
      </c>
      <c r="U635" s="34">
        <v>30.60735837013215</v>
      </c>
      <c r="V635" s="34">
        <v>51.012263950220238</v>
      </c>
      <c r="W635" s="34">
        <v>30.60735837013215</v>
      </c>
      <c r="X635" s="34">
        <v>306.07358370132152</v>
      </c>
      <c r="Y635" s="34">
        <v>163.23924464070481</v>
      </c>
      <c r="Z635" s="54"/>
      <c r="AA635" s="33">
        <v>66.431880098809557</v>
      </c>
      <c r="AB635" s="33">
        <v>66.431880098809557</v>
      </c>
      <c r="AC635" s="34">
        <v>22.143960032936519</v>
      </c>
      <c r="AD635" s="33">
        <v>35.430336052698429</v>
      </c>
      <c r="AE635" s="34">
        <v>44.287920065873031</v>
      </c>
      <c r="AF635" s="34">
        <v>26.57275203952382</v>
      </c>
      <c r="AG635" s="33">
        <v>26.57275203952382</v>
      </c>
      <c r="AH635" s="34">
        <v>53.145504079047647</v>
      </c>
      <c r="AI635" s="33">
        <v>44.287920065873031</v>
      </c>
      <c r="AJ635" s="33">
        <v>53.145504079047647</v>
      </c>
      <c r="AK635" s="33">
        <v>31.001544046111121</v>
      </c>
      <c r="AL635" s="34">
        <v>31.001544046111121</v>
      </c>
      <c r="AM635" s="34">
        <v>13.28637601976191</v>
      </c>
      <c r="AN635" s="34">
        <v>22.143960032936519</v>
      </c>
      <c r="AO635" s="34">
        <v>13.28637601976191</v>
      </c>
      <c r="AP635" s="34">
        <v>132.86376019761909</v>
      </c>
      <c r="AQ635" s="34">
        <v>70.860672105396858</v>
      </c>
      <c r="AR635" s="39"/>
    </row>
    <row r="636" spans="1:44" ht="18.75" customHeight="1">
      <c r="A636" s="30">
        <v>11</v>
      </c>
      <c r="B636" s="56" t="s">
        <v>5055</v>
      </c>
      <c r="C636" s="30" t="s">
        <v>94</v>
      </c>
      <c r="D636" s="56" t="s">
        <v>5056</v>
      </c>
      <c r="E636" s="30"/>
      <c r="F636" s="32">
        <v>105000</v>
      </c>
      <c r="G636" s="32">
        <v>20000</v>
      </c>
      <c r="H636" s="32">
        <v>125000</v>
      </c>
      <c r="I636" s="33">
        <v>36.520143509816769</v>
      </c>
      <c r="J636" s="33">
        <v>36.520143509816769</v>
      </c>
      <c r="K636" s="34">
        <v>12.173381169938921</v>
      </c>
      <c r="L636" s="33">
        <v>19.477409871902282</v>
      </c>
      <c r="M636" s="34">
        <v>24.346762339877841</v>
      </c>
      <c r="N636" s="34">
        <v>14.608057403926709</v>
      </c>
      <c r="O636" s="33">
        <v>14.608057403926709</v>
      </c>
      <c r="P636" s="34">
        <v>29.216114807853419</v>
      </c>
      <c r="Q636" s="33">
        <v>24.346762339877841</v>
      </c>
      <c r="R636" s="33">
        <v>29.216114807853419</v>
      </c>
      <c r="S636" s="33">
        <v>17.042733637914491</v>
      </c>
      <c r="T636" s="34">
        <v>17.042733637914491</v>
      </c>
      <c r="U636" s="34">
        <v>7.3040287019633539</v>
      </c>
      <c r="V636" s="34">
        <v>12.173381169938921</v>
      </c>
      <c r="W636" s="34">
        <v>7.3040287019633539</v>
      </c>
      <c r="X636" s="34">
        <v>73.040287019633539</v>
      </c>
      <c r="Y636" s="34">
        <v>38.954819743804563</v>
      </c>
      <c r="Z636" s="54"/>
      <c r="AA636" s="33">
        <v>6.956217811393671</v>
      </c>
      <c r="AB636" s="33">
        <v>6.956217811393671</v>
      </c>
      <c r="AC636" s="34">
        <v>2.318739270464556</v>
      </c>
      <c r="AD636" s="33">
        <v>3.7099828327432909</v>
      </c>
      <c r="AE636" s="34">
        <v>4.6374785409291128</v>
      </c>
      <c r="AF636" s="34">
        <v>2.7824871245574681</v>
      </c>
      <c r="AG636" s="33">
        <v>2.7824871245574681</v>
      </c>
      <c r="AH636" s="34">
        <v>5.564974249114937</v>
      </c>
      <c r="AI636" s="33">
        <v>4.6374785409291128</v>
      </c>
      <c r="AJ636" s="33">
        <v>5.564974249114937</v>
      </c>
      <c r="AK636" s="33">
        <v>3.2462349786503801</v>
      </c>
      <c r="AL636" s="34">
        <v>3.2462349786503801</v>
      </c>
      <c r="AM636" s="34">
        <v>1.391243562278734</v>
      </c>
      <c r="AN636" s="34">
        <v>2.318739270464556</v>
      </c>
      <c r="AO636" s="34">
        <v>1.391243562278734</v>
      </c>
      <c r="AP636" s="34">
        <v>13.91243562278734</v>
      </c>
      <c r="AQ636" s="34">
        <v>7.4199656654865818</v>
      </c>
      <c r="AR636" s="39"/>
    </row>
    <row r="637" spans="1:44" ht="18.75" customHeight="1">
      <c r="A637" s="30">
        <v>12</v>
      </c>
      <c r="B637" s="129" t="s">
        <v>133</v>
      </c>
      <c r="C637" s="30" t="s">
        <v>94</v>
      </c>
      <c r="D637" s="56" t="s">
        <v>5057</v>
      </c>
      <c r="E637" s="30"/>
      <c r="F637" s="32">
        <v>30000</v>
      </c>
      <c r="G637" s="32">
        <v>15000</v>
      </c>
      <c r="H637" s="32">
        <v>45000</v>
      </c>
      <c r="I637" s="33">
        <v>10.43432671709051</v>
      </c>
      <c r="J637" s="33">
        <v>10.43432671709051</v>
      </c>
      <c r="K637" s="34">
        <v>3.4781089056968351</v>
      </c>
      <c r="L637" s="33">
        <v>5.564974249114937</v>
      </c>
      <c r="M637" s="34">
        <v>6.9562178113936701</v>
      </c>
      <c r="N637" s="34">
        <v>4.173730686836203</v>
      </c>
      <c r="O637" s="33">
        <v>4.173730686836203</v>
      </c>
      <c r="P637" s="34">
        <v>8.3474613736724059</v>
      </c>
      <c r="Q637" s="33">
        <v>6.9562178113936701</v>
      </c>
      <c r="R637" s="33">
        <v>8.3474613736724059</v>
      </c>
      <c r="S637" s="33">
        <v>4.8693524679755704</v>
      </c>
      <c r="T637" s="34">
        <v>4.8693524679755704</v>
      </c>
      <c r="U637" s="34">
        <v>2.086865343418101</v>
      </c>
      <c r="V637" s="34">
        <v>3.4781089056968351</v>
      </c>
      <c r="W637" s="34">
        <v>2.086865343418101</v>
      </c>
      <c r="X637" s="34">
        <v>20.868653434181009</v>
      </c>
      <c r="Y637" s="34">
        <v>11.12994849822987</v>
      </c>
      <c r="Z637" s="54"/>
      <c r="AA637" s="33">
        <v>5.2171633585452533</v>
      </c>
      <c r="AB637" s="33">
        <v>5.2171633585452533</v>
      </c>
      <c r="AC637" s="34">
        <v>1.739054452848418</v>
      </c>
      <c r="AD637" s="33">
        <v>2.7824871245574681</v>
      </c>
      <c r="AE637" s="34">
        <v>3.4781089056968351</v>
      </c>
      <c r="AF637" s="34">
        <v>2.086865343418101</v>
      </c>
      <c r="AG637" s="33">
        <v>2.086865343418101</v>
      </c>
      <c r="AH637" s="34">
        <v>4.173730686836203</v>
      </c>
      <c r="AI637" s="33">
        <v>3.4781089056968351</v>
      </c>
      <c r="AJ637" s="33">
        <v>4.173730686836203</v>
      </c>
      <c r="AK637" s="33">
        <v>2.4346762339877852</v>
      </c>
      <c r="AL637" s="34">
        <v>2.4346762339877852</v>
      </c>
      <c r="AM637" s="34">
        <v>1.043432671709051</v>
      </c>
      <c r="AN637" s="34">
        <v>1.739054452848418</v>
      </c>
      <c r="AO637" s="34">
        <v>1.043432671709051</v>
      </c>
      <c r="AP637" s="34">
        <v>10.43432671709051</v>
      </c>
      <c r="AQ637" s="34">
        <v>5.564974249114937</v>
      </c>
      <c r="AR637" s="39"/>
    </row>
    <row r="638" spans="1:44" ht="18.75" customHeight="1">
      <c r="A638" s="64">
        <v>13</v>
      </c>
      <c r="B638" s="16" t="s">
        <v>5058</v>
      </c>
      <c r="C638" s="30" t="s">
        <v>230</v>
      </c>
      <c r="D638" s="56" t="s">
        <v>5059</v>
      </c>
      <c r="E638" s="30"/>
      <c r="F638" s="32">
        <v>147635.65100692891</v>
      </c>
      <c r="G638" s="32">
        <v>30000</v>
      </c>
      <c r="H638" s="32">
        <v>177635.65100692891</v>
      </c>
      <c r="I638" s="33">
        <v>51.349287256554952</v>
      </c>
      <c r="J638" s="33">
        <v>51.349287256554952</v>
      </c>
      <c r="K638" s="34">
        <v>17.11642908551832</v>
      </c>
      <c r="L638" s="33">
        <v>27.38628653682931</v>
      </c>
      <c r="M638" s="34">
        <v>34.232858171036632</v>
      </c>
      <c r="N638" s="34">
        <v>20.539714902621981</v>
      </c>
      <c r="O638" s="33">
        <v>20.539714902621981</v>
      </c>
      <c r="P638" s="34">
        <v>41.079429805243961</v>
      </c>
      <c r="Q638" s="33">
        <v>34.232858171036632</v>
      </c>
      <c r="R638" s="33">
        <v>41.079429805243961</v>
      </c>
      <c r="S638" s="33">
        <v>23.963000719725649</v>
      </c>
      <c r="T638" s="34">
        <v>23.963000719725649</v>
      </c>
      <c r="U638" s="34">
        <v>10.26985745131099</v>
      </c>
      <c r="V638" s="34">
        <v>17.11642908551832</v>
      </c>
      <c r="W638" s="34">
        <v>10.26985745131099</v>
      </c>
      <c r="X638" s="34">
        <v>102.6985745131099</v>
      </c>
      <c r="Y638" s="34">
        <v>54.772573073658613</v>
      </c>
      <c r="Z638" s="34"/>
      <c r="AA638" s="33">
        <v>10.43432671709051</v>
      </c>
      <c r="AB638" s="33">
        <v>10.43432671709051</v>
      </c>
      <c r="AC638" s="34">
        <v>3.4781089056968351</v>
      </c>
      <c r="AD638" s="33">
        <v>5.564974249114937</v>
      </c>
      <c r="AE638" s="34">
        <v>6.9562178113936701</v>
      </c>
      <c r="AF638" s="34">
        <v>4.173730686836203</v>
      </c>
      <c r="AG638" s="33">
        <v>4.173730686836203</v>
      </c>
      <c r="AH638" s="34">
        <v>8.3474613736724059</v>
      </c>
      <c r="AI638" s="33">
        <v>6.9562178113936701</v>
      </c>
      <c r="AJ638" s="33">
        <v>8.3474613736724059</v>
      </c>
      <c r="AK638" s="33">
        <v>4.8693524679755704</v>
      </c>
      <c r="AL638" s="34">
        <v>4.8693524679755704</v>
      </c>
      <c r="AM638" s="34">
        <v>2.086865343418101</v>
      </c>
      <c r="AN638" s="34">
        <v>3.4781089056968351</v>
      </c>
      <c r="AO638" s="34">
        <v>2.086865343418101</v>
      </c>
      <c r="AP638" s="34">
        <v>20.868653434181009</v>
      </c>
      <c r="AQ638" s="34">
        <v>11.12994849822987</v>
      </c>
      <c r="AR638" s="39"/>
    </row>
    <row r="639" spans="1:44" ht="18.75" customHeight="1">
      <c r="A639" s="64">
        <v>14</v>
      </c>
      <c r="B639" s="129" t="s">
        <v>133</v>
      </c>
      <c r="C639" s="30" t="s">
        <v>94</v>
      </c>
      <c r="D639" s="56" t="s">
        <v>5060</v>
      </c>
      <c r="E639" s="30"/>
      <c r="F639" s="32">
        <v>34076.168873153103</v>
      </c>
      <c r="G639" s="32">
        <v>15000</v>
      </c>
      <c r="H639" s="32">
        <v>49076.168873153103</v>
      </c>
      <c r="I639" s="33">
        <v>11.85206264297431</v>
      </c>
      <c r="J639" s="33">
        <v>11.85206264297431</v>
      </c>
      <c r="K639" s="34">
        <v>3.9506875476581031</v>
      </c>
      <c r="L639" s="33">
        <v>6.3211000762529652</v>
      </c>
      <c r="M639" s="34">
        <v>7.9013750953162063</v>
      </c>
      <c r="N639" s="34">
        <v>4.7408250571897241</v>
      </c>
      <c r="O639" s="33">
        <v>4.7408250571897241</v>
      </c>
      <c r="P639" s="34">
        <v>9.4816501143794483</v>
      </c>
      <c r="Q639" s="33">
        <v>7.9013750953162063</v>
      </c>
      <c r="R639" s="33">
        <v>9.4816501143794483</v>
      </c>
      <c r="S639" s="33">
        <v>5.5309625667213451</v>
      </c>
      <c r="T639" s="34">
        <v>5.5309625667213451</v>
      </c>
      <c r="U639" s="34">
        <v>2.3704125285948621</v>
      </c>
      <c r="V639" s="34">
        <v>3.9506875476581031</v>
      </c>
      <c r="W639" s="34">
        <v>2.3704125285948621</v>
      </c>
      <c r="X639" s="34">
        <v>23.704125285948621</v>
      </c>
      <c r="Y639" s="34">
        <v>12.64220015250593</v>
      </c>
      <c r="Z639" s="248"/>
      <c r="AA639" s="33">
        <v>5.2171633585452533</v>
      </c>
      <c r="AB639" s="33">
        <v>5.2171633585452533</v>
      </c>
      <c r="AC639" s="34">
        <v>1.739054452848418</v>
      </c>
      <c r="AD639" s="33">
        <v>2.7824871245574681</v>
      </c>
      <c r="AE639" s="34">
        <v>3.4781089056968351</v>
      </c>
      <c r="AF639" s="34">
        <v>2.086865343418101</v>
      </c>
      <c r="AG639" s="33">
        <v>2.086865343418101</v>
      </c>
      <c r="AH639" s="34">
        <v>4.173730686836203</v>
      </c>
      <c r="AI639" s="33">
        <v>3.4781089056968351</v>
      </c>
      <c r="AJ639" s="33">
        <v>4.173730686836203</v>
      </c>
      <c r="AK639" s="33">
        <v>2.4346762339877852</v>
      </c>
      <c r="AL639" s="34">
        <v>2.4346762339877852</v>
      </c>
      <c r="AM639" s="34">
        <v>1.043432671709051</v>
      </c>
      <c r="AN639" s="34">
        <v>1.739054452848418</v>
      </c>
      <c r="AO639" s="34">
        <v>1.043432671709051</v>
      </c>
      <c r="AP639" s="34">
        <v>10.43432671709051</v>
      </c>
      <c r="AQ639" s="34">
        <v>5.564974249114937</v>
      </c>
      <c r="AR639" s="39"/>
    </row>
    <row r="640" spans="1:44" ht="18.75" customHeight="1">
      <c r="A640" s="64">
        <v>15</v>
      </c>
      <c r="B640" s="16" t="s">
        <v>5061</v>
      </c>
      <c r="C640" s="30" t="s">
        <v>159</v>
      </c>
      <c r="D640" s="56" t="s">
        <v>5062</v>
      </c>
      <c r="E640" s="30"/>
      <c r="F640" s="32">
        <v>130000</v>
      </c>
      <c r="G640" s="32">
        <v>30000</v>
      </c>
      <c r="H640" s="32">
        <v>160000</v>
      </c>
      <c r="I640" s="53">
        <v>45.215415774058862</v>
      </c>
      <c r="J640" s="53">
        <v>45.215415774058862</v>
      </c>
      <c r="K640" s="54">
        <v>15.071805258019619</v>
      </c>
      <c r="L640" s="53">
        <v>24.114888412831391</v>
      </c>
      <c r="M640" s="54">
        <v>30.143610516039239</v>
      </c>
      <c r="N640" s="54">
        <v>18.08616630962355</v>
      </c>
      <c r="O640" s="53">
        <v>18.08616630962355</v>
      </c>
      <c r="P640" s="54">
        <v>36.172332619247094</v>
      </c>
      <c r="Q640" s="53">
        <v>30.143610516039239</v>
      </c>
      <c r="R640" s="53">
        <v>36.172332619247094</v>
      </c>
      <c r="S640" s="53">
        <v>21.100527361227471</v>
      </c>
      <c r="T640" s="54">
        <v>21.100527361227471</v>
      </c>
      <c r="U640" s="54">
        <v>9.0430831548117734</v>
      </c>
      <c r="V640" s="54">
        <v>15.071805258019619</v>
      </c>
      <c r="W640" s="54">
        <v>9.0430831548117734</v>
      </c>
      <c r="X640" s="54">
        <v>90.430831548117723</v>
      </c>
      <c r="Y640" s="54">
        <v>48.229776825662782</v>
      </c>
      <c r="Z640" s="34"/>
      <c r="AA640" s="33">
        <v>10.43432671709051</v>
      </c>
      <c r="AB640" s="33">
        <v>10.43432671709051</v>
      </c>
      <c r="AC640" s="34">
        <v>3.4781089056968351</v>
      </c>
      <c r="AD640" s="33">
        <v>5.564974249114937</v>
      </c>
      <c r="AE640" s="34">
        <v>6.9562178113936701</v>
      </c>
      <c r="AF640" s="34">
        <v>4.173730686836203</v>
      </c>
      <c r="AG640" s="33">
        <v>4.173730686836203</v>
      </c>
      <c r="AH640" s="34">
        <v>8.3474613736724059</v>
      </c>
      <c r="AI640" s="33">
        <v>6.9562178113936701</v>
      </c>
      <c r="AJ640" s="33">
        <v>8.3474613736724059</v>
      </c>
      <c r="AK640" s="33">
        <v>4.8693524679755704</v>
      </c>
      <c r="AL640" s="34">
        <v>4.8693524679755704</v>
      </c>
      <c r="AM640" s="34">
        <v>2.086865343418101</v>
      </c>
      <c r="AN640" s="34">
        <v>3.4781089056968351</v>
      </c>
      <c r="AO640" s="34">
        <v>2.086865343418101</v>
      </c>
      <c r="AP640" s="34">
        <v>20.868653434181009</v>
      </c>
      <c r="AQ640" s="34">
        <v>11.12994849822987</v>
      </c>
      <c r="AR640" s="39"/>
    </row>
    <row r="641" spans="1:44" ht="18.75" customHeight="1">
      <c r="A641" s="51"/>
      <c r="B641" s="76" t="s">
        <v>133</v>
      </c>
      <c r="C641" s="51" t="s">
        <v>389</v>
      </c>
      <c r="D641" s="63" t="s">
        <v>5063</v>
      </c>
      <c r="E641" s="51">
        <v>5</v>
      </c>
      <c r="F641" s="52">
        <v>446711.81988008198</v>
      </c>
      <c r="G641" s="52">
        <v>110000</v>
      </c>
      <c r="H641" s="52">
        <v>556711.81988008204</v>
      </c>
      <c r="I641" s="53">
        <v>155.37123590049541</v>
      </c>
      <c r="J641" s="53">
        <v>155.37123590049541</v>
      </c>
      <c r="K641" s="54">
        <v>51.790411966831797</v>
      </c>
      <c r="L641" s="53">
        <v>82.86465914693089</v>
      </c>
      <c r="M641" s="54">
        <v>103.58082393366359</v>
      </c>
      <c r="N641" s="54">
        <v>62.148494360198157</v>
      </c>
      <c r="O641" s="53">
        <v>62.148494360198157</v>
      </c>
      <c r="P641" s="54">
        <v>124.2969887203963</v>
      </c>
      <c r="Q641" s="53">
        <v>103.58082393366359</v>
      </c>
      <c r="R641" s="53">
        <v>124.2969887203963</v>
      </c>
      <c r="S641" s="53">
        <v>72.506576753564531</v>
      </c>
      <c r="T641" s="54">
        <v>72.506576753564531</v>
      </c>
      <c r="U641" s="54">
        <v>31.074247180099078</v>
      </c>
      <c r="V641" s="54">
        <v>51.790411966831797</v>
      </c>
      <c r="W641" s="54">
        <v>31.074247180099078</v>
      </c>
      <c r="X641" s="54">
        <v>310.74247180099081</v>
      </c>
      <c r="Y641" s="54">
        <v>165.72931829386181</v>
      </c>
      <c r="Z641" s="34"/>
      <c r="AA641" s="33">
        <v>38.259197962665183</v>
      </c>
      <c r="AB641" s="33">
        <v>38.259197962665183</v>
      </c>
      <c r="AC641" s="34">
        <v>12.753065987555059</v>
      </c>
      <c r="AD641" s="33">
        <v>20.404905580088101</v>
      </c>
      <c r="AE641" s="34">
        <v>25.506131975110119</v>
      </c>
      <c r="AF641" s="34">
        <v>15.30367918506608</v>
      </c>
      <c r="AG641" s="33">
        <v>15.30367918506608</v>
      </c>
      <c r="AH641" s="34">
        <v>30.60735837013215</v>
      </c>
      <c r="AI641" s="33">
        <v>25.506131975110119</v>
      </c>
      <c r="AJ641" s="33">
        <v>30.60735837013215</v>
      </c>
      <c r="AK641" s="33">
        <v>17.854292382577089</v>
      </c>
      <c r="AL641" s="34">
        <v>17.854292382577089</v>
      </c>
      <c r="AM641" s="34">
        <v>7.6518395925330376</v>
      </c>
      <c r="AN641" s="34">
        <v>12.753065987555059</v>
      </c>
      <c r="AO641" s="34">
        <v>7.6518395925330376</v>
      </c>
      <c r="AP641" s="34">
        <v>76.518395925330367</v>
      </c>
      <c r="AQ641" s="34">
        <v>40.809811160176203</v>
      </c>
      <c r="AR641" s="37"/>
    </row>
    <row r="642" spans="1:44" ht="18.75" customHeight="1">
      <c r="A642" s="90"/>
      <c r="B642" s="118" t="s">
        <v>5064</v>
      </c>
      <c r="C642" s="67" t="s">
        <v>4713</v>
      </c>
      <c r="D642" s="93" t="s">
        <v>5044</v>
      </c>
      <c r="E642" s="67">
        <f>E641+E635+E629</f>
        <v>15</v>
      </c>
      <c r="F642" s="68">
        <v>1306711.819880082</v>
      </c>
      <c r="G642" s="68">
        <v>438800</v>
      </c>
      <c r="H642" s="68">
        <v>1745511.819880082</v>
      </c>
      <c r="I642" s="33">
        <v>454.48860179042322</v>
      </c>
      <c r="J642" s="33">
        <v>454.48860179042322</v>
      </c>
      <c r="K642" s="34">
        <v>151.49620059680771</v>
      </c>
      <c r="L642" s="33">
        <v>242.39392095489239</v>
      </c>
      <c r="M642" s="34">
        <v>302.99240119361542</v>
      </c>
      <c r="N642" s="34">
        <v>181.79544071616931</v>
      </c>
      <c r="O642" s="33">
        <v>181.79544071616931</v>
      </c>
      <c r="P642" s="34">
        <v>363.59088143233862</v>
      </c>
      <c r="Q642" s="33">
        <v>302.99240119361542</v>
      </c>
      <c r="R642" s="33">
        <v>363.59088143233862</v>
      </c>
      <c r="S642" s="33">
        <v>212.09468083553091</v>
      </c>
      <c r="T642" s="34">
        <v>212.09468083553091</v>
      </c>
      <c r="U642" s="34">
        <v>90.897720358084641</v>
      </c>
      <c r="V642" s="34">
        <v>151.49620059680771</v>
      </c>
      <c r="W642" s="34">
        <v>90.897720358084641</v>
      </c>
      <c r="X642" s="34">
        <v>908.97720358084644</v>
      </c>
      <c r="Y642" s="34">
        <v>484.78784190978479</v>
      </c>
      <c r="Z642" s="34"/>
      <c r="AA642" s="33">
        <v>152.61941878197709</v>
      </c>
      <c r="AB642" s="33">
        <v>152.61941878197709</v>
      </c>
      <c r="AC642" s="34">
        <v>50.873139593992377</v>
      </c>
      <c r="AD642" s="33">
        <v>81.397023350387812</v>
      </c>
      <c r="AE642" s="34">
        <v>101.7462791879848</v>
      </c>
      <c r="AF642" s="34">
        <v>61.047767512790863</v>
      </c>
      <c r="AG642" s="33">
        <v>61.047767512790863</v>
      </c>
      <c r="AH642" s="34">
        <v>122.0955350255817</v>
      </c>
      <c r="AI642" s="33">
        <v>101.7462791879848</v>
      </c>
      <c r="AJ642" s="33">
        <v>122.0955350255817</v>
      </c>
      <c r="AK642" s="33">
        <v>71.222395431589334</v>
      </c>
      <c r="AL642" s="34">
        <v>71.222395431589334</v>
      </c>
      <c r="AM642" s="34">
        <v>30.523883756395431</v>
      </c>
      <c r="AN642" s="34">
        <v>50.873139593992377</v>
      </c>
      <c r="AO642" s="34">
        <v>30.523883756395431</v>
      </c>
      <c r="AP642" s="34">
        <v>305.23883756395429</v>
      </c>
      <c r="AQ642" s="34">
        <v>162.7940467007756</v>
      </c>
      <c r="AR642" s="39"/>
    </row>
    <row r="643" spans="1:44" ht="19.5" customHeight="1">
      <c r="A643" s="30"/>
      <c r="B643" s="56"/>
      <c r="C643" s="30"/>
      <c r="D643" s="56"/>
      <c r="E643" s="30"/>
      <c r="F643" s="32"/>
      <c r="G643" s="32"/>
      <c r="H643" s="32">
        <v>0</v>
      </c>
      <c r="I643" s="54">
        <v>0</v>
      </c>
      <c r="J643" s="54">
        <v>0</v>
      </c>
      <c r="K643" s="54">
        <v>0</v>
      </c>
      <c r="L643" s="54">
        <v>0</v>
      </c>
      <c r="M643" s="54">
        <v>0</v>
      </c>
      <c r="N643" s="54">
        <v>0</v>
      </c>
      <c r="O643" s="54">
        <v>0</v>
      </c>
      <c r="P643" s="54">
        <v>0</v>
      </c>
      <c r="Q643" s="54">
        <v>0</v>
      </c>
      <c r="R643" s="54">
        <v>0</v>
      </c>
      <c r="S643" s="54">
        <v>0</v>
      </c>
      <c r="T643" s="54">
        <v>0</v>
      </c>
      <c r="U643" s="54">
        <v>0</v>
      </c>
      <c r="V643" s="54">
        <v>0</v>
      </c>
      <c r="W643" s="54">
        <v>0</v>
      </c>
      <c r="X643" s="54">
        <v>0</v>
      </c>
      <c r="Y643" s="54">
        <v>0</v>
      </c>
      <c r="Z643" s="54"/>
      <c r="AA643" s="54">
        <v>0</v>
      </c>
      <c r="AB643" s="54">
        <v>0</v>
      </c>
      <c r="AC643" s="54">
        <v>0</v>
      </c>
      <c r="AD643" s="54">
        <v>0</v>
      </c>
      <c r="AE643" s="54">
        <v>0</v>
      </c>
      <c r="AF643" s="54">
        <v>0</v>
      </c>
      <c r="AG643" s="54">
        <v>0</v>
      </c>
      <c r="AH643" s="54">
        <v>0</v>
      </c>
      <c r="AI643" s="54">
        <v>0</v>
      </c>
      <c r="AJ643" s="54">
        <v>0</v>
      </c>
      <c r="AK643" s="54">
        <v>0</v>
      </c>
      <c r="AL643" s="54">
        <v>0</v>
      </c>
      <c r="AM643" s="54">
        <v>0</v>
      </c>
      <c r="AN643" s="54">
        <v>0</v>
      </c>
      <c r="AO643" s="54">
        <v>0</v>
      </c>
      <c r="AP643" s="54">
        <v>0</v>
      </c>
      <c r="AQ643" s="54">
        <v>0</v>
      </c>
      <c r="AR643" s="37"/>
    </row>
    <row r="644" spans="1:44" ht="19.5" customHeight="1">
      <c r="A644" s="249"/>
      <c r="B644" s="250" t="s">
        <v>133</v>
      </c>
      <c r="C644" s="219" t="s">
        <v>81</v>
      </c>
      <c r="D644" s="250" t="s">
        <v>5065</v>
      </c>
      <c r="E644" s="219">
        <f>E642+E621+E614</f>
        <v>45</v>
      </c>
      <c r="F644" s="220">
        <v>3766436.9121493888</v>
      </c>
      <c r="G644" s="220">
        <v>1336564.8144218279</v>
      </c>
      <c r="H644" s="220">
        <v>5103001.7265712172</v>
      </c>
      <c r="I644" s="95">
        <v>1310.007776689208</v>
      </c>
      <c r="J644" s="95">
        <v>1310.007776689208</v>
      </c>
      <c r="K644" s="95">
        <v>436.6692588964026</v>
      </c>
      <c r="L644" s="95">
        <v>698.67081423424429</v>
      </c>
      <c r="M644" s="95">
        <v>873.33851779280519</v>
      </c>
      <c r="N644" s="95">
        <v>524.00311067568316</v>
      </c>
      <c r="O644" s="95">
        <v>524.00311067568316</v>
      </c>
      <c r="P644" s="95">
        <v>1048.0062213513661</v>
      </c>
      <c r="Q644" s="95">
        <v>873.33851779280519</v>
      </c>
      <c r="R644" s="95">
        <v>1048.0062213513661</v>
      </c>
      <c r="S644" s="95">
        <v>611.33696245496378</v>
      </c>
      <c r="T644" s="95">
        <v>611.33696245496378</v>
      </c>
      <c r="U644" s="95">
        <v>262.00155533784158</v>
      </c>
      <c r="V644" s="95">
        <v>436.6692588964026</v>
      </c>
      <c r="W644" s="95">
        <v>262.00155533784158</v>
      </c>
      <c r="X644" s="95">
        <v>2620.0155533784159</v>
      </c>
      <c r="Y644" s="95">
        <v>1397.341628468489</v>
      </c>
      <c r="Z644" s="95"/>
      <c r="AA644" s="95">
        <v>464.87179840815992</v>
      </c>
      <c r="AB644" s="95">
        <v>464.87179840815992</v>
      </c>
      <c r="AC644" s="95">
        <v>154.95726613605331</v>
      </c>
      <c r="AD644" s="95">
        <v>247.93162581768519</v>
      </c>
      <c r="AE644" s="95">
        <v>309.91453227210661</v>
      </c>
      <c r="AF644" s="95">
        <v>185.9487193632639</v>
      </c>
      <c r="AG644" s="95">
        <v>185.9487193632639</v>
      </c>
      <c r="AH644" s="95">
        <v>371.89743872652792</v>
      </c>
      <c r="AI644" s="95">
        <v>309.91453227210661</v>
      </c>
      <c r="AJ644" s="95">
        <v>371.89743872652792</v>
      </c>
      <c r="AK644" s="95">
        <v>216.94017259047459</v>
      </c>
      <c r="AL644" s="95">
        <v>216.94017259047459</v>
      </c>
      <c r="AM644" s="95">
        <v>92.974359681631967</v>
      </c>
      <c r="AN644" s="95">
        <v>154.95726613605331</v>
      </c>
      <c r="AO644" s="95">
        <v>92.974359681631967</v>
      </c>
      <c r="AP644" s="95">
        <v>929.74359681631972</v>
      </c>
      <c r="AQ644" s="95">
        <v>495.86325163537049</v>
      </c>
      <c r="AR644" s="223"/>
    </row>
    <row r="645" spans="1:44" ht="12.75" customHeight="1">
      <c r="A645" s="2"/>
      <c r="B645" s="2"/>
      <c r="C645" s="2"/>
      <c r="D645" s="2"/>
      <c r="E645" s="2"/>
      <c r="F645" s="251"/>
      <c r="G645" s="251"/>
      <c r="H645" s="25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</row>
  </sheetData>
  <autoFilter ref="A3:H644" xr:uid="{00000000-0009-0000-0000-000002000000}"/>
  <mergeCells count="3">
    <mergeCell ref="F2:H2"/>
    <mergeCell ref="I2:Y2"/>
    <mergeCell ref="AA2:AQ2"/>
  </mergeCells>
  <conditionalFormatting sqref="A615">
    <cfRule type="containsText" dxfId="25" priority="1" operator="containsText" text="Proposed">
      <formula>NOT(ISERROR(SEARCH(("Proposed"),(A615))))</formula>
    </cfRule>
  </conditionalFormatting>
  <conditionalFormatting sqref="D311">
    <cfRule type="containsText" dxfId="24" priority="2" operator="containsText" text="Proposed">
      <formula>NOT(ISERROR(SEARCH(("Proposed"),(D311))))</formula>
    </cfRule>
  </conditionalFormatting>
  <conditionalFormatting sqref="D353">
    <cfRule type="containsText" dxfId="23" priority="3" operator="containsText" text="Proposed">
      <formula>NOT(ISERROR(SEARCH(("Proposed"),(D353))))</formula>
    </cfRule>
  </conditionalFormatting>
  <conditionalFormatting sqref="D350 D493 D498:D499">
    <cfRule type="containsText" dxfId="22" priority="4" operator="containsText" text="Proposed">
      <formula>NOT(ISERROR(SEARCH(("Proposed"),(D350))))</formula>
    </cfRule>
  </conditionalFormatting>
  <conditionalFormatting sqref="D237">
    <cfRule type="containsText" dxfId="21" priority="5" operator="containsText" text="Proposed">
      <formula>NOT(ISERROR(SEARCH(("Proposed"),(D237))))</formula>
    </cfRule>
  </conditionalFormatting>
  <conditionalFormatting sqref="D346">
    <cfRule type="containsText" dxfId="20" priority="6" operator="containsText" text="Proposed">
      <formula>NOT(ISERROR(SEARCH(("Proposed"),(D346))))</formula>
    </cfRule>
  </conditionalFormatting>
  <conditionalFormatting sqref="D328">
    <cfRule type="containsText" dxfId="19" priority="7" operator="containsText" text="Proposed">
      <formula>NOT(ISERROR(SEARCH(("Proposed"),(D328))))</formula>
    </cfRule>
  </conditionalFormatting>
  <conditionalFormatting sqref="D377">
    <cfRule type="containsText" dxfId="18" priority="8" operator="containsText" text="Proposed">
      <formula>NOT(ISERROR(SEARCH(("Proposed"),(D377))))</formula>
    </cfRule>
  </conditionalFormatting>
  <conditionalFormatting sqref="D381">
    <cfRule type="containsText" dxfId="17" priority="9" operator="containsText" text="Proposed">
      <formula>NOT(ISERROR(SEARCH(("Proposed"),(D381))))</formula>
    </cfRule>
  </conditionalFormatting>
  <conditionalFormatting sqref="D389">
    <cfRule type="containsText" dxfId="16" priority="10" operator="containsText" text="Proposed">
      <formula>NOT(ISERROR(SEARCH(("Proposed"),(D389))))</formula>
    </cfRule>
  </conditionalFormatting>
  <conditionalFormatting sqref="D425">
    <cfRule type="containsText" dxfId="15" priority="11" operator="containsText" text="Proposed">
      <formula>NOT(ISERROR(SEARCH(("Proposed"),(D425))))</formula>
    </cfRule>
  </conditionalFormatting>
  <conditionalFormatting sqref="D474 D477">
    <cfRule type="containsText" dxfId="14" priority="12" operator="containsText" text="Proposed">
      <formula>NOT(ISERROR(SEARCH(("Proposed"),(D474))))</formula>
    </cfRule>
  </conditionalFormatting>
  <conditionalFormatting sqref="D495 D497">
    <cfRule type="containsText" dxfId="13" priority="13" operator="containsText" text="Proposed">
      <formula>NOT(ISERROR(SEARCH(("Proposed"),(D495))))</formula>
    </cfRule>
  </conditionalFormatting>
  <conditionalFormatting sqref="D511">
    <cfRule type="containsText" dxfId="12" priority="14" operator="containsText" text="Proposed">
      <formula>NOT(ISERROR(SEARCH(("Proposed"),(D511))))</formula>
    </cfRule>
  </conditionalFormatting>
  <conditionalFormatting sqref="D534">
    <cfRule type="containsText" dxfId="11" priority="15" operator="containsText" text="Proposed">
      <formula>NOT(ISERROR(SEARCH(("Proposed"),(D534))))</formula>
    </cfRule>
  </conditionalFormatting>
  <conditionalFormatting sqref="D412">
    <cfRule type="containsText" dxfId="10" priority="16" operator="containsText" text="Proposed">
      <formula>NOT(ISERROR(SEARCH(("Proposed"),(D412))))</formula>
    </cfRule>
  </conditionalFormatting>
  <conditionalFormatting sqref="D272">
    <cfRule type="containsText" dxfId="9" priority="17" operator="containsText" text="Proposed">
      <formula>NOT(ISERROR(SEARCH(("Proposed"),(D272))))</formula>
    </cfRule>
  </conditionalFormatting>
  <conditionalFormatting sqref="D254">
    <cfRule type="containsText" dxfId="8" priority="18" operator="containsText" text="Proposed">
      <formula>NOT(ISERROR(SEARCH(("Proposed"),(D254))))</formula>
    </cfRule>
  </conditionalFormatting>
  <conditionalFormatting sqref="D349">
    <cfRule type="containsText" dxfId="7" priority="19" operator="containsText" text="Proposed">
      <formula>NOT(ISERROR(SEARCH(("Proposed"),(D349))))</formula>
    </cfRule>
  </conditionalFormatting>
  <conditionalFormatting sqref="D224">
    <cfRule type="containsText" dxfId="6" priority="20" operator="containsText" text="Proposed">
      <formula>NOT(ISERROR(SEARCH(("Proposed"),(D224))))</formula>
    </cfRule>
  </conditionalFormatting>
  <conditionalFormatting sqref="D567">
    <cfRule type="containsText" dxfId="5" priority="21" operator="containsText" text="Proposed">
      <formula>NOT(ISERROR(SEARCH(("Proposed"),(D567))))</formula>
    </cfRule>
  </conditionalFormatting>
  <conditionalFormatting sqref="A623:A624 D623">
    <cfRule type="containsText" dxfId="4" priority="22" operator="containsText" text="Proposed">
      <formula>NOT(ISERROR(SEARCH(("Proposed"),(A623))))</formula>
    </cfRule>
  </conditionalFormatting>
  <conditionalFormatting sqref="D619:D620">
    <cfRule type="containsText" dxfId="3" priority="23" operator="containsText" text="Proposed">
      <formula>NOT(ISERROR(SEARCH(("Proposed"),(D619))))</formula>
    </cfRule>
  </conditionalFormatting>
  <conditionalFormatting sqref="D510">
    <cfRule type="containsText" dxfId="2" priority="24" operator="containsText" text="Proposed">
      <formula>NOT(ISERROR(SEARCH(("Proposed"),(D510))))</formula>
    </cfRule>
  </conditionalFormatting>
  <conditionalFormatting sqref="D410">
    <cfRule type="containsText" dxfId="1" priority="25" operator="containsText" text="Proposed">
      <formula>NOT(ISERROR(SEARCH(("Proposed"),(D410))))</formula>
    </cfRule>
  </conditionalFormatting>
  <conditionalFormatting sqref="D426">
    <cfRule type="containsText" dxfId="0" priority="26" operator="containsText" text="Proposed">
      <formula>NOT(ISERROR(SEARCH(("Proposed"),(D426))))</formula>
    </cfRule>
  </conditionalFormatting>
  <printOptions horizontalCentered="1"/>
  <pageMargins left="0.2" right="0.2" top="1" bottom="0.2" header="0" footer="0"/>
  <pageSetup paperSize="9" scale="80" orientation="portrait"/>
  <headerFooter>
    <oddHeader>&amp;C ALCO PHARMA LTD.
Official Target and Confirm Sale Target of April-2026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FIELD_JAN_2025</vt:lpstr>
      <vt:lpstr>PRODUCT_CODE</vt:lpstr>
      <vt:lpstr>Tgt (2026) April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Irak</dc:creator>
  <cp:lastModifiedBy>Irak</cp:lastModifiedBy>
  <dcterms:created xsi:type="dcterms:W3CDTF">2026-08-25T08:22:55Z</dcterms:created>
  <dcterms:modified xsi:type="dcterms:W3CDTF">2026-08-25T08:22:56Z</dcterms:modified>
</cp:coreProperties>
</file>